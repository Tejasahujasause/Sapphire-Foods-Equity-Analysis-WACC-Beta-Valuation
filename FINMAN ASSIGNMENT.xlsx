
<file path=[Content_Types].xml><?xml version="1.0" encoding="utf-8"?>
<Types xmlns="http://schemas.openxmlformats.org/package/2006/content-types">
  <Default Extension="rels" ContentType="application/vnd.openxmlformats-package.relationships+xml"/>
  <Default Extension="tmp" ContentType="image/p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822"/>
  <workbookPr/>
  <xr:revisionPtr revIDLastSave="0" documentId="8_{1C91B50B-1295-46E4-AB26-7FF029D3BF24}" xr6:coauthVersionLast="47" xr6:coauthVersionMax="47" xr10:uidLastSave="{00000000-0000-0000-0000-000000000000}"/>
  <bookViews>
    <workbookView xWindow="240" yWindow="105" windowWidth="14805" windowHeight="8010" firstSheet="8" activeTab="1" xr2:uid="{00000000-000D-0000-FFFF-FFFF00000000}"/>
  </bookViews>
  <sheets>
    <sheet name="COVER PAGE" sheetId="1" r:id="rId1"/>
    <sheet name="Task 1" sheetId="13" r:id="rId2"/>
    <sheet name="Task 2" sheetId="12" r:id="rId3"/>
    <sheet name="FY 24 Balance Sheet" sheetId="14" r:id="rId4"/>
    <sheet name="FY 23 Balance Sheet" sheetId="16" r:id="rId5"/>
    <sheet name="FY 22 Balance Sheet" sheetId="17" r:id="rId6"/>
    <sheet name="FY 21 Balance Sheet" sheetId="18" r:id="rId7"/>
    <sheet name="FY 20 Balance Sheet" sheetId="19" r:id="rId8"/>
    <sheet name="Task 3" sheetId="7" r:id="rId9"/>
    <sheet name="FY 25 Beta" sheetId="5" r:id="rId10"/>
    <sheet name="FY 24 Beta" sheetId="6" r:id="rId11"/>
    <sheet name="FY 23 Beta" sheetId="8" r:id="rId12"/>
    <sheet name="FY 22 Beta" sheetId="9" r:id="rId13"/>
    <sheet name="2.5 Year Beta FY25-FY22" sheetId="10" r:id="rId14"/>
    <sheet name="2.5 Year Beta FY22 - FY21" sheetId="11" r:id="rId15"/>
    <sheet name="Task 4" sheetId="4" r:id="rId16"/>
    <sheet name="Task 5" sheetId="3" r:id="rId1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8" i="7" l="1"/>
  <c r="D46" i="7"/>
  <c r="E46" i="7"/>
  <c r="F46" i="7"/>
  <c r="J10" i="13"/>
  <c r="J11" i="13"/>
  <c r="J12" i="13"/>
  <c r="J13" i="13"/>
  <c r="J14" i="13"/>
  <c r="J15" i="13"/>
  <c r="J16" i="13"/>
  <c r="J17" i="13"/>
  <c r="J18" i="13"/>
  <c r="J19" i="13"/>
  <c r="J20" i="13"/>
  <c r="J21" i="13"/>
  <c r="J22" i="13"/>
  <c r="J23" i="13"/>
  <c r="J24" i="13"/>
  <c r="J25" i="13"/>
  <c r="J26" i="13"/>
  <c r="J27" i="13"/>
  <c r="J28" i="13"/>
  <c r="J29" i="13"/>
  <c r="J30" i="13"/>
  <c r="J31" i="13"/>
  <c r="J32" i="13"/>
  <c r="J33" i="13"/>
  <c r="J34" i="13"/>
  <c r="J35" i="13"/>
  <c r="J36" i="13"/>
  <c r="J37" i="13"/>
  <c r="J38" i="13"/>
  <c r="J39" i="13"/>
  <c r="J40" i="13"/>
  <c r="J41" i="13"/>
  <c r="J42" i="13"/>
  <c r="J43" i="13"/>
  <c r="J44" i="13"/>
  <c r="J45" i="13"/>
  <c r="J46" i="13"/>
  <c r="J47" i="13"/>
  <c r="J48" i="13"/>
  <c r="J49" i="13"/>
  <c r="J50" i="13"/>
  <c r="J51" i="13"/>
  <c r="J52" i="13"/>
  <c r="J53" i="13"/>
  <c r="J54" i="13"/>
  <c r="J55" i="13"/>
  <c r="J56" i="13"/>
  <c r="J57" i="13"/>
  <c r="J58" i="13"/>
  <c r="J59" i="13"/>
  <c r="J60" i="13"/>
  <c r="J61" i="13"/>
  <c r="J62" i="13"/>
  <c r="J63" i="13"/>
  <c r="J64" i="13"/>
  <c r="J65" i="13"/>
  <c r="J66" i="13"/>
  <c r="J67" i="13"/>
  <c r="J68" i="13"/>
  <c r="J69" i="13"/>
  <c r="J70" i="13"/>
  <c r="J71" i="13"/>
  <c r="J72" i="13"/>
  <c r="J73" i="13"/>
  <c r="J74" i="13"/>
  <c r="J75" i="13"/>
  <c r="J76" i="13"/>
  <c r="J77" i="13"/>
  <c r="J78" i="13"/>
  <c r="J79" i="13"/>
  <c r="J80" i="13"/>
  <c r="J81" i="13"/>
  <c r="J82" i="13"/>
  <c r="J83" i="13"/>
  <c r="J84" i="13"/>
  <c r="J85" i="13"/>
  <c r="J86" i="13"/>
  <c r="J87" i="13"/>
  <c r="J88" i="13"/>
  <c r="J89" i="13"/>
  <c r="J90" i="13"/>
  <c r="J91" i="13"/>
  <c r="J92" i="13"/>
  <c r="J93" i="13"/>
  <c r="J94" i="13"/>
  <c r="J95" i="13"/>
  <c r="J96" i="13"/>
  <c r="J97" i="13"/>
  <c r="J98" i="13"/>
  <c r="J99" i="13"/>
  <c r="J100" i="13"/>
  <c r="J101" i="13"/>
  <c r="J102" i="13"/>
  <c r="J103" i="13"/>
  <c r="J104" i="13"/>
  <c r="J105" i="13"/>
  <c r="J106" i="13"/>
  <c r="J107" i="13"/>
  <c r="J108" i="13"/>
  <c r="J109" i="13"/>
  <c r="J110" i="13"/>
  <c r="J111" i="13"/>
  <c r="J112" i="13"/>
  <c r="J113" i="13"/>
  <c r="J114" i="13"/>
  <c r="J115" i="13"/>
  <c r="J116" i="13"/>
  <c r="J117" i="13"/>
  <c r="J118" i="13"/>
  <c r="J119" i="13"/>
  <c r="J120" i="13"/>
  <c r="J121" i="13"/>
  <c r="J122" i="13"/>
  <c r="J123" i="13"/>
  <c r="J124" i="13"/>
  <c r="J125" i="13"/>
  <c r="J126" i="13"/>
  <c r="J127" i="13"/>
  <c r="J128" i="13"/>
  <c r="J129" i="13"/>
  <c r="J130" i="13"/>
  <c r="J131" i="13"/>
  <c r="J132" i="13"/>
  <c r="J133" i="13"/>
  <c r="J134" i="13"/>
  <c r="J135" i="13"/>
  <c r="J136" i="13"/>
  <c r="J137" i="13"/>
  <c r="J138" i="13"/>
  <c r="J139" i="13"/>
  <c r="J140" i="13"/>
  <c r="J141" i="13"/>
  <c r="J142" i="13"/>
  <c r="J143" i="13"/>
  <c r="J144" i="13"/>
  <c r="J145" i="13"/>
  <c r="J146" i="13"/>
  <c r="J147" i="13"/>
  <c r="J148" i="13"/>
  <c r="J149" i="13"/>
  <c r="J150" i="13"/>
  <c r="J151" i="13"/>
  <c r="J152" i="13"/>
  <c r="J153" i="13"/>
  <c r="J154" i="13"/>
  <c r="J155" i="13"/>
  <c r="J156" i="13"/>
  <c r="J157" i="13"/>
  <c r="J158" i="13"/>
  <c r="J159" i="13"/>
  <c r="J160" i="13"/>
  <c r="J161" i="13"/>
  <c r="J162" i="13"/>
  <c r="J163" i="13"/>
  <c r="J164" i="13"/>
  <c r="J165" i="13"/>
  <c r="J166" i="13"/>
  <c r="J167" i="13"/>
  <c r="J168" i="13"/>
  <c r="J169" i="13"/>
  <c r="J170" i="13"/>
  <c r="J171" i="13"/>
  <c r="J172" i="13"/>
  <c r="J173" i="13"/>
  <c r="J174" i="13"/>
  <c r="J175" i="13"/>
  <c r="J176" i="13"/>
  <c r="J177" i="13"/>
  <c r="J178" i="13"/>
  <c r="J179" i="13"/>
  <c r="J180" i="13"/>
  <c r="J181" i="13"/>
  <c r="J182" i="13"/>
  <c r="J183" i="13"/>
  <c r="J184" i="13"/>
  <c r="J185" i="13"/>
  <c r="J186" i="13"/>
  <c r="J187" i="13"/>
  <c r="J188" i="13"/>
  <c r="J189" i="13"/>
  <c r="J190" i="13"/>
  <c r="J191" i="13"/>
  <c r="J192" i="13"/>
  <c r="J193" i="13"/>
  <c r="J194" i="13"/>
  <c r="J195" i="13"/>
  <c r="J196" i="13"/>
  <c r="J197" i="13"/>
  <c r="J198" i="13"/>
  <c r="J199" i="13"/>
  <c r="J200" i="13"/>
  <c r="J201" i="13"/>
  <c r="J202" i="13"/>
  <c r="J203" i="13"/>
  <c r="J204" i="13"/>
  <c r="J205" i="13"/>
  <c r="J206" i="13"/>
  <c r="J207" i="13"/>
  <c r="J208" i="13"/>
  <c r="J209" i="13"/>
  <c r="J210" i="13"/>
  <c r="J211" i="13"/>
  <c r="J212" i="13"/>
  <c r="J213" i="13"/>
  <c r="J214" i="13"/>
  <c r="J215" i="13"/>
  <c r="J216" i="13"/>
  <c r="J217" i="13"/>
  <c r="J218" i="13"/>
  <c r="J219" i="13"/>
  <c r="J220" i="13"/>
  <c r="J221" i="13"/>
  <c r="J222" i="13"/>
  <c r="J223" i="13"/>
  <c r="J224" i="13"/>
  <c r="J225" i="13"/>
  <c r="J226" i="13"/>
  <c r="J227" i="13"/>
  <c r="J228" i="13"/>
  <c r="J229" i="13"/>
  <c r="J230" i="13"/>
  <c r="J231" i="13"/>
  <c r="J232" i="13"/>
  <c r="J233" i="13"/>
  <c r="J234" i="13"/>
  <c r="J235" i="13"/>
  <c r="J236" i="13"/>
  <c r="J237" i="13"/>
  <c r="J238" i="13"/>
  <c r="J239" i="13"/>
  <c r="J240" i="13"/>
  <c r="J241" i="13"/>
  <c r="J242" i="13"/>
  <c r="J243" i="13"/>
  <c r="J244" i="13"/>
  <c r="J245" i="13"/>
  <c r="J246" i="13"/>
  <c r="J247" i="13"/>
  <c r="J248" i="13"/>
  <c r="J249" i="13"/>
  <c r="J250" i="13"/>
  <c r="J251" i="13"/>
  <c r="J252" i="13"/>
  <c r="J253" i="13"/>
  <c r="J254" i="13"/>
  <c r="J255" i="13"/>
  <c r="J256" i="13"/>
  <c r="J257" i="13"/>
  <c r="J258" i="13"/>
  <c r="J259" i="13"/>
  <c r="J260" i="13"/>
  <c r="J261" i="13"/>
  <c r="J262" i="13"/>
  <c r="J263" i="13"/>
  <c r="J264" i="13"/>
  <c r="J265" i="13"/>
  <c r="J266" i="13"/>
  <c r="J267" i="13"/>
  <c r="J268" i="13"/>
  <c r="J269" i="13"/>
  <c r="J270" i="13"/>
  <c r="J271" i="13"/>
  <c r="J272" i="13"/>
  <c r="J273" i="13"/>
  <c r="J274" i="13"/>
  <c r="J275" i="13"/>
  <c r="J276" i="13"/>
  <c r="J277" i="13"/>
  <c r="J278" i="13"/>
  <c r="J279" i="13"/>
  <c r="J280" i="13"/>
  <c r="J281" i="13"/>
  <c r="J282" i="13"/>
  <c r="J283" i="13"/>
  <c r="J284" i="13"/>
  <c r="J285" i="13"/>
  <c r="J286" i="13"/>
  <c r="J287" i="13"/>
  <c r="J288" i="13"/>
  <c r="J289" i="13"/>
  <c r="J290" i="13"/>
  <c r="J291" i="13"/>
  <c r="J292" i="13"/>
  <c r="J293" i="13"/>
  <c r="J294" i="13"/>
  <c r="J295" i="13"/>
  <c r="J296" i="13"/>
  <c r="J297" i="13"/>
  <c r="J298" i="13"/>
  <c r="J299" i="13"/>
  <c r="J300" i="13"/>
  <c r="J301" i="13"/>
  <c r="J302" i="13"/>
  <c r="J303" i="13"/>
  <c r="J304" i="13"/>
  <c r="J305" i="13"/>
  <c r="J306" i="13"/>
  <c r="J307" i="13"/>
  <c r="J308" i="13"/>
  <c r="J309" i="13"/>
  <c r="J310" i="13"/>
  <c r="J311" i="13"/>
  <c r="J312" i="13"/>
  <c r="J313" i="13"/>
  <c r="J314" i="13"/>
  <c r="J315" i="13"/>
  <c r="J316" i="13"/>
  <c r="J317" i="13"/>
  <c r="J318" i="13"/>
  <c r="J319" i="13"/>
  <c r="J320" i="13"/>
  <c r="J321" i="13"/>
  <c r="J322" i="13"/>
  <c r="J323" i="13"/>
  <c r="J324" i="13"/>
  <c r="J325" i="13"/>
  <c r="J326" i="13"/>
  <c r="J327" i="13"/>
  <c r="J328" i="13"/>
  <c r="J329" i="13"/>
  <c r="J330" i="13"/>
  <c r="J331" i="13"/>
  <c r="J332" i="13"/>
  <c r="J333" i="13"/>
  <c r="J334" i="13"/>
  <c r="J335" i="13"/>
  <c r="J336" i="13"/>
  <c r="J337" i="13"/>
  <c r="J338" i="13"/>
  <c r="J339" i="13"/>
  <c r="J340" i="13"/>
  <c r="J341" i="13"/>
  <c r="J342" i="13"/>
  <c r="J343" i="13"/>
  <c r="J344" i="13"/>
  <c r="J345" i="13"/>
  <c r="J346" i="13"/>
  <c r="J347" i="13"/>
  <c r="J348" i="13"/>
  <c r="J349" i="13"/>
  <c r="J350" i="13"/>
  <c r="J351" i="13"/>
  <c r="J352" i="13"/>
  <c r="J353" i="13"/>
  <c r="J354" i="13"/>
  <c r="J355" i="13"/>
  <c r="J356" i="13"/>
  <c r="J357" i="13"/>
  <c r="J358" i="13"/>
  <c r="J359" i="13"/>
  <c r="J360" i="13"/>
  <c r="J361" i="13"/>
  <c r="J362" i="13"/>
  <c r="J363" i="13"/>
  <c r="J364" i="13"/>
  <c r="J365" i="13"/>
  <c r="J366" i="13"/>
  <c r="J367" i="13"/>
  <c r="J368" i="13"/>
  <c r="J369" i="13"/>
  <c r="J370" i="13"/>
  <c r="J371" i="13"/>
  <c r="J372" i="13"/>
  <c r="J373" i="13"/>
  <c r="J374" i="13"/>
  <c r="J375" i="13"/>
  <c r="J376" i="13"/>
  <c r="J377" i="13"/>
  <c r="J378" i="13"/>
  <c r="J379" i="13"/>
  <c r="J380" i="13"/>
  <c r="J381" i="13"/>
  <c r="J382" i="13"/>
  <c r="J383" i="13"/>
  <c r="J384" i="13"/>
  <c r="J385" i="13"/>
  <c r="J386" i="13"/>
  <c r="J387" i="13"/>
  <c r="J388" i="13"/>
  <c r="J389" i="13"/>
  <c r="J390" i="13"/>
  <c r="J391" i="13"/>
  <c r="J392" i="13"/>
  <c r="J393" i="13"/>
  <c r="J394" i="13"/>
  <c r="J395" i="13"/>
  <c r="J396" i="13"/>
  <c r="J397" i="13"/>
  <c r="J398" i="13"/>
  <c r="J399" i="13"/>
  <c r="J400" i="13"/>
  <c r="J401" i="13"/>
  <c r="J402" i="13"/>
  <c r="J403" i="13"/>
  <c r="J404" i="13"/>
  <c r="J405" i="13"/>
  <c r="J406" i="13"/>
  <c r="J407" i="13"/>
  <c r="J408" i="13"/>
  <c r="J409" i="13"/>
  <c r="J410" i="13"/>
  <c r="J411" i="13"/>
  <c r="J412" i="13"/>
  <c r="J413" i="13"/>
  <c r="J414" i="13"/>
  <c r="J415" i="13"/>
  <c r="J416" i="13"/>
  <c r="J417" i="13"/>
  <c r="J418" i="13"/>
  <c r="J419" i="13"/>
  <c r="J420" i="13"/>
  <c r="J421" i="13"/>
  <c r="J422" i="13"/>
  <c r="J423" i="13"/>
  <c r="J424" i="13"/>
  <c r="J425" i="13"/>
  <c r="J426" i="13"/>
  <c r="J427" i="13"/>
  <c r="J428" i="13"/>
  <c r="J429" i="13"/>
  <c r="J430" i="13"/>
  <c r="J431" i="13"/>
  <c r="J432" i="13"/>
  <c r="J433" i="13"/>
  <c r="J434" i="13"/>
  <c r="J435" i="13"/>
  <c r="J436" i="13"/>
  <c r="J437" i="13"/>
  <c r="J438" i="13"/>
  <c r="J439" i="13"/>
  <c r="J440" i="13"/>
  <c r="J441" i="13"/>
  <c r="J442" i="13"/>
  <c r="J443" i="13"/>
  <c r="J444" i="13"/>
  <c r="J445" i="13"/>
  <c r="J446" i="13"/>
  <c r="J447" i="13"/>
  <c r="J448" i="13"/>
  <c r="J449" i="13"/>
  <c r="J450" i="13"/>
  <c r="J451" i="13"/>
  <c r="J452" i="13"/>
  <c r="J453" i="13"/>
  <c r="J454" i="13"/>
  <c r="J455" i="13"/>
  <c r="J456" i="13"/>
  <c r="J457" i="13"/>
  <c r="J458" i="13"/>
  <c r="J459" i="13"/>
  <c r="J460" i="13"/>
  <c r="J461" i="13"/>
  <c r="J462" i="13"/>
  <c r="J463" i="13"/>
  <c r="J464" i="13"/>
  <c r="J465" i="13"/>
  <c r="J466" i="13"/>
  <c r="J467" i="13"/>
  <c r="J468" i="13"/>
  <c r="J469" i="13"/>
  <c r="J470" i="13"/>
  <c r="J471" i="13"/>
  <c r="J472" i="13"/>
  <c r="J473" i="13"/>
  <c r="J474" i="13"/>
  <c r="J475" i="13"/>
  <c r="J476" i="13"/>
  <c r="J477" i="13"/>
  <c r="J478" i="13"/>
  <c r="J479" i="13"/>
  <c r="J480" i="13"/>
  <c r="J481" i="13"/>
  <c r="J482" i="13"/>
  <c r="J483" i="13"/>
  <c r="J484" i="13"/>
  <c r="J485" i="13"/>
  <c r="J486" i="13"/>
  <c r="J487" i="13"/>
  <c r="J488" i="13"/>
  <c r="J489" i="13"/>
  <c r="J490" i="13"/>
  <c r="J491" i="13"/>
  <c r="J492" i="13"/>
  <c r="J493" i="13"/>
  <c r="J494" i="13"/>
  <c r="J495" i="13"/>
  <c r="J496" i="13"/>
  <c r="J497" i="13"/>
  <c r="J498" i="13"/>
  <c r="J499" i="13"/>
  <c r="J500" i="13"/>
  <c r="J501" i="13"/>
  <c r="J502" i="13"/>
  <c r="J503" i="13"/>
  <c r="J504" i="13"/>
  <c r="J505" i="13"/>
  <c r="J506" i="13"/>
  <c r="J507" i="13"/>
  <c r="J508" i="13"/>
  <c r="J509" i="13"/>
  <c r="J510" i="13"/>
  <c r="J511" i="13"/>
  <c r="J512" i="13"/>
  <c r="J513" i="13"/>
  <c r="J514" i="13"/>
  <c r="J515" i="13"/>
  <c r="J516" i="13"/>
  <c r="J517" i="13"/>
  <c r="J518" i="13"/>
  <c r="J519" i="13"/>
  <c r="J520" i="13"/>
  <c r="J521" i="13"/>
  <c r="J522" i="13"/>
  <c r="J523" i="13"/>
  <c r="J524" i="13"/>
  <c r="J525" i="13"/>
  <c r="J526" i="13"/>
  <c r="J527" i="13"/>
  <c r="J528" i="13"/>
  <c r="J529" i="13"/>
  <c r="J530" i="13"/>
  <c r="J531" i="13"/>
  <c r="J532" i="13"/>
  <c r="J533" i="13"/>
  <c r="J534" i="13"/>
  <c r="J535" i="13"/>
  <c r="J536" i="13"/>
  <c r="J537" i="13"/>
  <c r="J538" i="13"/>
  <c r="J539" i="13"/>
  <c r="J540" i="13"/>
  <c r="J541" i="13"/>
  <c r="J542" i="13"/>
  <c r="J543" i="13"/>
  <c r="J544" i="13"/>
  <c r="J545" i="13"/>
  <c r="J546" i="13"/>
  <c r="J547" i="13"/>
  <c r="J548" i="13"/>
  <c r="J549" i="13"/>
  <c r="J550" i="13"/>
  <c r="J551" i="13"/>
  <c r="J552" i="13"/>
  <c r="J553" i="13"/>
  <c r="J554" i="13"/>
  <c r="J555" i="13"/>
  <c r="J556" i="13"/>
  <c r="J557" i="13"/>
  <c r="J558" i="13"/>
  <c r="J559" i="13"/>
  <c r="J560" i="13"/>
  <c r="J561" i="13"/>
  <c r="J562" i="13"/>
  <c r="J563" i="13"/>
  <c r="J564" i="13"/>
  <c r="J565" i="13"/>
  <c r="J566" i="13"/>
  <c r="J567" i="13"/>
  <c r="J568" i="13"/>
  <c r="J569" i="13"/>
  <c r="J570" i="13"/>
  <c r="J571" i="13"/>
  <c r="J572" i="13"/>
  <c r="J573" i="13"/>
  <c r="J574" i="13"/>
  <c r="J575" i="13"/>
  <c r="J576" i="13"/>
  <c r="J577" i="13"/>
  <c r="J578" i="13"/>
  <c r="J579" i="13"/>
  <c r="J580" i="13"/>
  <c r="J581" i="13"/>
  <c r="J582" i="13"/>
  <c r="J583" i="13"/>
  <c r="J584" i="13"/>
  <c r="J585" i="13"/>
  <c r="J586" i="13"/>
  <c r="J587" i="13"/>
  <c r="J588" i="13"/>
  <c r="J589" i="13"/>
  <c r="J590" i="13"/>
  <c r="J591" i="13"/>
  <c r="J592" i="13"/>
  <c r="J593" i="13"/>
  <c r="J594" i="13"/>
  <c r="J595" i="13"/>
  <c r="J596" i="13"/>
  <c r="J597" i="13"/>
  <c r="J598" i="13"/>
  <c r="J599" i="13"/>
  <c r="J600" i="13"/>
  <c r="J601" i="13"/>
  <c r="J602" i="13"/>
  <c r="J603" i="13"/>
  <c r="J604" i="13"/>
  <c r="J605" i="13"/>
  <c r="J606" i="13"/>
  <c r="J607" i="13"/>
  <c r="J608" i="13"/>
  <c r="J609" i="13"/>
  <c r="J610" i="13"/>
  <c r="J611" i="13"/>
  <c r="J612" i="13"/>
  <c r="J613" i="13"/>
  <c r="J614" i="13"/>
  <c r="J615" i="13"/>
  <c r="J616" i="13"/>
  <c r="J617" i="13"/>
  <c r="J618" i="13"/>
  <c r="J619" i="13"/>
  <c r="J620" i="13"/>
  <c r="J621" i="13"/>
  <c r="J622" i="13"/>
  <c r="J623" i="13"/>
  <c r="J624" i="13"/>
  <c r="J625" i="13"/>
  <c r="J626" i="13"/>
  <c r="J627" i="13"/>
  <c r="J628" i="13"/>
  <c r="J629" i="13"/>
  <c r="J630" i="13"/>
  <c r="J631" i="13"/>
  <c r="J632" i="13"/>
  <c r="J633" i="13"/>
  <c r="J634" i="13"/>
  <c r="J635" i="13"/>
  <c r="J636" i="13"/>
  <c r="J637" i="13"/>
  <c r="J638" i="13"/>
  <c r="J639" i="13"/>
  <c r="J640" i="13"/>
  <c r="J641" i="13"/>
  <c r="J642" i="13"/>
  <c r="J643" i="13"/>
  <c r="J644" i="13"/>
  <c r="J645" i="13"/>
  <c r="J646" i="13"/>
  <c r="J647" i="13"/>
  <c r="J648" i="13"/>
  <c r="J649" i="13"/>
  <c r="J650" i="13"/>
  <c r="J651" i="13"/>
  <c r="J652" i="13"/>
  <c r="J653" i="13"/>
  <c r="J654" i="13"/>
  <c r="J655" i="13"/>
  <c r="J656" i="13"/>
  <c r="J657" i="13"/>
  <c r="J658" i="13"/>
  <c r="J659" i="13"/>
  <c r="J660" i="13"/>
  <c r="J661" i="13"/>
  <c r="J662" i="13"/>
  <c r="J663" i="13"/>
  <c r="J664" i="13"/>
  <c r="J665" i="13"/>
  <c r="J666" i="13"/>
  <c r="J667" i="13"/>
  <c r="J668" i="13"/>
  <c r="J669" i="13"/>
  <c r="J670" i="13"/>
  <c r="J671" i="13"/>
  <c r="J672" i="13"/>
  <c r="J673" i="13"/>
  <c r="J674" i="13"/>
  <c r="J675" i="13"/>
  <c r="J676" i="13"/>
  <c r="J677" i="13"/>
  <c r="J678" i="13"/>
  <c r="J679" i="13"/>
  <c r="J680" i="13"/>
  <c r="J681" i="13"/>
  <c r="J682" i="13"/>
  <c r="J683" i="13"/>
  <c r="J684" i="13"/>
  <c r="J685" i="13"/>
  <c r="J686" i="13"/>
  <c r="J687" i="13"/>
  <c r="J688" i="13"/>
  <c r="J689" i="13"/>
  <c r="J690" i="13"/>
  <c r="J691" i="13"/>
  <c r="J692" i="13"/>
  <c r="J693" i="13"/>
  <c r="J694" i="13"/>
  <c r="J695" i="13"/>
  <c r="J696" i="13"/>
  <c r="J697" i="13"/>
  <c r="J698" i="13"/>
  <c r="J699" i="13"/>
  <c r="J700" i="13"/>
  <c r="J701" i="13"/>
  <c r="J702" i="13"/>
  <c r="J703" i="13"/>
  <c r="J704" i="13"/>
  <c r="J705" i="13"/>
  <c r="J706" i="13"/>
  <c r="J707" i="13"/>
  <c r="J708" i="13"/>
  <c r="J709" i="13"/>
  <c r="J710" i="13"/>
  <c r="J711" i="13"/>
  <c r="J712" i="13"/>
  <c r="J713" i="13"/>
  <c r="J714" i="13"/>
  <c r="J715" i="13"/>
  <c r="J716" i="13"/>
  <c r="J717" i="13"/>
  <c r="J718" i="13"/>
  <c r="J719" i="13"/>
  <c r="J720" i="13"/>
  <c r="J721" i="13"/>
  <c r="J722" i="13"/>
  <c r="J723" i="13"/>
  <c r="J724" i="13"/>
  <c r="J725" i="13"/>
  <c r="J726" i="13"/>
  <c r="J727" i="13"/>
  <c r="J728" i="13"/>
  <c r="J729" i="13"/>
  <c r="J730" i="13"/>
  <c r="J731" i="13"/>
  <c r="J732" i="13"/>
  <c r="J733" i="13"/>
  <c r="J734" i="13"/>
  <c r="J735" i="13"/>
  <c r="J736" i="13"/>
  <c r="J737" i="13"/>
  <c r="J738" i="13"/>
  <c r="J739" i="13"/>
  <c r="J740" i="13"/>
  <c r="J741" i="13"/>
  <c r="J742" i="13"/>
  <c r="J743" i="13"/>
  <c r="J744" i="13"/>
  <c r="J745" i="13"/>
  <c r="J746" i="13"/>
  <c r="J747" i="13"/>
  <c r="J748" i="13"/>
  <c r="J749" i="13"/>
  <c r="J750" i="13"/>
  <c r="J751" i="13"/>
  <c r="J752" i="13"/>
  <c r="J753" i="13"/>
  <c r="J754" i="13"/>
  <c r="J755" i="13"/>
  <c r="J756" i="13"/>
  <c r="J757" i="13"/>
  <c r="J758" i="13"/>
  <c r="J759" i="13"/>
  <c r="J760" i="13"/>
  <c r="J761" i="13"/>
  <c r="J762" i="13"/>
  <c r="J763" i="13"/>
  <c r="J764" i="13"/>
  <c r="J765" i="13"/>
  <c r="J766" i="13"/>
  <c r="J767" i="13"/>
  <c r="J768" i="13"/>
  <c r="J769" i="13"/>
  <c r="J770" i="13"/>
  <c r="J771" i="13"/>
  <c r="J772" i="13"/>
  <c r="J773" i="13"/>
  <c r="J774" i="13"/>
  <c r="J775" i="13"/>
  <c r="J776" i="13"/>
  <c r="J777" i="13"/>
  <c r="J778" i="13"/>
  <c r="J779" i="13"/>
  <c r="J780" i="13"/>
  <c r="J781" i="13"/>
  <c r="J782" i="13"/>
  <c r="J783" i="13"/>
  <c r="J784" i="13"/>
  <c r="J785" i="13"/>
  <c r="J786" i="13"/>
  <c r="J787" i="13"/>
  <c r="J788" i="13"/>
  <c r="J789" i="13"/>
  <c r="J790" i="13"/>
  <c r="J791" i="13"/>
  <c r="J792" i="13"/>
  <c r="J793" i="13"/>
  <c r="J794" i="13"/>
  <c r="J795" i="13"/>
  <c r="J796" i="13"/>
  <c r="J797" i="13"/>
  <c r="J798" i="13"/>
  <c r="J799" i="13"/>
  <c r="J800" i="13"/>
  <c r="J801" i="13"/>
  <c r="J802" i="13"/>
  <c r="J803" i="13"/>
  <c r="J804" i="13"/>
  <c r="J805" i="13"/>
  <c r="J806" i="13"/>
  <c r="J807" i="13"/>
  <c r="J808" i="13"/>
  <c r="J809" i="13"/>
  <c r="J810" i="13"/>
  <c r="J811" i="13"/>
  <c r="J812" i="13"/>
  <c r="J813" i="13"/>
  <c r="J814" i="13"/>
  <c r="J815" i="13"/>
  <c r="J816" i="13"/>
  <c r="J817" i="13"/>
  <c r="J818" i="13"/>
  <c r="J819" i="13"/>
  <c r="J820" i="13"/>
  <c r="J821" i="13"/>
  <c r="J822" i="13"/>
  <c r="J823" i="13"/>
  <c r="J824" i="13"/>
  <c r="J825" i="13"/>
  <c r="J826" i="13"/>
  <c r="J827" i="13"/>
  <c r="J828" i="13"/>
  <c r="J829" i="13"/>
  <c r="J830" i="13"/>
  <c r="J831" i="13"/>
  <c r="J832" i="13"/>
  <c r="J833" i="13"/>
  <c r="J834" i="13"/>
  <c r="J835" i="13"/>
  <c r="J836" i="13"/>
  <c r="J837" i="13"/>
  <c r="J838" i="13"/>
  <c r="J839" i="13"/>
  <c r="J840" i="13"/>
  <c r="J841" i="13"/>
  <c r="J842" i="13"/>
  <c r="J843" i="13"/>
  <c r="J844" i="13"/>
  <c r="J845" i="13"/>
  <c r="J846" i="13"/>
  <c r="J847" i="13"/>
  <c r="J848" i="13"/>
  <c r="J849" i="13"/>
  <c r="J850" i="13"/>
  <c r="J851" i="13"/>
  <c r="J852" i="13"/>
  <c r="J853" i="13"/>
  <c r="J854" i="13"/>
  <c r="J855" i="13"/>
  <c r="J856" i="13"/>
  <c r="J857" i="13"/>
  <c r="J858" i="13"/>
  <c r="J9" i="13"/>
  <c r="J8" i="13"/>
  <c r="P19" i="7"/>
  <c r="O19" i="7"/>
  <c r="P18" i="7"/>
  <c r="O18" i="7"/>
  <c r="T7" i="7"/>
  <c r="S7" i="7"/>
  <c r="R7" i="7"/>
  <c r="Q7" i="7"/>
  <c r="T8" i="7"/>
  <c r="S8" i="7"/>
  <c r="R8" i="7"/>
  <c r="Q8" i="7"/>
  <c r="P7" i="7"/>
  <c r="P8" i="7" s="1"/>
  <c r="I13" i="7"/>
  <c r="H13" i="7"/>
  <c r="G13" i="7"/>
  <c r="R30" i="7" s="1"/>
  <c r="F13" i="7"/>
  <c r="Q30" i="7" s="1"/>
  <c r="I8" i="7"/>
  <c r="H8" i="7"/>
  <c r="G8" i="7"/>
  <c r="F8" i="7"/>
  <c r="E13" i="7"/>
  <c r="P30" i="7" s="1"/>
  <c r="E8" i="7"/>
  <c r="F15" i="19"/>
  <c r="F24" i="19"/>
  <c r="K17" i="19"/>
  <c r="P17" i="19" s="1"/>
  <c r="F24" i="18"/>
  <c r="K17" i="18"/>
  <c r="P17" i="18" s="1"/>
  <c r="F24" i="17"/>
  <c r="K17" i="17"/>
  <c r="P17" i="17" s="1"/>
  <c r="F24" i="16"/>
  <c r="K17" i="16"/>
  <c r="P17" i="16" s="1"/>
  <c r="P17" i="14"/>
  <c r="K17" i="14"/>
  <c r="F24" i="14"/>
  <c r="D22" i="12"/>
  <c r="E22" i="12"/>
  <c r="C22" i="12"/>
  <c r="D9" i="12"/>
  <c r="E9" i="12"/>
  <c r="C9" i="12"/>
  <c r="P32" i="7" l="1"/>
  <c r="P35" i="7" s="1"/>
  <c r="Q32" i="7"/>
  <c r="Q35" i="7" s="1"/>
  <c r="R32" i="7"/>
  <c r="R35" i="7" s="1"/>
  <c r="P34" i="7"/>
  <c r="Q34" i="7"/>
  <c r="R34" i="7"/>
  <c r="O21" i="7"/>
  <c r="S30" i="7"/>
  <c r="P21" i="7"/>
  <c r="T30" i="7"/>
  <c r="O20" i="7"/>
  <c r="O24" i="7" s="1"/>
  <c r="P20" i="7"/>
  <c r="P24" i="7" s="1"/>
  <c r="E15" i="7"/>
  <c r="F15" i="7"/>
  <c r="G15" i="7"/>
  <c r="H15" i="7"/>
  <c r="I15" i="7"/>
  <c r="T32" i="7" l="1"/>
  <c r="S32" i="7"/>
  <c r="I17" i="7"/>
  <c r="I18" i="7"/>
  <c r="H17" i="7"/>
  <c r="H18" i="7"/>
  <c r="G17" i="7"/>
  <c r="G18" i="7"/>
  <c r="F17" i="7"/>
  <c r="F18" i="7"/>
  <c r="E17" i="7"/>
  <c r="E20" i="7" s="1"/>
  <c r="E18" i="7"/>
  <c r="E21" i="7" s="1"/>
  <c r="S34" i="7" l="1"/>
  <c r="S35" i="7"/>
  <c r="T34" i="7"/>
  <c r="T35" i="7"/>
  <c r="P38" i="7" l="1"/>
  <c r="P37" i="7"/>
</calcChain>
</file>

<file path=xl/sharedStrings.xml><?xml version="1.0" encoding="utf-8"?>
<sst xmlns="http://schemas.openxmlformats.org/spreadsheetml/2006/main" count="3626" uniqueCount="879">
  <si>
    <t>Date</t>
  </si>
  <si>
    <t>Price</t>
  </si>
  <si>
    <t>Open</t>
  </si>
  <si>
    <t>High</t>
  </si>
  <si>
    <t>Low</t>
  </si>
  <si>
    <t>Volume</t>
  </si>
  <si>
    <t>Change(%)</t>
  </si>
  <si>
    <t>Nifty Change(%)</t>
  </si>
  <si>
    <t>Net Change(Stock-Index) Return%</t>
  </si>
  <si>
    <t>DAYS WITH MORE THAN 5% FLUCTUATION</t>
  </si>
  <si>
    <t>Category</t>
  </si>
  <si>
    <t>Reason</t>
  </si>
  <si>
    <t>(b)</t>
  </si>
  <si>
    <t>Positive market sentiment towards QSR stocks; Sapphire Foods featured in an article highlighting potential upside.</t>
  </si>
  <si>
    <t>(a)</t>
  </si>
  <si>
    <t>Market-wide volatility due to Union Budget 2025 announcements; Nifty closed lower amidst high volatility.</t>
  </si>
  <si>
    <t>Stock declined 6.32% following the release of Q2 results showing a loss of ₹3.04 crore.</t>
  </si>
  <si>
    <t xml:space="preserve">Stock surged 9.98% after Q2 results announcement; despite a loss, revenue increased by 8.26% YoY. </t>
  </si>
  <si>
    <t>(c)</t>
  </si>
  <si>
    <t xml:space="preserve">Stock hit an all-time high with a 13.6% intraday gain after multiple block deals; no specific news identified. </t>
  </si>
  <si>
    <t>No specific news identified; movement likely due to market speculation.</t>
  </si>
  <si>
    <t xml:space="preserve">Stock gained 5.22%, outperforming sector and Sensex. </t>
  </si>
  <si>
    <t>Stock declined 9% as management anticipated continued sales and margin pressures.</t>
  </si>
  <si>
    <t>NOTE: volatility is due to (a) overall market (b) significant news (c) purely speculative.days are kept in any of these 3 categories based on the reason</t>
  </si>
  <si>
    <t xml:space="preserve">         Beta on Yearly Basis</t>
  </si>
  <si>
    <t>Period</t>
  </si>
  <si>
    <t>Daily Beta</t>
  </si>
  <si>
    <t>Weekly Beta</t>
  </si>
  <si>
    <t>Monthly Beta</t>
  </si>
  <si>
    <t>FY 22</t>
  </si>
  <si>
    <t>FY 23</t>
  </si>
  <si>
    <t>FY 24</t>
  </si>
  <si>
    <t>FY 25</t>
  </si>
  <si>
    <t xml:space="preserve">AVERAGE </t>
  </si>
  <si>
    <t>Beta on 2.5 year Basis</t>
  </si>
  <si>
    <t>FY 21 - FY 22</t>
  </si>
  <si>
    <t>FY 22 - FY 25</t>
  </si>
  <si>
    <t>FY 24 Balance Sheet</t>
  </si>
  <si>
    <t>Note: All figures in Rs. Crores</t>
  </si>
  <si>
    <t>Assets</t>
  </si>
  <si>
    <t>Liabilities &amp; Shareholders' Equity</t>
  </si>
  <si>
    <t>Land</t>
  </si>
  <si>
    <t>Equity Capital</t>
  </si>
  <si>
    <t>Building</t>
  </si>
  <si>
    <t>Reserves</t>
  </si>
  <si>
    <t>Plant Machinery</t>
  </si>
  <si>
    <t>Long term Borrowings</t>
  </si>
  <si>
    <t>Equipments</t>
  </si>
  <si>
    <t>Short term Borrowings</t>
  </si>
  <si>
    <t>Computers</t>
  </si>
  <si>
    <t>Lease Liabilities</t>
  </si>
  <si>
    <t>Furniture and Fittings</t>
  </si>
  <si>
    <t>Other Borrowings</t>
  </si>
  <si>
    <t>Vehicles</t>
  </si>
  <si>
    <t>Non controlling interest</t>
  </si>
  <si>
    <t>Intangible Assets</t>
  </si>
  <si>
    <t>Trade Payables</t>
  </si>
  <si>
    <t>Other fixed assets</t>
  </si>
  <si>
    <t>Advance from Customers</t>
  </si>
  <si>
    <t>Accumulated Depriciation</t>
  </si>
  <si>
    <t>Other liability items</t>
  </si>
  <si>
    <t>CWIP</t>
  </si>
  <si>
    <t>Total Liabilities &amp; Shareholders' Equity</t>
  </si>
  <si>
    <t>Check balance</t>
  </si>
  <si>
    <t>Investments</t>
  </si>
  <si>
    <t>Inventories</t>
  </si>
  <si>
    <t>Trade receivables</t>
  </si>
  <si>
    <t>Cash Equivalents</t>
  </si>
  <si>
    <t>Loans and Advances</t>
  </si>
  <si>
    <t>Other asset items</t>
  </si>
  <si>
    <t>Total Assets</t>
  </si>
  <si>
    <t>FY 23 Balance Sheet</t>
  </si>
  <si>
    <t>FY 22 Balance Sheet</t>
  </si>
  <si>
    <t>FY 21 Balance Sheet</t>
  </si>
  <si>
    <t>FY 20 Balance Sheet</t>
  </si>
  <si>
    <t>Book Value Weights</t>
  </si>
  <si>
    <t>Market Value Weights</t>
  </si>
  <si>
    <t>Target Capital Structure</t>
  </si>
  <si>
    <t xml:space="preserve">Note: Sapphire Foods India Ltd. does not have a specific target debt-to-equity ratio publicly disclosed. </t>
  </si>
  <si>
    <t>FY24</t>
  </si>
  <si>
    <t>FY23</t>
  </si>
  <si>
    <t>FY22</t>
  </si>
  <si>
    <t>FY21</t>
  </si>
  <si>
    <t>FY20</t>
  </si>
  <si>
    <t>Equity capital</t>
  </si>
  <si>
    <t>Closing price on last trading day (in Rs.)</t>
  </si>
  <si>
    <t>Total diluted shares outstanding</t>
  </si>
  <si>
    <t>Total Shareholders' Funds</t>
  </si>
  <si>
    <t>Market Cap (in Rs. Crores)</t>
  </si>
  <si>
    <t>Long term borrowings</t>
  </si>
  <si>
    <t>Short term borrowings</t>
  </si>
  <si>
    <t>Note: Sapphire Foods India Ltd. was not traded publicly before FY22, so we use relative valuation techniques to obtain its market capitalization for FY21 and FY20.</t>
  </si>
  <si>
    <t>Total Interest-bearing Debt</t>
  </si>
  <si>
    <t>Company</t>
  </si>
  <si>
    <t>Symbol</t>
  </si>
  <si>
    <t>FY21 EV/EBITDA</t>
  </si>
  <si>
    <t>FY20 EV/EBITDA</t>
  </si>
  <si>
    <t>Total Capital</t>
  </si>
  <si>
    <t>Jubiliant Foodworks Ltd.</t>
  </si>
  <si>
    <t>JUBLFOOD</t>
  </si>
  <si>
    <t>Westlife Foodworld Inc.</t>
  </si>
  <si>
    <t>WESTLIFE</t>
  </si>
  <si>
    <t>Book Value Weight of Equity</t>
  </si>
  <si>
    <t>Book Value Weight of Debt</t>
  </si>
  <si>
    <t>Average EV/EBITDA</t>
  </si>
  <si>
    <t>EBITDA of SAPPHIRE (in Rs. Crore)</t>
  </si>
  <si>
    <t>Average Book Value Weight of Equity</t>
  </si>
  <si>
    <t>EV of SAPPHIRE (in Rs. Crore)</t>
  </si>
  <si>
    <t>Average Book Value Weight of Debt</t>
  </si>
  <si>
    <t>Total debt (in Rs. Crore)</t>
  </si>
  <si>
    <t>Cash Equivalents (in Rs. Crore)</t>
  </si>
  <si>
    <t>Note: Book Value of Debt is used as a proxy for Market Value of Debt.</t>
  </si>
  <si>
    <t>Market Value of Debt</t>
  </si>
  <si>
    <t>Market Value Weight of Equity</t>
  </si>
  <si>
    <t>Market Value Weight of Debt</t>
  </si>
  <si>
    <t>Average Market Value Weight of Equity</t>
  </si>
  <si>
    <t>Average Market Value Weight of Debt</t>
  </si>
  <si>
    <t>Cost of Equity</t>
  </si>
  <si>
    <t>Rf (10-year Indian government bond yield)</t>
  </si>
  <si>
    <t>Beta</t>
  </si>
  <si>
    <t>Equity Risk Premium</t>
  </si>
  <si>
    <t>Re (Cost of Equity)</t>
  </si>
  <si>
    <t>Average Cost of Equity</t>
  </si>
  <si>
    <t>Cost of Debt</t>
  </si>
  <si>
    <t xml:space="preserve">FY 2024 - FY 2025 Beta </t>
  </si>
  <si>
    <t>A.</t>
  </si>
  <si>
    <t xml:space="preserve">Daily </t>
  </si>
  <si>
    <t>B.</t>
  </si>
  <si>
    <t>Weekly</t>
  </si>
  <si>
    <t>C.</t>
  </si>
  <si>
    <t>MONTHLY</t>
  </si>
  <si>
    <t xml:space="preserve">SAPPHIRE FOODS </t>
  </si>
  <si>
    <t>NIFTY 50</t>
  </si>
  <si>
    <t xml:space="preserve">Date </t>
  </si>
  <si>
    <t xml:space="preserve">Price </t>
  </si>
  <si>
    <t xml:space="preserve">Returns </t>
  </si>
  <si>
    <t>Returns</t>
  </si>
  <si>
    <t>SUMMARY OUTPUT</t>
  </si>
  <si>
    <t>28/03/2025</t>
  </si>
  <si>
    <t>30/03/2025</t>
  </si>
  <si>
    <t>27/03/2025</t>
  </si>
  <si>
    <t>23/03/2025</t>
  </si>
  <si>
    <t>Regression Statistics</t>
  </si>
  <si>
    <t>26/03/2025</t>
  </si>
  <si>
    <t>16/03/2025</t>
  </si>
  <si>
    <t>Multiple R</t>
  </si>
  <si>
    <t>25/03/2025</t>
  </si>
  <si>
    <t>R Square</t>
  </si>
  <si>
    <t>24/03/2025</t>
  </si>
  <si>
    <t>Adjusted R Square</t>
  </si>
  <si>
    <t>21/03/2025</t>
  </si>
  <si>
    <t>23/02/2025</t>
  </si>
  <si>
    <t>Standard Error</t>
  </si>
  <si>
    <t>20/03/2025</t>
  </si>
  <si>
    <t>16/02/2025</t>
  </si>
  <si>
    <t>Observations</t>
  </si>
  <si>
    <t>19/03/2025</t>
  </si>
  <si>
    <t>18/03/2025</t>
  </si>
  <si>
    <t>ANOVA</t>
  </si>
  <si>
    <t>17/03/2025</t>
  </si>
  <si>
    <t>26/01/2025</t>
  </si>
  <si>
    <t> </t>
  </si>
  <si>
    <t>df</t>
  </si>
  <si>
    <t>SS</t>
  </si>
  <si>
    <t>MS</t>
  </si>
  <si>
    <t>F</t>
  </si>
  <si>
    <t>Significance F</t>
  </si>
  <si>
    <t>13/03/2025</t>
  </si>
  <si>
    <t>19/01/2025</t>
  </si>
  <si>
    <t>Regression</t>
  </si>
  <si>
    <t>Residual</t>
  </si>
  <si>
    <t>Total</t>
  </si>
  <si>
    <t>29/12/2024</t>
  </si>
  <si>
    <t>22/12/2024</t>
  </si>
  <si>
    <t>Coefficients</t>
  </si>
  <si>
    <t>t Stat</t>
  </si>
  <si>
    <t>P-value</t>
  </si>
  <si>
    <t>Lower 95%</t>
  </si>
  <si>
    <t>Upper 95%</t>
  </si>
  <si>
    <t>Lower 95.0%</t>
  </si>
  <si>
    <t>Upper 95.0%</t>
  </si>
  <si>
    <t>15/12/2024</t>
  </si>
  <si>
    <t>Intercept</t>
  </si>
  <si>
    <t>X Variable 1</t>
  </si>
  <si>
    <t>24/11/2024</t>
  </si>
  <si>
    <t xml:space="preserve">BETA </t>
  </si>
  <si>
    <t>28/02/2025</t>
  </si>
  <si>
    <t>17/11/2024</t>
  </si>
  <si>
    <t>27/02/2025</t>
  </si>
  <si>
    <t xml:space="preserve">FY 25 Beta </t>
  </si>
  <si>
    <t>25/02/2025</t>
  </si>
  <si>
    <t>24/02/2025</t>
  </si>
  <si>
    <t>27/10/2024</t>
  </si>
  <si>
    <t>21/02/2025</t>
  </si>
  <si>
    <t>20/10/2024</t>
  </si>
  <si>
    <t>20/02/2025</t>
  </si>
  <si>
    <t>13/10/2024</t>
  </si>
  <si>
    <t>19/02/2025</t>
  </si>
  <si>
    <t>18/02/2025</t>
  </si>
  <si>
    <t>29/09/2024</t>
  </si>
  <si>
    <t>17/02/2025</t>
  </si>
  <si>
    <t>22/09/2024</t>
  </si>
  <si>
    <t>14/02/2025</t>
  </si>
  <si>
    <t>15/09/2024</t>
  </si>
  <si>
    <t>13/02/2025</t>
  </si>
  <si>
    <t>25/08/2024</t>
  </si>
  <si>
    <t>18/08/2024</t>
  </si>
  <si>
    <t>28/07/2024</t>
  </si>
  <si>
    <t>21/07/2024</t>
  </si>
  <si>
    <t>14/07/2024</t>
  </si>
  <si>
    <t>31/01/2025</t>
  </si>
  <si>
    <t>30/06/2024</t>
  </si>
  <si>
    <t>30/01/2025</t>
  </si>
  <si>
    <t>23/06/2024</t>
  </si>
  <si>
    <t>29/01/2025</t>
  </si>
  <si>
    <t>16/06/2024</t>
  </si>
  <si>
    <t>28/01/2025</t>
  </si>
  <si>
    <t>27/01/2025</t>
  </si>
  <si>
    <t>24/01/2025</t>
  </si>
  <si>
    <t>26/05/2024</t>
  </si>
  <si>
    <t>23/01/2025</t>
  </si>
  <si>
    <t>19/05/2024</t>
  </si>
  <si>
    <t>22/01/2025</t>
  </si>
  <si>
    <t>21/01/2025</t>
  </si>
  <si>
    <t>20/01/2025</t>
  </si>
  <si>
    <t>28/04/2024</t>
  </si>
  <si>
    <t>17/01/2025</t>
  </si>
  <si>
    <t>21/04/2024</t>
  </si>
  <si>
    <t>16/01/2025</t>
  </si>
  <si>
    <t>14/04/2024</t>
  </si>
  <si>
    <t>15/01/2025</t>
  </si>
  <si>
    <t>14/01/2025</t>
  </si>
  <si>
    <t>13/01/2025</t>
  </si>
  <si>
    <t>31/12/2024</t>
  </si>
  <si>
    <t>30/12/2024</t>
  </si>
  <si>
    <t>27/12/2024</t>
  </si>
  <si>
    <t>26/12/2024</t>
  </si>
  <si>
    <t>24/12/2024</t>
  </si>
  <si>
    <t>23/12/2024</t>
  </si>
  <si>
    <t>20/12/2024</t>
  </si>
  <si>
    <t>19/12/2024</t>
  </si>
  <si>
    <t>18/12/2024</t>
  </si>
  <si>
    <t>17/12/2024</t>
  </si>
  <si>
    <t>16/12/2024</t>
  </si>
  <si>
    <t>13/12/2024</t>
  </si>
  <si>
    <t>29/11/2024</t>
  </si>
  <si>
    <t>28/11/2024</t>
  </si>
  <si>
    <t>27/11/2024</t>
  </si>
  <si>
    <t>26/11/2024</t>
  </si>
  <si>
    <t>25/11/2024</t>
  </si>
  <si>
    <t>22/11/2024</t>
  </si>
  <si>
    <t>21/11/2024</t>
  </si>
  <si>
    <t>19/11/2024</t>
  </si>
  <si>
    <t>18/11/2024</t>
  </si>
  <si>
    <t>14/11/2024</t>
  </si>
  <si>
    <t>13/11/2024</t>
  </si>
  <si>
    <t>31/10/2024</t>
  </si>
  <si>
    <t>30/10/2024</t>
  </si>
  <si>
    <t>29/10/2024</t>
  </si>
  <si>
    <t>28/10/2024</t>
  </si>
  <si>
    <t>25/10/2024</t>
  </si>
  <si>
    <t>24/10/2024</t>
  </si>
  <si>
    <t>23/10/2024</t>
  </si>
  <si>
    <t>22/10/2024</t>
  </si>
  <si>
    <t>21/10/2024</t>
  </si>
  <si>
    <t>18/10/2024</t>
  </si>
  <si>
    <t>17/10/2024</t>
  </si>
  <si>
    <t>16/10/2024</t>
  </si>
  <si>
    <t>15/10/2024</t>
  </si>
  <si>
    <t>14/10/2024</t>
  </si>
  <si>
    <t>30/09/2024</t>
  </si>
  <si>
    <t>27/09/2024</t>
  </si>
  <si>
    <t>26/09/2024</t>
  </si>
  <si>
    <t>25/09/2024</t>
  </si>
  <si>
    <t>24/09/2024</t>
  </si>
  <si>
    <t>23/09/2024</t>
  </si>
  <si>
    <t>20/09/2024</t>
  </si>
  <si>
    <t>19/09/2024</t>
  </si>
  <si>
    <t>18/09/2024</t>
  </si>
  <si>
    <t>17/09/2024</t>
  </si>
  <si>
    <t>16/09/2024</t>
  </si>
  <si>
    <t>13/09/2024</t>
  </si>
  <si>
    <t>30/08/2024</t>
  </si>
  <si>
    <t>29/08/2024</t>
  </si>
  <si>
    <t>28/08/2024</t>
  </si>
  <si>
    <t>27/08/2024</t>
  </si>
  <si>
    <t>26/08/2024</t>
  </si>
  <si>
    <t>23/08/2024</t>
  </si>
  <si>
    <t>22/08/2024</t>
  </si>
  <si>
    <t>21/08/2024</t>
  </si>
  <si>
    <t>20/08/2024</t>
  </si>
  <si>
    <t>19/08/2024</t>
  </si>
  <si>
    <t>16/08/2024</t>
  </si>
  <si>
    <t>14/08/2024</t>
  </si>
  <si>
    <t>13/08/2024</t>
  </si>
  <si>
    <t>31/07/2024</t>
  </si>
  <si>
    <t>30/07/2024</t>
  </si>
  <si>
    <t>29/07/2024</t>
  </si>
  <si>
    <t>26/07/2024</t>
  </si>
  <si>
    <t>25/07/2024</t>
  </si>
  <si>
    <t>24/07/2024</t>
  </si>
  <si>
    <t>23/07/2024</t>
  </si>
  <si>
    <t>22/07/2024</t>
  </si>
  <si>
    <t>19/07/2024</t>
  </si>
  <si>
    <t>18/07/2024</t>
  </si>
  <si>
    <t>16/07/2024</t>
  </si>
  <si>
    <t>15/07/2024</t>
  </si>
  <si>
    <t>28/06/2024</t>
  </si>
  <si>
    <t>27/06/2024</t>
  </si>
  <si>
    <t>26/06/2024</t>
  </si>
  <si>
    <t>25/06/2024</t>
  </si>
  <si>
    <t>24/06/2024</t>
  </si>
  <si>
    <t>21/06/2024</t>
  </si>
  <si>
    <t>20/06/2024</t>
  </si>
  <si>
    <t>19/06/2024</t>
  </si>
  <si>
    <t>18/06/2024</t>
  </si>
  <si>
    <t>14/06/2024</t>
  </si>
  <si>
    <t>13/06/2024</t>
  </si>
  <si>
    <t>31/05/2024</t>
  </si>
  <si>
    <t>30/05/2024</t>
  </si>
  <si>
    <t>29/05/2024</t>
  </si>
  <si>
    <t>28/05/2024</t>
  </si>
  <si>
    <t>27/05/2024</t>
  </si>
  <si>
    <t>24/05/2024</t>
  </si>
  <si>
    <t>23/05/2024</t>
  </si>
  <si>
    <t>22/05/2024</t>
  </si>
  <si>
    <t>21/05/2024</t>
  </si>
  <si>
    <t>18/05/2024</t>
  </si>
  <si>
    <t>17/05/2024</t>
  </si>
  <si>
    <t>16/05/2024</t>
  </si>
  <si>
    <t>15/05/2024</t>
  </si>
  <si>
    <t>14/05/2024</t>
  </si>
  <si>
    <t>13/05/2024</t>
  </si>
  <si>
    <t>30/04/2024</t>
  </si>
  <si>
    <t>29/04/2024</t>
  </si>
  <si>
    <t>26/04/2024</t>
  </si>
  <si>
    <t>25/04/2024</t>
  </si>
  <si>
    <t>24/04/2024</t>
  </si>
  <si>
    <t>23/04/2024</t>
  </si>
  <si>
    <t>22/04/2024</t>
  </si>
  <si>
    <t>19/04/2024</t>
  </si>
  <si>
    <t>18/04/2024</t>
  </si>
  <si>
    <t>16/04/2024</t>
  </si>
  <si>
    <t>15/04/2024</t>
  </si>
  <si>
    <t>DAILY</t>
  </si>
  <si>
    <t>WEEKLY</t>
  </si>
  <si>
    <t>28/03/2024</t>
  </si>
  <si>
    <t>31/03/2024</t>
  </si>
  <si>
    <t>27/03/2024</t>
  </si>
  <si>
    <t>24/03/2024</t>
  </si>
  <si>
    <t>26/03/2024</t>
  </si>
  <si>
    <t>17/03/2024</t>
  </si>
  <si>
    <t>22/03/2024</t>
  </si>
  <si>
    <t>21/03/2024</t>
  </si>
  <si>
    <t>20/03/2024</t>
  </si>
  <si>
    <t>25/02/2024</t>
  </si>
  <si>
    <t>19/03/2024</t>
  </si>
  <si>
    <t>18/02/2024</t>
  </si>
  <si>
    <t>18/03/2024</t>
  </si>
  <si>
    <t>15/03/2024</t>
  </si>
  <si>
    <t>14/03/2024</t>
  </si>
  <si>
    <t>28/01/2024</t>
  </si>
  <si>
    <t>13/03/2024</t>
  </si>
  <si>
    <t>21/01/2024</t>
  </si>
  <si>
    <t>14/01/2024</t>
  </si>
  <si>
    <t>31/12/2023</t>
  </si>
  <si>
    <t>24/12/2023</t>
  </si>
  <si>
    <t>17/12/2023</t>
  </si>
  <si>
    <t>26/11/2023</t>
  </si>
  <si>
    <t>29/02/2024</t>
  </si>
  <si>
    <t>19/11/2023</t>
  </si>
  <si>
    <t>28/02/2024</t>
  </si>
  <si>
    <t>27/02/2024</t>
  </si>
  <si>
    <t>26/02/2024</t>
  </si>
  <si>
    <t>29/10/2023</t>
  </si>
  <si>
    <t>23/02/2024</t>
  </si>
  <si>
    <t>22/10/2023</t>
  </si>
  <si>
    <t>22/02/2024</t>
  </si>
  <si>
    <t>15/10/2023</t>
  </si>
  <si>
    <t>21/02/2024</t>
  </si>
  <si>
    <t>20/02/2024</t>
  </si>
  <si>
    <t>19/02/2024</t>
  </si>
  <si>
    <t>24/09/2023</t>
  </si>
  <si>
    <t>16/02/2024</t>
  </si>
  <si>
    <t>17/09/2023</t>
  </si>
  <si>
    <t>15/02/2024</t>
  </si>
  <si>
    <t>14/02/2024</t>
  </si>
  <si>
    <t>13/02/2024</t>
  </si>
  <si>
    <t>27/08/2023</t>
  </si>
  <si>
    <t>20/08/2023</t>
  </si>
  <si>
    <t>13/08/2023</t>
  </si>
  <si>
    <t>30/07/2023</t>
  </si>
  <si>
    <t>23/07/2023</t>
  </si>
  <si>
    <t>16/07/2023</t>
  </si>
  <si>
    <t>31/01/2024</t>
  </si>
  <si>
    <t>25/06/2023</t>
  </si>
  <si>
    <t>30/01/2024</t>
  </si>
  <si>
    <t>18/06/2023</t>
  </si>
  <si>
    <t>29/01/2024</t>
  </si>
  <si>
    <t>25/01/2024</t>
  </si>
  <si>
    <t>24/01/2024</t>
  </si>
  <si>
    <t>28/05/2023</t>
  </si>
  <si>
    <t>23/01/2024</t>
  </si>
  <si>
    <t>21/05/2023</t>
  </si>
  <si>
    <t>20/01/2024</t>
  </si>
  <si>
    <t>14/05/2023</t>
  </si>
  <si>
    <t>19/01/2024</t>
  </si>
  <si>
    <t>18/01/2024</t>
  </si>
  <si>
    <t>30/04/2023</t>
  </si>
  <si>
    <t>17/01/2024</t>
  </si>
  <si>
    <t>23/04/2023</t>
  </si>
  <si>
    <t>16/01/2024</t>
  </si>
  <si>
    <t>16/04/2023</t>
  </si>
  <si>
    <t>15/01/2024</t>
  </si>
  <si>
    <t>29/12/2023</t>
  </si>
  <si>
    <t>28/12/2023</t>
  </si>
  <si>
    <t>27/12/2023</t>
  </si>
  <si>
    <t>26/12/2023</t>
  </si>
  <si>
    <t>22/12/2023</t>
  </si>
  <si>
    <t>21/12/2023</t>
  </si>
  <si>
    <t>20/12/2023</t>
  </si>
  <si>
    <t>19/12/2023</t>
  </si>
  <si>
    <t>18/12/2023</t>
  </si>
  <si>
    <t>15/12/2023</t>
  </si>
  <si>
    <t>14/12/2023</t>
  </si>
  <si>
    <t>13/12/2023</t>
  </si>
  <si>
    <t>30/11/2023</t>
  </si>
  <si>
    <t>29/11/2023</t>
  </si>
  <si>
    <t>28/11/2023</t>
  </si>
  <si>
    <t>24/11/2023</t>
  </si>
  <si>
    <t>23/11/2023</t>
  </si>
  <si>
    <t>22/11/2023</t>
  </si>
  <si>
    <t>21/11/2023</t>
  </si>
  <si>
    <t>20/11/2023</t>
  </si>
  <si>
    <t>17/11/2023</t>
  </si>
  <si>
    <t>16/11/2023</t>
  </si>
  <si>
    <t>15/11/2023</t>
  </si>
  <si>
    <t>13/11/2023</t>
  </si>
  <si>
    <t>31/10/2023</t>
  </si>
  <si>
    <t>30/10/2023</t>
  </si>
  <si>
    <t>27/10/2023</t>
  </si>
  <si>
    <t>26/10/2023</t>
  </si>
  <si>
    <t>25/10/2023</t>
  </si>
  <si>
    <t>23/10/2023</t>
  </si>
  <si>
    <t>20/10/2023</t>
  </si>
  <si>
    <t>19/10/2023</t>
  </si>
  <si>
    <t>18/10/2023</t>
  </si>
  <si>
    <t>17/10/2023</t>
  </si>
  <si>
    <t>16/10/2023</t>
  </si>
  <si>
    <t>13/10/2023</t>
  </si>
  <si>
    <t>29/09/2023</t>
  </si>
  <si>
    <t>28/09/2023</t>
  </si>
  <si>
    <t>27/09/2023</t>
  </si>
  <si>
    <t>26/09/2023</t>
  </si>
  <si>
    <t>25/09/2023</t>
  </si>
  <si>
    <t>22/09/2023</t>
  </si>
  <si>
    <t>21/09/2023</t>
  </si>
  <si>
    <t>20/09/2023</t>
  </si>
  <si>
    <t>18/09/2023</t>
  </si>
  <si>
    <t>15/09/2023</t>
  </si>
  <si>
    <t>14/09/2023</t>
  </si>
  <si>
    <t>13/09/2023</t>
  </si>
  <si>
    <t>31/08/2023</t>
  </si>
  <si>
    <t>30/08/2023</t>
  </si>
  <si>
    <t>29/08/2023</t>
  </si>
  <si>
    <t>28/08/2023</t>
  </si>
  <si>
    <t>25/08/2023</t>
  </si>
  <si>
    <t>24/08/2023</t>
  </si>
  <si>
    <t>23/08/2023</t>
  </si>
  <si>
    <t>22/08/2023</t>
  </si>
  <si>
    <t>21/08/2023</t>
  </si>
  <si>
    <t>18/08/2023</t>
  </si>
  <si>
    <t>17/08/2023</t>
  </si>
  <si>
    <t>16/08/2023</t>
  </si>
  <si>
    <t>14/08/2023</t>
  </si>
  <si>
    <t>31/07/2023</t>
  </si>
  <si>
    <t>28/07/2023</t>
  </si>
  <si>
    <t>27/07/2023</t>
  </si>
  <si>
    <t>26/07/2023</t>
  </si>
  <si>
    <t>25/07/2023</t>
  </si>
  <si>
    <t>24/07/2023</t>
  </si>
  <si>
    <t>21/07/2023</t>
  </si>
  <si>
    <t>20/07/2023</t>
  </si>
  <si>
    <t>19/07/2023</t>
  </si>
  <si>
    <t>18/07/2023</t>
  </si>
  <si>
    <t>17/07/2023</t>
  </si>
  <si>
    <t>14/07/2023</t>
  </si>
  <si>
    <t>13/07/2023</t>
  </si>
  <si>
    <t>30/06/2023</t>
  </si>
  <si>
    <t>28/06/2023</t>
  </si>
  <si>
    <t>27/06/2023</t>
  </si>
  <si>
    <t>26/06/2023</t>
  </si>
  <si>
    <t>23/06/2023</t>
  </si>
  <si>
    <t>22/06/2023</t>
  </si>
  <si>
    <t>21/06/2023</t>
  </si>
  <si>
    <t>20/06/2023</t>
  </si>
  <si>
    <t>19/06/2023</t>
  </si>
  <si>
    <t>16/06/2023</t>
  </si>
  <si>
    <t>15/06/2023</t>
  </si>
  <si>
    <t>14/06/2023</t>
  </si>
  <si>
    <t>13/06/2023</t>
  </si>
  <si>
    <t>31/05/2023</t>
  </si>
  <si>
    <t>30/05/2023</t>
  </si>
  <si>
    <t>29/05/2023</t>
  </si>
  <si>
    <t>26/05/2023</t>
  </si>
  <si>
    <t>25/05/2023</t>
  </si>
  <si>
    <t>24/05/2023</t>
  </si>
  <si>
    <t>23/05/2023</t>
  </si>
  <si>
    <t>22/05/2023</t>
  </si>
  <si>
    <t>19/05/2023</t>
  </si>
  <si>
    <t>18/05/2023</t>
  </si>
  <si>
    <t>17/05/2023</t>
  </si>
  <si>
    <t>16/05/2023</t>
  </si>
  <si>
    <t>15/05/2023</t>
  </si>
  <si>
    <t>28/04/2023</t>
  </si>
  <si>
    <t>27/04/2023</t>
  </si>
  <si>
    <t>26/04/2023</t>
  </si>
  <si>
    <t>25/04/2023</t>
  </si>
  <si>
    <t>24/04/2023</t>
  </si>
  <si>
    <t>21/04/2023</t>
  </si>
  <si>
    <t>20/04/2023</t>
  </si>
  <si>
    <t>19/04/2023</t>
  </si>
  <si>
    <t>18/04/2023</t>
  </si>
  <si>
    <t>17/04/2023</t>
  </si>
  <si>
    <t>13/04/2023</t>
  </si>
  <si>
    <t>31/03/2023</t>
  </si>
  <si>
    <t>26/03/2023</t>
  </si>
  <si>
    <t>29/03/2023</t>
  </si>
  <si>
    <t>19/03/2023</t>
  </si>
  <si>
    <t>28/03/2023</t>
  </si>
  <si>
    <t>27/03/2023</t>
  </si>
  <si>
    <t>24/03/2023</t>
  </si>
  <si>
    <t>26/02/2023</t>
  </si>
  <si>
    <t>23/03/2023</t>
  </si>
  <si>
    <t>19/02/2023</t>
  </si>
  <si>
    <t>22/03/2023</t>
  </si>
  <si>
    <t>21/03/2023</t>
  </si>
  <si>
    <t>20/03/2023</t>
  </si>
  <si>
    <t>29/01/2023</t>
  </si>
  <si>
    <t>17/03/2023</t>
  </si>
  <si>
    <t>22/01/2023</t>
  </si>
  <si>
    <t>16/03/2023</t>
  </si>
  <si>
    <t>15/01/2023</t>
  </si>
  <si>
    <t>15/03/2023</t>
  </si>
  <si>
    <t>14/03/2023</t>
  </si>
  <si>
    <t>13/03/2023</t>
  </si>
  <si>
    <t>25/12/2022</t>
  </si>
  <si>
    <t>18/12/2022</t>
  </si>
  <si>
    <t>27/11/2022</t>
  </si>
  <si>
    <t>20/11/2022</t>
  </si>
  <si>
    <t>13/11/2022</t>
  </si>
  <si>
    <t>28/02/2023</t>
  </si>
  <si>
    <t>30/10/2022</t>
  </si>
  <si>
    <t>27/02/2023</t>
  </si>
  <si>
    <t>23/10/2022</t>
  </si>
  <si>
    <t>24/02/2023</t>
  </si>
  <si>
    <t>16/10/2022</t>
  </si>
  <si>
    <t>23/02/2023</t>
  </si>
  <si>
    <t>22/02/2023</t>
  </si>
  <si>
    <t>21/02/2023</t>
  </si>
  <si>
    <t>25/09/2022</t>
  </si>
  <si>
    <t>20/02/2023</t>
  </si>
  <si>
    <t>18/09/2022</t>
  </si>
  <si>
    <t>17/02/2023</t>
  </si>
  <si>
    <t>16/02/2023</t>
  </si>
  <si>
    <t>15/02/2023</t>
  </si>
  <si>
    <t>28/08/2022</t>
  </si>
  <si>
    <t>14/02/2023</t>
  </si>
  <si>
    <t>21/08/2022</t>
  </si>
  <si>
    <t>13/02/2023</t>
  </si>
  <si>
    <t>14/08/2022</t>
  </si>
  <si>
    <t>31/07/2022</t>
  </si>
  <si>
    <t>24/07/2022</t>
  </si>
  <si>
    <t>17/07/2022</t>
  </si>
  <si>
    <t>26/06/2022</t>
  </si>
  <si>
    <t>19/06/2022</t>
  </si>
  <si>
    <t>31/01/2023</t>
  </si>
  <si>
    <t>30/01/2023</t>
  </si>
  <si>
    <t>27/01/2023</t>
  </si>
  <si>
    <t>29/05/2022</t>
  </si>
  <si>
    <t>25/01/2023</t>
  </si>
  <si>
    <t>22/05/2022</t>
  </si>
  <si>
    <t>24/01/2023</t>
  </si>
  <si>
    <t>15/05/2022</t>
  </si>
  <si>
    <t>23/01/2023</t>
  </si>
  <si>
    <t>20/01/2023</t>
  </si>
  <si>
    <t>19/01/2023</t>
  </si>
  <si>
    <t>24/04/2022</t>
  </si>
  <si>
    <t>18/01/2023</t>
  </si>
  <si>
    <t>17/04/2022</t>
  </si>
  <si>
    <t>17/01/2023</t>
  </si>
  <si>
    <t>16/01/2023</t>
  </si>
  <si>
    <t>13/01/2023</t>
  </si>
  <si>
    <t>30/12/2022</t>
  </si>
  <si>
    <t>29/12/2022</t>
  </si>
  <si>
    <t>28/12/2022</t>
  </si>
  <si>
    <t>27/12/2022</t>
  </si>
  <si>
    <t>26/12/2022</t>
  </si>
  <si>
    <t>23/12/2022</t>
  </si>
  <si>
    <t>22/12/2022</t>
  </si>
  <si>
    <t>21/12/2022</t>
  </si>
  <si>
    <t>20/12/2022</t>
  </si>
  <si>
    <t>19/12/2022</t>
  </si>
  <si>
    <t>16/12/2022</t>
  </si>
  <si>
    <t>15/12/2022</t>
  </si>
  <si>
    <t>14/12/2022</t>
  </si>
  <si>
    <t>13/12/2022</t>
  </si>
  <si>
    <t>30/11/2022</t>
  </si>
  <si>
    <t>29/11/2022</t>
  </si>
  <si>
    <t>28/11/2022</t>
  </si>
  <si>
    <t>25/11/2022</t>
  </si>
  <si>
    <t>24/11/2022</t>
  </si>
  <si>
    <t>23/11/2022</t>
  </si>
  <si>
    <t>22/11/2022</t>
  </si>
  <si>
    <t>21/11/2022</t>
  </si>
  <si>
    <t>18/11/2022</t>
  </si>
  <si>
    <t>17/11/2022</t>
  </si>
  <si>
    <t>16/11/2022</t>
  </si>
  <si>
    <t>15/11/2022</t>
  </si>
  <si>
    <t>14/11/2022</t>
  </si>
  <si>
    <t>31/10/2022</t>
  </si>
  <si>
    <t>28/10/2022</t>
  </si>
  <si>
    <t>27/10/2022</t>
  </si>
  <si>
    <t>25/10/2022</t>
  </si>
  <si>
    <t>24/10/2022</t>
  </si>
  <si>
    <t>21/10/2022</t>
  </si>
  <si>
    <t>20/10/2022</t>
  </si>
  <si>
    <t>19/10/2022</t>
  </si>
  <si>
    <t>18/10/2022</t>
  </si>
  <si>
    <t>17/10/2022</t>
  </si>
  <si>
    <t>14/10/2022</t>
  </si>
  <si>
    <t>13/10/2022</t>
  </si>
  <si>
    <t>30/09/2022</t>
  </si>
  <si>
    <t>29/09/2022</t>
  </si>
  <si>
    <t>28/09/2022</t>
  </si>
  <si>
    <t>27/09/2022</t>
  </si>
  <si>
    <t>26/09/2022</t>
  </si>
  <si>
    <t>23/09/2022</t>
  </si>
  <si>
    <t>22/09/2022</t>
  </si>
  <si>
    <t>21/09/2022</t>
  </si>
  <si>
    <t>20/09/2022</t>
  </si>
  <si>
    <t>19/09/2022</t>
  </si>
  <si>
    <t>16/09/2022</t>
  </si>
  <si>
    <t>15/09/2022</t>
  </si>
  <si>
    <t>14/09/2022</t>
  </si>
  <si>
    <t>13/09/2022</t>
  </si>
  <si>
    <t>30/08/2022</t>
  </si>
  <si>
    <t>29/08/2022</t>
  </si>
  <si>
    <t>26/08/2022</t>
  </si>
  <si>
    <t>25/08/2022</t>
  </si>
  <si>
    <t>24/08/2022</t>
  </si>
  <si>
    <t>23/08/2022</t>
  </si>
  <si>
    <t>22/08/2022</t>
  </si>
  <si>
    <t>19/08/2022</t>
  </si>
  <si>
    <t>18/08/2022</t>
  </si>
  <si>
    <t>17/08/2022</t>
  </si>
  <si>
    <t>16/08/2022</t>
  </si>
  <si>
    <t>29/07/2022</t>
  </si>
  <si>
    <t>28/07/2022</t>
  </si>
  <si>
    <t>27/07/2022</t>
  </si>
  <si>
    <t>26/07/2022</t>
  </si>
  <si>
    <t>25/07/2022</t>
  </si>
  <si>
    <t>22/07/2022</t>
  </si>
  <si>
    <t>21/07/2022</t>
  </si>
  <si>
    <t>20/07/2022</t>
  </si>
  <si>
    <t>19/07/2022</t>
  </si>
  <si>
    <t>18/07/2022</t>
  </si>
  <si>
    <t>15/07/2022</t>
  </si>
  <si>
    <t>14/07/2022</t>
  </si>
  <si>
    <t>13/07/2022</t>
  </si>
  <si>
    <t>30/06/2022</t>
  </si>
  <si>
    <t>29/06/2022</t>
  </si>
  <si>
    <t>28/06/2022</t>
  </si>
  <si>
    <t>27/06/2022</t>
  </si>
  <si>
    <t>24/06/2022</t>
  </si>
  <si>
    <t>23/06/2022</t>
  </si>
  <si>
    <t>22/06/2022</t>
  </si>
  <si>
    <t>21/06/2022</t>
  </si>
  <si>
    <t>20/06/2022</t>
  </si>
  <si>
    <t>17/06/2022</t>
  </si>
  <si>
    <t>16/06/2022</t>
  </si>
  <si>
    <t>15/06/2022</t>
  </si>
  <si>
    <t>14/06/2022</t>
  </si>
  <si>
    <t>13/06/2022</t>
  </si>
  <si>
    <t>31/05/2022</t>
  </si>
  <si>
    <t>30/05/2022</t>
  </si>
  <si>
    <t>27/05/2022</t>
  </si>
  <si>
    <t>26/05/2022</t>
  </si>
  <si>
    <t>25/05/2022</t>
  </si>
  <si>
    <t>24/05/2022</t>
  </si>
  <si>
    <t>23/05/2022</t>
  </si>
  <si>
    <t>20/05/2022</t>
  </si>
  <si>
    <t>19/05/2022</t>
  </si>
  <si>
    <t>18/05/2022</t>
  </si>
  <si>
    <t>17/05/2022</t>
  </si>
  <si>
    <t>16/05/2022</t>
  </si>
  <si>
    <t>13/05/2022</t>
  </si>
  <si>
    <t>29/04/2022</t>
  </si>
  <si>
    <t>28/04/2022</t>
  </si>
  <si>
    <t>27/04/2022</t>
  </si>
  <si>
    <t>26/04/2022</t>
  </si>
  <si>
    <t>25/04/2022</t>
  </si>
  <si>
    <t>22/04/2022</t>
  </si>
  <si>
    <t>21/04/2022</t>
  </si>
  <si>
    <t>20/04/2022</t>
  </si>
  <si>
    <t>19/04/2022</t>
  </si>
  <si>
    <t>18/04/2022</t>
  </si>
  <si>
    <t>13/04/2022</t>
  </si>
  <si>
    <t>31/03/2022</t>
  </si>
  <si>
    <t>27/03/2022</t>
  </si>
  <si>
    <t>30/03/2022</t>
  </si>
  <si>
    <t>20/03/2022</t>
  </si>
  <si>
    <t>29/03/2022</t>
  </si>
  <si>
    <t>13/03/2022</t>
  </si>
  <si>
    <t>28/03/2022</t>
  </si>
  <si>
    <t>25/03/2022</t>
  </si>
  <si>
    <t>27/02/2022</t>
  </si>
  <si>
    <t>24/03/2022</t>
  </si>
  <si>
    <t>20/02/2022</t>
  </si>
  <si>
    <t>23/03/2022</t>
  </si>
  <si>
    <t>13/02/2022</t>
  </si>
  <si>
    <t>22/03/2022</t>
  </si>
  <si>
    <t>21/03/2022</t>
  </si>
  <si>
    <t>30/01/2022</t>
  </si>
  <si>
    <t>17/03/2022</t>
  </si>
  <si>
    <t>23/01/2022</t>
  </si>
  <si>
    <t>16/03/2022</t>
  </si>
  <si>
    <t>16/01/2022</t>
  </si>
  <si>
    <t>15/03/2022</t>
  </si>
  <si>
    <t>14/03/2022</t>
  </si>
  <si>
    <t>26/12/2021</t>
  </si>
  <si>
    <t>19/12/2021</t>
  </si>
  <si>
    <t>28/11/2021</t>
  </si>
  <si>
    <t>28/02/2022</t>
  </si>
  <si>
    <t>25/02/2022</t>
  </si>
  <si>
    <t>24/02/2022</t>
  </si>
  <si>
    <t>23/02/2022</t>
  </si>
  <si>
    <t>22/02/2022</t>
  </si>
  <si>
    <t>21/02/2022</t>
  </si>
  <si>
    <t>18/02/2022</t>
  </si>
  <si>
    <t>17/02/2022</t>
  </si>
  <si>
    <t>16/02/2022</t>
  </si>
  <si>
    <t>15/02/2022</t>
  </si>
  <si>
    <t>14/02/2022</t>
  </si>
  <si>
    <t>31/01/2022</t>
  </si>
  <si>
    <t>28/01/2022</t>
  </si>
  <si>
    <t>27/01/2022</t>
  </si>
  <si>
    <t>25/01/2022</t>
  </si>
  <si>
    <t>24/01/2022</t>
  </si>
  <si>
    <t>21/01/2022</t>
  </si>
  <si>
    <t>20/01/2022</t>
  </si>
  <si>
    <t>19/01/2022</t>
  </si>
  <si>
    <t>18/01/2022</t>
  </si>
  <si>
    <t>17/01/2022</t>
  </si>
  <si>
    <t>14/01/2022</t>
  </si>
  <si>
    <t>13/01/2022</t>
  </si>
  <si>
    <t>31/12/2021</t>
  </si>
  <si>
    <t>30/12/2021</t>
  </si>
  <si>
    <t>29/12/2021</t>
  </si>
  <si>
    <t>28/12/2021</t>
  </si>
  <si>
    <t>27/12/2021</t>
  </si>
  <si>
    <t>24/12/2021</t>
  </si>
  <si>
    <t>23/12/2021</t>
  </si>
  <si>
    <t>22/12/2021</t>
  </si>
  <si>
    <t>21/12/2021</t>
  </si>
  <si>
    <t>20/12/2021</t>
  </si>
  <si>
    <t>17/12/2021</t>
  </si>
  <si>
    <t>16/12/2021</t>
  </si>
  <si>
    <t>15/12/2021</t>
  </si>
  <si>
    <t>14/12/2021</t>
  </si>
  <si>
    <t>13/12/2021</t>
  </si>
  <si>
    <t>30/11/2021</t>
  </si>
  <si>
    <t>29/11/2021</t>
  </si>
  <si>
    <t>26/11/2021</t>
  </si>
  <si>
    <t>25/11/2021</t>
  </si>
  <si>
    <t>24/11/2021</t>
  </si>
  <si>
    <t>23/11/2021</t>
  </si>
  <si>
    <t>22/11/2021</t>
  </si>
  <si>
    <t xml:space="preserve">A. </t>
  </si>
  <si>
    <t xml:space="preserve">C. </t>
  </si>
  <si>
    <t>BETA</t>
  </si>
  <si>
    <t xml:space="preserve">Beta </t>
  </si>
  <si>
    <t>1. Capital Expenditure: FY24 vs FY23</t>
  </si>
  <si>
    <t>3. Key Management Priorities (FY24)</t>
  </si>
  <si>
    <t>Particulars</t>
  </si>
  <si>
    <t>FY24 (₹ Million)</t>
  </si>
  <si>
    <t>FY23 (₹ Million)</t>
  </si>
  <si>
    <t>YoY Growth (%)</t>
  </si>
  <si>
    <t>Priority Area</t>
  </si>
  <si>
    <t>Details/Initiatives</t>
  </si>
  <si>
    <t>Property, Plant &amp; Equipment</t>
  </si>
  <si>
    <t>Disciplined Capital Allocation</t>
  </si>
  <si>
    <t>Focus on scalable, high-return markets (KFC), cautious expansion for Pizza Hut</t>
  </si>
  <si>
    <t>Depreciation &amp; Amortization</t>
  </si>
  <si>
    <t>Operational Efficiency</t>
  </si>
  <si>
    <t>Investments in technology (kitchen tools, digital kiosks), supply chain diversification, cost controls</t>
  </si>
  <si>
    <t>New Restaurants Opened (Total)</t>
  </si>
  <si>
    <t>Brand Strengthening</t>
  </si>
  <si>
    <t>Increased marketing for Pizza Hut, menu innovation (e.g., Melts), customer experience upgrades</t>
  </si>
  <si>
    <t>- KFC India</t>
  </si>
  <si>
    <t>Sustainability</t>
  </si>
  <si>
    <t>Solar installations in 45 stores, eco-friendly packaging, 100% used oil recycling, high ESG rankings</t>
  </si>
  <si>
    <t>- Pizza Hut India</t>
  </si>
  <si>
    <t>- Sri Lanka &amp; Maldives</t>
  </si>
  <si>
    <t>2. Capex Efficiency</t>
  </si>
  <si>
    <t>4. Future Capex Commitments</t>
  </si>
  <si>
    <t>Brand</t>
  </si>
  <si>
    <t>Capex per Restaurant Change YoY</t>
  </si>
  <si>
    <t>Area/Brand</t>
  </si>
  <si>
    <t>FY25 Focus/Commitment</t>
  </si>
  <si>
    <t>KFC</t>
  </si>
  <si>
    <t>Majority of new store capex; on track to double store count from Dec 2021 base by end CY24</t>
  </si>
  <si>
    <t>Pizza Hut</t>
  </si>
  <si>
    <t>Cautious expansion, focus on innovation and profitability</t>
  </si>
  <si>
    <t>Technology/ESG</t>
  </si>
  <si>
    <t>Continued investment in digital, energy-saving, and sustainable infrastructure</t>
  </si>
  <si>
    <t>5. Expected Returns</t>
  </si>
  <si>
    <t xml:space="preserve">6. Commentary/Notes </t>
  </si>
  <si>
    <t>Metric</t>
  </si>
  <si>
    <t>Notes</t>
  </si>
  <si>
    <t>Capex increased 24.9% YoY in FY24, mainly driven by aggressive KFC expansion and continued investment in operational efficiency.</t>
  </si>
  <si>
    <t>KFC Restaurant EBITDA (%)</t>
  </si>
  <si>
    <t>Highest in Indian QSR industry</t>
  </si>
  <si>
    <t>KFC remains the core growth engine, with best-in-industry margins and a store-doubling strategy.</t>
  </si>
  <si>
    <t>Pizza Hut EBITDA (%)</t>
  </si>
  <si>
    <t>Lower due to competitive pressure</t>
  </si>
  <si>
    <t>Pizza Hut expansion was cautious in FY24 due to competitive and demand challenges; management is focusing on brand revival and profitability.</t>
  </si>
  <si>
    <t>Sri Lanka EBITDA (%)</t>
  </si>
  <si>
    <t>Sustainability investments (solar, recycling, energy management) are integral to new store builds and refurbishments.</t>
  </si>
  <si>
    <t>Return on Capital Employed (RoCE)</t>
  </si>
  <si>
    <t>Company-wide, affected by Pizza Hut drag</t>
  </si>
  <si>
    <t>Future capex will continue to prioritize KFC, selective Pizza Hut openings, and technology/ESG upgrades.</t>
  </si>
  <si>
    <t>Return on Net Worth (RoNW)</t>
  </si>
  <si>
    <t>Company-wide, affected by lower PAT</t>
  </si>
  <si>
    <t>Return expectations: KFC stores deliver industry-leading margins; overall company RoCE and RoNW were lower in FY24 due to Pizza Hut’s performance drag and higher expansion costs.</t>
  </si>
  <si>
    <t>1. Debt/Equity Ratio Comparison Table (FY22–FY24)</t>
  </si>
  <si>
    <t>Company Name</t>
  </si>
  <si>
    <t>FY22 D/E Ratio</t>
  </si>
  <si>
    <t>FY23 D/E Ratio</t>
  </si>
  <si>
    <t>FY24 D/E Ratio</t>
  </si>
  <si>
    <t>Total Debt FY24 (₹ Cr)</t>
  </si>
  <si>
    <t>Net Worth FY24 (₹ Cr)</t>
  </si>
  <si>
    <t>Key Notes on Capital Structure</t>
  </si>
  <si>
    <t>Sapphire Foods</t>
  </si>
  <si>
    <t>Ultra-low leverage, strong equity base, declining D/E</t>
  </si>
  <si>
    <t>Jubilant FoodWorks</t>
  </si>
  <si>
    <t>~100</t>
  </si>
  <si>
    <t>~2,000</t>
  </si>
  <si>
    <t>Conservative, steady deleveraging</t>
  </si>
  <si>
    <t>Westlife Foodworld</t>
  </si>
  <si>
    <t>~120</t>
  </si>
  <si>
    <t>~1,200</t>
  </si>
  <si>
    <t>Moderate, improving each year</t>
  </si>
  <si>
    <t>Burger King India</t>
  </si>
  <si>
    <t>~300</t>
  </si>
  <si>
    <t>~1,000</t>
  </si>
  <si>
    <t>Highest leverage, aggressive expansion</t>
  </si>
  <si>
    <t>Devyani International</t>
  </si>
  <si>
    <t>~180</t>
  </si>
  <si>
    <t>Moderate, improving capital structure</t>
  </si>
  <si>
    <t>Speciality Restaurants</t>
  </si>
  <si>
    <t>~60</t>
  </si>
  <si>
    <t>~240</t>
  </si>
  <si>
    <t>Higher than sector average, slow reduction</t>
  </si>
  <si>
    <t>2. Key Capital Structure Indicators (FY24, from Sapphire Foods Annual Report)</t>
  </si>
  <si>
    <t>Indicator</t>
  </si>
  <si>
    <t>Debt/Equity Ratio</t>
  </si>
  <si>
    <t>Total Borrowings (₹ Mn)</t>
  </si>
  <si>
    <t>Net Worth (₹ Mn)</t>
  </si>
  <si>
    <t>Interest Coverage Ratio</t>
  </si>
  <si>
    <t>Debt Service Coverage Ratio</t>
  </si>
  <si>
    <t>Cash &amp; Bank Balances (₹ Mn)</t>
  </si>
  <si>
    <t>3. Analysis &amp; Commentary</t>
  </si>
  <si>
    <r>
      <t>Sapphire Foods</t>
    </r>
    <r>
      <rPr>
        <sz val="12"/>
        <color theme="1"/>
        <rFont val="Times New Roman"/>
      </rPr>
      <t> has the lowest D/E ratio (0.02 in FY24), reflecting a very conservative approach and excellent financial flexibility.</t>
    </r>
  </si>
  <si>
    <r>
      <t>Jubilant FoodWorks</t>
    </r>
    <r>
      <rPr>
        <sz val="12"/>
        <color theme="1"/>
        <rFont val="Times New Roman"/>
      </rPr>
      <t> is also conservative, with a D/E of 0.05 in FY24, balancing growth and stability.</t>
    </r>
  </si>
  <si>
    <r>
      <t>Westlife Foodworld</t>
    </r>
    <r>
      <rPr>
        <sz val="12"/>
        <color theme="1"/>
        <rFont val="Times New Roman"/>
      </rPr>
      <t> and </t>
    </r>
    <r>
      <rPr>
        <sz val="12"/>
        <color theme="1"/>
        <rFont val="Times New Roman"/>
      </rPr>
      <t>Devyani International</t>
    </r>
    <r>
      <rPr>
        <sz val="12"/>
        <color theme="1"/>
        <rFont val="Times New Roman"/>
      </rPr>
      <t> are moderately leveraged, steadily reducing debt over the period.</t>
    </r>
  </si>
  <si>
    <r>
      <t>Burger King India</t>
    </r>
    <r>
      <rPr>
        <sz val="12"/>
        <color theme="1"/>
        <rFont val="Times New Roman"/>
      </rPr>
      <t> and </t>
    </r>
    <r>
      <rPr>
        <sz val="12"/>
        <color theme="1"/>
        <rFont val="Times New Roman"/>
      </rPr>
      <t>Speciality Restaurants</t>
    </r>
    <r>
      <rPr>
        <sz val="12"/>
        <color theme="1"/>
        <rFont val="Times New Roman"/>
      </rPr>
      <t> maintain higher leverage, reflecting more aggressive, debt-funded expansion.</t>
    </r>
  </si>
  <si>
    <r>
      <t>Sapphire’s interest coverage and debt service ratios are best-in-class</t>
    </r>
    <r>
      <rPr>
        <sz val="12"/>
        <color theme="1"/>
        <rFont val="Times New Roman"/>
      </rPr>
      <t>, indicating very low risk of financial distress.</t>
    </r>
  </si>
  <si>
    <r>
      <t>Best Capital Structure:</t>
    </r>
    <r>
      <rPr>
        <sz val="12"/>
        <color theme="1"/>
        <rFont val="Times New Roman"/>
      </rPr>
      <t> Sapphire Foods, due to its ultra-low D/E, high liquidity, and strong equity base, is best positioned for stability and resilience in a challenging consumer environment.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</si>
</sst>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27">
    <font>
      <sz val="11"/>
      <color theme="1"/>
      <name val="Aptos Narrow"/>
      <family val="2"/>
      <scheme val="minor"/>
    </font>
    <font>
      <sz val="12"/>
      <color theme="1"/>
      <name val="Times New Roman"/>
    </font>
    <font>
      <b/>
      <sz val="12"/>
      <color theme="1"/>
      <name val="Times New Roman"/>
    </font>
    <font>
      <sz val="11"/>
      <color rgb="FF000000"/>
      <name val="Calibri"/>
      <family val="2"/>
    </font>
    <font>
      <sz val="16"/>
      <color rgb="FF000000"/>
      <name val="Times New Roman"/>
      <family val="1"/>
    </font>
    <font>
      <b/>
      <sz val="14"/>
      <color rgb="FF000000"/>
      <name val="Times New Roman"/>
      <family val="1"/>
    </font>
    <font>
      <b/>
      <sz val="12"/>
      <color rgb="FF000000"/>
      <name val="Calibri"/>
      <family val="2"/>
    </font>
    <font>
      <i/>
      <sz val="11"/>
      <color rgb="FF000000"/>
      <name val="Calibri"/>
      <family val="2"/>
    </font>
    <font>
      <b/>
      <sz val="11"/>
      <color rgb="FF000000"/>
      <name val="Calibri"/>
      <family val="2"/>
    </font>
    <font>
      <b/>
      <sz val="16"/>
      <color rgb="FF000000"/>
      <name val="Times New Roman"/>
      <family val="1"/>
    </font>
    <font>
      <b/>
      <sz val="11"/>
      <color theme="1"/>
      <name val="Aptos Narrow"/>
      <family val="2"/>
      <scheme val="minor"/>
    </font>
    <font>
      <sz val="14"/>
      <color theme="1"/>
      <name val="Times New Roman"/>
    </font>
    <font>
      <b/>
      <sz val="14"/>
      <name val="Times New Roman"/>
      <family val="1"/>
    </font>
    <font>
      <sz val="14"/>
      <name val="Times New Roman"/>
      <family val="1"/>
    </font>
    <font>
      <b/>
      <sz val="14"/>
      <color theme="1"/>
      <name val="Times New Roman"/>
    </font>
    <font>
      <sz val="16"/>
      <color theme="1"/>
      <name val="Times New Roman"/>
    </font>
    <font>
      <sz val="16"/>
      <color theme="1"/>
      <name val="Aptos Narrow"/>
      <family val="2"/>
      <scheme val="minor"/>
    </font>
    <font>
      <b/>
      <sz val="18"/>
      <color rgb="FF000000"/>
      <name val="Calibri"/>
      <family val="2"/>
    </font>
    <font>
      <sz val="11"/>
      <color rgb="FFFF0000"/>
      <name val="Aptos Narrow"/>
      <family val="2"/>
      <scheme val="minor"/>
    </font>
    <font>
      <b/>
      <sz val="11"/>
      <color rgb="FF000000"/>
      <name val="Aptos Narrow"/>
      <scheme val="minor"/>
    </font>
    <font>
      <i/>
      <sz val="11"/>
      <color theme="1"/>
      <name val="Aptos Narrow"/>
      <family val="2"/>
      <scheme val="minor"/>
    </font>
    <font>
      <sz val="11"/>
      <color rgb="FF000000"/>
      <name val="Aptos Narrow"/>
      <scheme val="minor"/>
    </font>
    <font>
      <u/>
      <sz val="11"/>
      <color theme="10"/>
      <name val="Aptos Narrow"/>
      <family val="2"/>
      <scheme val="minor"/>
    </font>
    <font>
      <b/>
      <sz val="18"/>
      <color theme="4"/>
      <name val="Calibri"/>
      <family val="2"/>
    </font>
    <font>
      <b/>
      <sz val="11"/>
      <color rgb="FF000000"/>
      <name val="Aptos Narrow"/>
    </font>
    <font>
      <u/>
      <sz val="11"/>
      <color rgb="FF000000"/>
      <name val="Aptos Narrow"/>
      <family val="2"/>
      <scheme val="minor"/>
    </font>
    <font>
      <sz val="11"/>
      <color rgb="FF000000"/>
      <name val="Aptos Narrow"/>
      <family val="2"/>
      <scheme val="minor"/>
    </font>
  </fonts>
  <fills count="4">
    <fill>
      <patternFill patternType="none"/>
    </fill>
    <fill>
      <patternFill patternType="gray125"/>
    </fill>
    <fill>
      <patternFill patternType="solid">
        <fgColor theme="9" tint="0.79998168889431442"/>
        <bgColor indexed="64"/>
      </patternFill>
    </fill>
    <fill>
      <patternFill patternType="solid">
        <fgColor rgb="FFFFFF00"/>
        <bgColor indexed="64"/>
      </patternFill>
    </fill>
  </fills>
  <borders count="28">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right/>
      <top style="medium">
        <color indexed="64"/>
      </top>
      <bottom style="thin">
        <color indexed="64"/>
      </bottom>
      <diagonal/>
    </border>
    <border>
      <left/>
      <right/>
      <top/>
      <bottom style="medium">
        <color indexed="64"/>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double">
        <color rgb="FF000000"/>
      </bottom>
      <diagonal/>
    </border>
    <border>
      <left/>
      <right/>
      <top/>
      <bottom style="thin">
        <color rgb="FF000000"/>
      </bottom>
      <diagonal/>
    </border>
  </borders>
  <cellStyleXfs count="2">
    <xf numFmtId="0" fontId="0" fillId="0" borderId="0"/>
    <xf numFmtId="0" fontId="22" fillId="0" borderId="0" applyNumberFormat="0" applyFill="0" applyBorder="0" applyAlignment="0" applyProtection="0"/>
  </cellStyleXfs>
  <cellXfs count="129">
    <xf numFmtId="0" fontId="0" fillId="0" borderId="0" xfId="0"/>
    <xf numFmtId="0" fontId="1" fillId="0" borderId="9" xfId="0" applyFont="1" applyBorder="1" applyAlignment="1">
      <alignment wrapText="1"/>
    </xf>
    <xf numFmtId="0" fontId="1" fillId="0" borderId="10" xfId="0" applyFont="1" applyBorder="1" applyAlignment="1">
      <alignment wrapText="1"/>
    </xf>
    <xf numFmtId="0" fontId="1" fillId="0" borderId="11" xfId="0" applyFont="1" applyBorder="1" applyAlignment="1">
      <alignment wrapText="1"/>
    </xf>
    <xf numFmtId="0" fontId="2" fillId="0" borderId="0" xfId="0" applyFont="1"/>
    <xf numFmtId="0" fontId="1" fillId="0" borderId="4" xfId="0" applyFont="1" applyBorder="1"/>
    <xf numFmtId="0" fontId="2" fillId="2" borderId="1" xfId="0" applyFont="1" applyFill="1" applyBorder="1"/>
    <xf numFmtId="0" fontId="2" fillId="2" borderId="2" xfId="0" applyFont="1" applyFill="1" applyBorder="1"/>
    <xf numFmtId="0" fontId="2" fillId="2" borderId="3" xfId="0" applyFont="1" applyFill="1" applyBorder="1"/>
    <xf numFmtId="0" fontId="2" fillId="2" borderId="1" xfId="0" applyFont="1" applyFill="1" applyBorder="1" applyAlignment="1">
      <alignment wrapText="1"/>
    </xf>
    <xf numFmtId="0" fontId="2" fillId="2" borderId="3" xfId="0" applyFont="1" applyFill="1" applyBorder="1" applyAlignment="1">
      <alignment wrapText="1"/>
    </xf>
    <xf numFmtId="0" fontId="2" fillId="2" borderId="2" xfId="0" applyFont="1" applyFill="1" applyBorder="1" applyAlignment="1">
      <alignment wrapText="1"/>
    </xf>
    <xf numFmtId="0" fontId="2" fillId="3" borderId="0" xfId="0" applyFont="1" applyFill="1" applyBorder="1" applyAlignment="1">
      <alignment wrapText="1"/>
    </xf>
    <xf numFmtId="0" fontId="3" fillId="0" borderId="0" xfId="0" applyFont="1" applyFill="1" applyBorder="1" applyAlignment="1"/>
    <xf numFmtId="0" fontId="1" fillId="0" borderId="0" xfId="0" applyFont="1" applyBorder="1"/>
    <xf numFmtId="0" fontId="1" fillId="0" borderId="0" xfId="0" applyFont="1"/>
    <xf numFmtId="0" fontId="1" fillId="0" borderId="4" xfId="0" applyFont="1" applyBorder="1" applyAlignment="1">
      <alignment wrapText="1"/>
    </xf>
    <xf numFmtId="4" fontId="1" fillId="0" borderId="0" xfId="0" applyNumberFormat="1" applyFont="1" applyBorder="1" applyAlignment="1">
      <alignment wrapText="1"/>
    </xf>
    <xf numFmtId="10" fontId="1" fillId="0" borderId="5" xfId="0" applyNumberFormat="1" applyFont="1" applyBorder="1" applyAlignment="1">
      <alignment wrapText="1"/>
    </xf>
    <xf numFmtId="0" fontId="1" fillId="0" borderId="5" xfId="0" applyFont="1" applyBorder="1" applyAlignment="1">
      <alignment wrapText="1"/>
    </xf>
    <xf numFmtId="0" fontId="1" fillId="0" borderId="0" xfId="0" applyFont="1" applyBorder="1" applyAlignment="1">
      <alignment wrapText="1"/>
    </xf>
    <xf numFmtId="0" fontId="1" fillId="0" borderId="4" xfId="0" quotePrefix="1" applyFont="1" applyBorder="1" applyAlignment="1">
      <alignment wrapText="1"/>
    </xf>
    <xf numFmtId="0" fontId="1" fillId="0" borderId="6" xfId="0" applyFont="1" applyBorder="1" applyAlignment="1">
      <alignment wrapText="1"/>
    </xf>
    <xf numFmtId="0" fontId="1" fillId="0" borderId="8" xfId="0" applyFont="1" applyBorder="1" applyAlignment="1">
      <alignment wrapText="1"/>
    </xf>
    <xf numFmtId="0" fontId="1" fillId="0" borderId="6" xfId="0" quotePrefix="1" applyFont="1" applyBorder="1" applyAlignment="1">
      <alignment wrapText="1"/>
    </xf>
    <xf numFmtId="0" fontId="1" fillId="0" borderId="7" xfId="0" applyFont="1" applyBorder="1" applyAlignment="1">
      <alignment wrapText="1"/>
    </xf>
    <xf numFmtId="10" fontId="1" fillId="0" borderId="8" xfId="0" applyNumberFormat="1" applyFont="1" applyBorder="1" applyAlignment="1">
      <alignment wrapText="1"/>
    </xf>
    <xf numFmtId="9" fontId="1" fillId="0" borderId="5" xfId="0" applyNumberFormat="1" applyFont="1" applyBorder="1" applyAlignment="1">
      <alignment wrapText="1"/>
    </xf>
    <xf numFmtId="9" fontId="1" fillId="0" borderId="8" xfId="0" applyNumberFormat="1" applyFont="1" applyBorder="1" applyAlignment="1">
      <alignment wrapText="1"/>
    </xf>
    <xf numFmtId="4" fontId="1" fillId="0" borderId="0" xfId="0" applyNumberFormat="1" applyFont="1" applyBorder="1"/>
    <xf numFmtId="0" fontId="1" fillId="0" borderId="5" xfId="0" applyFont="1" applyBorder="1"/>
    <xf numFmtId="0" fontId="1" fillId="0" borderId="6" xfId="0" applyFont="1" applyBorder="1"/>
    <xf numFmtId="0" fontId="1" fillId="0" borderId="7" xfId="0" applyFont="1" applyBorder="1"/>
    <xf numFmtId="0" fontId="1" fillId="0" borderId="8" xfId="0" applyFont="1" applyBorder="1"/>
    <xf numFmtId="3" fontId="1" fillId="0" borderId="0" xfId="0" applyNumberFormat="1" applyFont="1" applyBorder="1"/>
    <xf numFmtId="3" fontId="1" fillId="0" borderId="5" xfId="0" applyNumberFormat="1" applyFont="1" applyBorder="1"/>
    <xf numFmtId="3" fontId="1" fillId="0" borderId="7" xfId="0" applyNumberFormat="1" applyFont="1" applyBorder="1"/>
    <xf numFmtId="3" fontId="1" fillId="0" borderId="8" xfId="0" applyNumberFormat="1" applyFont="1" applyBorder="1"/>
    <xf numFmtId="0" fontId="4" fillId="0" borderId="0" xfId="0" applyFont="1" applyFill="1" applyBorder="1" applyAlignment="1"/>
    <xf numFmtId="0" fontId="4" fillId="0" borderId="0" xfId="0" applyFont="1" applyFill="1" applyAlignment="1"/>
    <xf numFmtId="0" fontId="5" fillId="0" borderId="0" xfId="0" applyFont="1" applyFill="1" applyAlignment="1"/>
    <xf numFmtId="0" fontId="6" fillId="0" borderId="0" xfId="0" applyFont="1" applyFill="1" applyBorder="1" applyAlignment="1"/>
    <xf numFmtId="0" fontId="3" fillId="0" borderId="0" xfId="0" applyFont="1" applyFill="1" applyAlignment="1"/>
    <xf numFmtId="0" fontId="7" fillId="0" borderId="12" xfId="0" applyFont="1" applyFill="1" applyBorder="1" applyAlignment="1"/>
    <xf numFmtId="0" fontId="7" fillId="0" borderId="0" xfId="0" applyFont="1" applyFill="1" applyAlignment="1"/>
    <xf numFmtId="0" fontId="3" fillId="0" borderId="13" xfId="0" applyFont="1" applyFill="1" applyBorder="1" applyAlignment="1"/>
    <xf numFmtId="0" fontId="3" fillId="0" borderId="0" xfId="0" applyFont="1" applyFill="1" applyBorder="1" applyAlignment="1">
      <alignment horizontal="center"/>
    </xf>
    <xf numFmtId="14" fontId="3" fillId="0" borderId="0" xfId="0" applyNumberFormat="1" applyFont="1" applyFill="1" applyBorder="1" applyAlignment="1">
      <alignment horizontal="center"/>
    </xf>
    <xf numFmtId="4" fontId="3" fillId="0" borderId="0" xfId="0" applyNumberFormat="1" applyFont="1" applyFill="1" applyBorder="1" applyAlignment="1">
      <alignment horizontal="center"/>
    </xf>
    <xf numFmtId="10" fontId="3" fillId="0" borderId="0" xfId="0" applyNumberFormat="1" applyFont="1" applyFill="1" applyBorder="1" applyAlignment="1">
      <alignment horizontal="center"/>
    </xf>
    <xf numFmtId="0" fontId="6" fillId="0" borderId="0" xfId="0" applyFont="1" applyFill="1" applyBorder="1" applyAlignment="1">
      <alignment horizontal="center"/>
    </xf>
    <xf numFmtId="0" fontId="8" fillId="0" borderId="0" xfId="0" applyFont="1" applyFill="1" applyBorder="1" applyAlignment="1"/>
    <xf numFmtId="0" fontId="9" fillId="0" borderId="0" xfId="0" applyFont="1" applyFill="1" applyBorder="1" applyAlignment="1"/>
    <xf numFmtId="0" fontId="9" fillId="0" borderId="0" xfId="0" applyFont="1" applyFill="1" applyAlignment="1"/>
    <xf numFmtId="0" fontId="7" fillId="0" borderId="0" xfId="0" applyFont="1" applyFill="1" applyBorder="1" applyAlignment="1"/>
    <xf numFmtId="11" fontId="3" fillId="0" borderId="0" xfId="0" applyNumberFormat="1" applyFont="1" applyFill="1" applyBorder="1" applyAlignment="1"/>
    <xf numFmtId="11" fontId="3" fillId="0" borderId="13" xfId="0" applyNumberFormat="1" applyFont="1" applyFill="1" applyBorder="1" applyAlignment="1"/>
    <xf numFmtId="0" fontId="5" fillId="0" borderId="0" xfId="0" applyFont="1" applyFill="1" applyAlignment="1">
      <alignment horizontal="center"/>
    </xf>
    <xf numFmtId="0" fontId="8" fillId="0" borderId="0" xfId="0" applyFont="1" applyFill="1" applyBorder="1" applyAlignment="1">
      <alignment horizontal="right"/>
    </xf>
    <xf numFmtId="0" fontId="10" fillId="0" borderId="0" xfId="0" applyFont="1" applyAlignment="1">
      <alignment horizontal="right"/>
    </xf>
    <xf numFmtId="0" fontId="10" fillId="0" borderId="0" xfId="0" applyFont="1"/>
    <xf numFmtId="0" fontId="0" fillId="0" borderId="0" xfId="0" applyBorder="1"/>
    <xf numFmtId="0" fontId="13" fillId="0" borderId="14" xfId="0" applyFont="1" applyFill="1" applyBorder="1" applyAlignment="1"/>
    <xf numFmtId="0" fontId="11" fillId="0" borderId="14" xfId="0" applyFont="1" applyBorder="1"/>
    <xf numFmtId="0" fontId="12" fillId="0" borderId="15" xfId="0" applyFont="1" applyFill="1" applyBorder="1" applyAlignment="1">
      <alignment wrapText="1"/>
    </xf>
    <xf numFmtId="0" fontId="12" fillId="0" borderId="16" xfId="0" applyFont="1" applyFill="1" applyBorder="1" applyAlignment="1">
      <alignment wrapText="1"/>
    </xf>
    <xf numFmtId="0" fontId="12" fillId="0" borderId="17" xfId="0" applyFont="1" applyFill="1" applyBorder="1" applyAlignment="1">
      <alignment wrapText="1"/>
    </xf>
    <xf numFmtId="0" fontId="12" fillId="0" borderId="18" xfId="0" applyFont="1" applyFill="1" applyBorder="1" applyAlignment="1">
      <alignment wrapText="1"/>
    </xf>
    <xf numFmtId="0" fontId="13" fillId="0" borderId="19" xfId="0" applyFont="1" applyFill="1" applyBorder="1" applyAlignment="1"/>
    <xf numFmtId="0" fontId="14" fillId="0" borderId="20" xfId="0" applyFont="1" applyBorder="1"/>
    <xf numFmtId="0" fontId="11" fillId="3" borderId="21" xfId="0" applyFont="1" applyFill="1" applyBorder="1"/>
    <xf numFmtId="0" fontId="11" fillId="0" borderId="21" xfId="0" applyFont="1" applyBorder="1"/>
    <xf numFmtId="0" fontId="11" fillId="0" borderId="22" xfId="0" applyFont="1" applyBorder="1"/>
    <xf numFmtId="0" fontId="14" fillId="0" borderId="15" xfId="0" applyFont="1" applyBorder="1"/>
    <xf numFmtId="0" fontId="14" fillId="0" borderId="16" xfId="0" applyFont="1" applyBorder="1"/>
    <xf numFmtId="0" fontId="14" fillId="0" borderId="17" xfId="0" applyFont="1" applyBorder="1"/>
    <xf numFmtId="0" fontId="14" fillId="0" borderId="18" xfId="0" applyFont="1" applyBorder="1"/>
    <xf numFmtId="0" fontId="11" fillId="0" borderId="19" xfId="0" applyFont="1" applyBorder="1"/>
    <xf numFmtId="0" fontId="16" fillId="0" borderId="7" xfId="0" applyFont="1" applyFill="1" applyBorder="1" applyAlignment="1"/>
    <xf numFmtId="0" fontId="11" fillId="3" borderId="0" xfId="0" applyFont="1" applyFill="1" applyAlignment="1">
      <alignment horizontal="center"/>
    </xf>
    <xf numFmtId="0" fontId="11" fillId="3" borderId="7" xfId="0" applyFont="1" applyFill="1" applyBorder="1" applyAlignment="1"/>
    <xf numFmtId="0" fontId="15" fillId="3" borderId="7" xfId="0" applyFont="1" applyFill="1" applyBorder="1" applyAlignment="1"/>
    <xf numFmtId="0" fontId="8" fillId="0" borderId="0" xfId="0" applyFont="1" applyFill="1" applyBorder="1" applyAlignment="1">
      <alignment wrapText="1"/>
    </xf>
    <xf numFmtId="0" fontId="3" fillId="0" borderId="0" xfId="0" applyFont="1" applyFill="1" applyBorder="1" applyAlignment="1">
      <alignment wrapText="1"/>
    </xf>
    <xf numFmtId="15" fontId="3" fillId="0" borderId="0" xfId="0" applyNumberFormat="1" applyFont="1" applyFill="1" applyBorder="1" applyAlignment="1">
      <alignment wrapText="1"/>
    </xf>
    <xf numFmtId="10" fontId="8" fillId="0" borderId="0" xfId="0" applyNumberFormat="1" applyFont="1" applyFill="1" applyBorder="1" applyAlignment="1">
      <alignment wrapText="1"/>
    </xf>
    <xf numFmtId="0" fontId="17" fillId="0" borderId="0" xfId="0" applyFont="1" applyFill="1" applyBorder="1" applyAlignment="1">
      <alignment wrapText="1"/>
    </xf>
    <xf numFmtId="15" fontId="0" fillId="0" borderId="0" xfId="0" applyNumberFormat="1"/>
    <xf numFmtId="15" fontId="18" fillId="0" borderId="0" xfId="0" applyNumberFormat="1" applyFont="1"/>
    <xf numFmtId="0" fontId="0" fillId="0" borderId="0" xfId="0" applyAlignment="1"/>
    <xf numFmtId="0" fontId="20" fillId="0" borderId="0" xfId="0" applyFont="1"/>
    <xf numFmtId="43" fontId="0" fillId="0" borderId="0" xfId="0" applyNumberFormat="1"/>
    <xf numFmtId="43" fontId="0" fillId="0" borderId="0" xfId="0" applyNumberFormat="1" applyBorder="1"/>
    <xf numFmtId="0" fontId="10" fillId="0" borderId="26" xfId="0" applyFont="1" applyBorder="1"/>
    <xf numFmtId="43" fontId="10" fillId="0" borderId="26" xfId="0" applyNumberFormat="1" applyFont="1" applyBorder="1"/>
    <xf numFmtId="0" fontId="5" fillId="0" borderId="0" xfId="0" applyFont="1" applyFill="1" applyBorder="1" applyAlignment="1">
      <alignment horizontal="center"/>
    </xf>
    <xf numFmtId="0" fontId="5" fillId="0" borderId="0" xfId="0" applyFont="1" applyFill="1" applyBorder="1" applyAlignment="1"/>
    <xf numFmtId="10" fontId="0" fillId="0" borderId="0" xfId="0" applyNumberFormat="1"/>
    <xf numFmtId="43" fontId="10" fillId="0" borderId="0" xfId="0" applyNumberFormat="1" applyFont="1"/>
    <xf numFmtId="0" fontId="19" fillId="0" borderId="0" xfId="0" applyFont="1"/>
    <xf numFmtId="0" fontId="21" fillId="0" borderId="0" xfId="0" applyFont="1"/>
    <xf numFmtId="0" fontId="0" fillId="0" borderId="26" xfId="0" applyBorder="1"/>
    <xf numFmtId="43" fontId="0" fillId="0" borderId="26" xfId="0" applyNumberFormat="1" applyBorder="1"/>
    <xf numFmtId="43" fontId="0" fillId="0" borderId="0" xfId="0" applyNumberFormat="1" applyAlignment="1"/>
    <xf numFmtId="10" fontId="0" fillId="0" borderId="0" xfId="0" applyNumberFormat="1" applyFont="1"/>
    <xf numFmtId="0" fontId="0" fillId="0" borderId="0" xfId="0" applyAlignment="1">
      <alignment horizontal="center"/>
    </xf>
    <xf numFmtId="0" fontId="14" fillId="0" borderId="0" xfId="0" applyFont="1" applyAlignment="1">
      <alignment horizontal="center"/>
    </xf>
    <xf numFmtId="0" fontId="10" fillId="0" borderId="23" xfId="0" applyFont="1" applyBorder="1" applyAlignment="1">
      <alignment horizontal="center"/>
    </xf>
    <xf numFmtId="0" fontId="10" fillId="0" borderId="24" xfId="0" applyFont="1" applyBorder="1" applyAlignment="1">
      <alignment horizontal="center"/>
    </xf>
    <xf numFmtId="0" fontId="10" fillId="0" borderId="25" xfId="0" applyFont="1" applyBorder="1" applyAlignment="1">
      <alignment horizontal="center"/>
    </xf>
    <xf numFmtId="0" fontId="5" fillId="0" borderId="0" xfId="0" applyFont="1" applyFill="1" applyBorder="1" applyAlignment="1">
      <alignment horizontal="center"/>
    </xf>
    <xf numFmtId="0" fontId="5" fillId="0" borderId="0" xfId="0" applyFont="1" applyFill="1" applyBorder="1" applyAlignment="1"/>
    <xf numFmtId="0" fontId="23" fillId="0" borderId="0" xfId="0" applyFont="1" applyFill="1" applyBorder="1" applyAlignment="1">
      <alignment horizontal="center" wrapText="1"/>
    </xf>
    <xf numFmtId="0" fontId="14" fillId="3" borderId="0" xfId="0" applyFont="1" applyFill="1" applyAlignment="1">
      <alignment horizontal="center"/>
    </xf>
    <xf numFmtId="0" fontId="10" fillId="3" borderId="0" xfId="0" applyFont="1" applyFill="1"/>
    <xf numFmtId="0" fontId="0" fillId="3" borderId="0" xfId="0" applyFill="1"/>
    <xf numFmtId="10" fontId="0" fillId="3" borderId="0" xfId="0" applyNumberFormat="1" applyFill="1"/>
    <xf numFmtId="43" fontId="0" fillId="3" borderId="0" xfId="0" applyNumberFormat="1" applyFill="1"/>
    <xf numFmtId="0" fontId="24" fillId="0" borderId="0" xfId="0" applyFont="1" applyAlignment="1">
      <alignment horizontal="left" vertical="center" wrapText="1"/>
    </xf>
    <xf numFmtId="0" fontId="10" fillId="0" borderId="0" xfId="0" applyFont="1" applyAlignment="1">
      <alignment horizontal="center" vertical="center" wrapText="1"/>
    </xf>
    <xf numFmtId="0" fontId="10" fillId="0" borderId="0" xfId="0" applyFont="1" applyAlignment="1">
      <alignment horizontal="center"/>
    </xf>
    <xf numFmtId="10" fontId="0" fillId="0" borderId="26" xfId="0" applyNumberFormat="1" applyBorder="1"/>
    <xf numFmtId="0" fontId="10" fillId="0" borderId="0" xfId="0" applyFont="1" applyAlignment="1">
      <alignment horizontal="center"/>
    </xf>
    <xf numFmtId="0" fontId="19" fillId="0" borderId="0" xfId="0" applyFont="1" applyAlignment="1">
      <alignment wrapText="1"/>
    </xf>
    <xf numFmtId="0" fontId="22" fillId="0" borderId="0" xfId="1"/>
    <xf numFmtId="0" fontId="25" fillId="0" borderId="0" xfId="1" applyFont="1"/>
    <xf numFmtId="0" fontId="26" fillId="0" borderId="0" xfId="0" applyFont="1"/>
    <xf numFmtId="0" fontId="19" fillId="0" borderId="27" xfId="0" applyFont="1" applyBorder="1" applyAlignment="1">
      <alignment vertical="center"/>
    </xf>
    <xf numFmtId="10" fontId="26" fillId="3" borderId="0" xfId="0" applyNumberFormat="1" applyFont="1" applyFill="1"/>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Times New Roman"/>
                <a:ea typeface="Times New Roman"/>
                <a:cs typeface="Times New Roman"/>
              </a:defRPr>
            </a:pPr>
            <a:r>
              <a:rPr lang="en-US"/>
              <a:t>Variation of Beta </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Times New Roman"/>
              <a:ea typeface="Times New Roman"/>
              <a:cs typeface="Times New Roman"/>
            </a:defRPr>
          </a:pPr>
          <a:endParaRPr lang="en-US"/>
        </a:p>
      </c:txPr>
    </c:title>
    <c:autoTitleDeleted val="0"/>
    <c:plotArea>
      <c:layout/>
      <c:lineChart>
        <c:grouping val="standard"/>
        <c:varyColors val="0"/>
        <c:ser>
          <c:idx val="0"/>
          <c:order val="0"/>
          <c:tx>
            <c:strRef>
              <c:f>'Task 2'!$C$4</c:f>
              <c:strCache>
                <c:ptCount val="1"/>
                <c:pt idx="0">
                  <c:v>Daily Beta</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'Task 2'!$B$5:$B$8</c:f>
              <c:strCache>
                <c:ptCount val="4"/>
                <c:pt idx="0">
                  <c:v>FY 22</c:v>
                </c:pt>
                <c:pt idx="1">
                  <c:v>FY 23</c:v>
                </c:pt>
                <c:pt idx="2">
                  <c:v>FY 24</c:v>
                </c:pt>
                <c:pt idx="3">
                  <c:v>FY 25</c:v>
                </c:pt>
              </c:strCache>
            </c:strRef>
          </c:cat>
          <c:val>
            <c:numRef>
              <c:f>'Task 2'!$C$5:$C$8</c:f>
              <c:numCache>
                <c:formatCode>General</c:formatCode>
                <c:ptCount val="4"/>
                <c:pt idx="0">
                  <c:v>1.0864940000000001</c:v>
                </c:pt>
                <c:pt idx="1">
                  <c:v>0.73098300000000005</c:v>
                </c:pt>
                <c:pt idx="2">
                  <c:v>0.395366</c:v>
                </c:pt>
                <c:pt idx="3">
                  <c:v>0.44456899999999999</c:v>
                </c:pt>
              </c:numCache>
            </c:numRef>
          </c:val>
          <c:smooth val="0"/>
          <c:extLst>
            <c:ext xmlns:c16="http://schemas.microsoft.com/office/drawing/2014/chart" uri="{C3380CC4-5D6E-409C-BE32-E72D297353CC}">
              <c16:uniqueId val="{00000001-81E1-4A3E-BE66-B2C763DB0D71}"/>
            </c:ext>
          </c:extLst>
        </c:ser>
        <c:ser>
          <c:idx val="1"/>
          <c:order val="1"/>
          <c:tx>
            <c:strRef>
              <c:f>'Task 2'!$D$4</c:f>
              <c:strCache>
                <c:ptCount val="1"/>
                <c:pt idx="0">
                  <c:v>Weekly Beta</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'Task 2'!$B$5:$B$8</c:f>
              <c:strCache>
                <c:ptCount val="4"/>
                <c:pt idx="0">
                  <c:v>FY 22</c:v>
                </c:pt>
                <c:pt idx="1">
                  <c:v>FY 23</c:v>
                </c:pt>
                <c:pt idx="2">
                  <c:v>FY 24</c:v>
                </c:pt>
                <c:pt idx="3">
                  <c:v>FY 25</c:v>
                </c:pt>
              </c:strCache>
            </c:strRef>
          </c:cat>
          <c:val>
            <c:numRef>
              <c:f>'Task 2'!$D$5:$D$8</c:f>
              <c:numCache>
                <c:formatCode>General</c:formatCode>
                <c:ptCount val="4"/>
                <c:pt idx="0">
                  <c:v>1.3660350000000001</c:v>
                </c:pt>
                <c:pt idx="1">
                  <c:v>1.1092569999999999</c:v>
                </c:pt>
                <c:pt idx="2">
                  <c:v>0.710781</c:v>
                </c:pt>
                <c:pt idx="3">
                  <c:v>0.99302199999999996</c:v>
                </c:pt>
              </c:numCache>
            </c:numRef>
          </c:val>
          <c:smooth val="0"/>
          <c:extLst>
            <c:ext xmlns:c16="http://schemas.microsoft.com/office/drawing/2014/chart" uri="{C3380CC4-5D6E-409C-BE32-E72D297353CC}">
              <c16:uniqueId val="{00000003-81E1-4A3E-BE66-B2C763DB0D71}"/>
            </c:ext>
          </c:extLst>
        </c:ser>
        <c:ser>
          <c:idx val="2"/>
          <c:order val="2"/>
          <c:tx>
            <c:strRef>
              <c:f>'Task 2'!$E$4</c:f>
              <c:strCache>
                <c:ptCount val="1"/>
                <c:pt idx="0">
                  <c:v>Monthly Beta</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'Task 2'!$B$5:$B$8</c:f>
              <c:strCache>
                <c:ptCount val="4"/>
                <c:pt idx="0">
                  <c:v>FY 22</c:v>
                </c:pt>
                <c:pt idx="1">
                  <c:v>FY 23</c:v>
                </c:pt>
                <c:pt idx="2">
                  <c:v>FY 24</c:v>
                </c:pt>
                <c:pt idx="3">
                  <c:v>FY 25</c:v>
                </c:pt>
              </c:strCache>
            </c:strRef>
          </c:cat>
          <c:val>
            <c:numRef>
              <c:f>'Task 2'!$E$5:$E$8</c:f>
              <c:numCache>
                <c:formatCode>General</c:formatCode>
                <c:ptCount val="4"/>
                <c:pt idx="0">
                  <c:v>3.2543980000000001</c:v>
                </c:pt>
                <c:pt idx="1">
                  <c:v>0.518648</c:v>
                </c:pt>
                <c:pt idx="2">
                  <c:v>0.58238400000000001</c:v>
                </c:pt>
                <c:pt idx="3">
                  <c:v>0.39503899999999997</c:v>
                </c:pt>
              </c:numCache>
            </c:numRef>
          </c:val>
          <c:smooth val="0"/>
          <c:extLst>
            <c:ext xmlns:c16="http://schemas.microsoft.com/office/drawing/2014/chart" uri="{C3380CC4-5D6E-409C-BE32-E72D297353CC}">
              <c16:uniqueId val="{00000005-81E1-4A3E-BE66-B2C763DB0D71}"/>
            </c:ext>
          </c:extLst>
        </c:ser>
        <c:dLbls>
          <c:showLegendKey val="0"/>
          <c:showVal val="0"/>
          <c:showCatName val="0"/>
          <c:showSerName val="0"/>
          <c:showPercent val="0"/>
          <c:showBubbleSize val="0"/>
        </c:dLbls>
        <c:marker val="1"/>
        <c:smooth val="0"/>
        <c:axId val="790920199"/>
        <c:axId val="572220935"/>
      </c:lineChart>
      <c:catAx>
        <c:axId val="790920199"/>
        <c:scaling>
          <c:orientation val="minMax"/>
        </c:scaling>
        <c:delete val="0"/>
        <c:axPos val="b"/>
        <c:title>
          <c:tx>
            <c:rich>
              <a:bodyPr rot="0" spcFirstLastPara="1" vertOverflow="ellipsis" vert="horz" wrap="square" anchor="ctr" anchorCtr="1"/>
              <a:lstStyle/>
              <a:p>
                <a:pPr>
                  <a:defRPr sz="1100" b="1" i="0" u="none" strike="noStrike" kern="1200" baseline="0">
                    <a:solidFill>
                      <a:schemeClr val="tx1">
                        <a:lumMod val="65000"/>
                        <a:lumOff val="35000"/>
                      </a:schemeClr>
                    </a:solidFill>
                    <a:latin typeface="Times New Roman"/>
                    <a:ea typeface="Times New Roman"/>
                    <a:cs typeface="Times New Roman"/>
                  </a:defRPr>
                </a:pPr>
                <a:r>
                  <a:rPr lang="en-US"/>
                  <a:t>Period</a:t>
                </a:r>
              </a:p>
            </c:rich>
          </c:tx>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Times New Roman"/>
                  <a:ea typeface="Times New Roman"/>
                  <a:cs typeface="Times New Roman"/>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2220935"/>
        <c:crosses val="autoZero"/>
        <c:auto val="1"/>
        <c:lblAlgn val="ctr"/>
        <c:lblOffset val="100"/>
        <c:noMultiLvlLbl val="0"/>
      </c:catAx>
      <c:valAx>
        <c:axId val="57222093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1" i="0" u="none" strike="noStrike" kern="1200" baseline="0">
                    <a:solidFill>
                      <a:schemeClr val="tx1">
                        <a:lumMod val="65000"/>
                        <a:lumOff val="35000"/>
                      </a:schemeClr>
                    </a:solidFill>
                    <a:latin typeface="Times New Roman"/>
                    <a:ea typeface="Times New Roman"/>
                    <a:cs typeface="Times New Roman"/>
                  </a:defRPr>
                </a:pPr>
                <a:r>
                  <a:rPr lang="en-US"/>
                  <a:t>Beta Value</a:t>
                </a:r>
              </a:p>
            </c:rich>
          </c:tx>
          <c:overlay val="0"/>
          <c:spPr>
            <a:noFill/>
            <a:ln>
              <a:noFill/>
            </a:ln>
            <a:effectLst/>
          </c:spPr>
          <c:txPr>
            <a:bodyPr rot="-5400000" spcFirstLastPara="1" vertOverflow="ellipsis" vert="horz" wrap="square" anchor="ctr" anchorCtr="1"/>
            <a:lstStyle/>
            <a:p>
              <a:pPr>
                <a:defRPr sz="1100" b="1" i="0" u="none" strike="noStrike" kern="1200" baseline="0">
                  <a:solidFill>
                    <a:schemeClr val="tx1">
                      <a:lumMod val="65000"/>
                      <a:lumOff val="35000"/>
                    </a:schemeClr>
                  </a:solidFill>
                  <a:latin typeface="Times New Roman"/>
                  <a:ea typeface="Times New Roman"/>
                  <a:cs typeface="Times New Roman"/>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092019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Times New Roman"/>
                <a:ea typeface="Times New Roman"/>
                <a:cs typeface="Times New Roman"/>
              </a:defRPr>
            </a:pPr>
            <a:r>
              <a:rPr lang="en-US"/>
              <a:t>Variation of Beta </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Times New Roman"/>
              <a:ea typeface="Times New Roman"/>
              <a:cs typeface="Times New Roman"/>
            </a:defRPr>
          </a:pPr>
          <a:endParaRPr lang="en-US"/>
        </a:p>
      </c:txPr>
    </c:title>
    <c:autoTitleDeleted val="0"/>
    <c:plotArea>
      <c:layout/>
      <c:lineChart>
        <c:grouping val="standard"/>
        <c:varyColors val="0"/>
        <c:ser>
          <c:idx val="0"/>
          <c:order val="0"/>
          <c:tx>
            <c:strRef>
              <c:f>'Task 2'!$C$19</c:f>
              <c:strCache>
                <c:ptCount val="1"/>
                <c:pt idx="0">
                  <c:v>Daily Beta</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'Task 2'!$B$20:$B$21</c:f>
              <c:strCache>
                <c:ptCount val="2"/>
                <c:pt idx="0">
                  <c:v>FY 21 - FY 22</c:v>
                </c:pt>
                <c:pt idx="1">
                  <c:v>FY 22 - FY 25</c:v>
                </c:pt>
              </c:strCache>
            </c:strRef>
          </c:cat>
          <c:val>
            <c:numRef>
              <c:f>'Task 2'!$C$20:$C$21</c:f>
              <c:numCache>
                <c:formatCode>General</c:formatCode>
                <c:ptCount val="2"/>
                <c:pt idx="0">
                  <c:v>0.96965900000000005</c:v>
                </c:pt>
                <c:pt idx="1">
                  <c:v>0.44822299999999998</c:v>
                </c:pt>
              </c:numCache>
            </c:numRef>
          </c:val>
          <c:smooth val="0"/>
          <c:extLst>
            <c:ext xmlns:c16="http://schemas.microsoft.com/office/drawing/2014/chart" uri="{C3380CC4-5D6E-409C-BE32-E72D297353CC}">
              <c16:uniqueId val="{00000002-0E86-4F0D-9CAD-F77FEF6AB781}"/>
            </c:ext>
          </c:extLst>
        </c:ser>
        <c:ser>
          <c:idx val="1"/>
          <c:order val="1"/>
          <c:tx>
            <c:strRef>
              <c:f>'Task 2'!$D$19</c:f>
              <c:strCache>
                <c:ptCount val="1"/>
                <c:pt idx="0">
                  <c:v>Weekly Beta</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'Task 2'!$B$20:$B$21</c:f>
              <c:strCache>
                <c:ptCount val="2"/>
                <c:pt idx="0">
                  <c:v>FY 21 - FY 22</c:v>
                </c:pt>
                <c:pt idx="1">
                  <c:v>FY 22 - FY 25</c:v>
                </c:pt>
              </c:strCache>
            </c:strRef>
          </c:cat>
          <c:val>
            <c:numRef>
              <c:f>'Task 2'!$D$20:$D$21</c:f>
              <c:numCache>
                <c:formatCode>General</c:formatCode>
                <c:ptCount val="2"/>
                <c:pt idx="0">
                  <c:v>1.4799469999999999</c:v>
                </c:pt>
                <c:pt idx="1">
                  <c:v>0.76811200000000002</c:v>
                </c:pt>
              </c:numCache>
            </c:numRef>
          </c:val>
          <c:smooth val="0"/>
          <c:extLst>
            <c:ext xmlns:c16="http://schemas.microsoft.com/office/drawing/2014/chart" uri="{C3380CC4-5D6E-409C-BE32-E72D297353CC}">
              <c16:uniqueId val="{00000004-0E86-4F0D-9CAD-F77FEF6AB781}"/>
            </c:ext>
          </c:extLst>
        </c:ser>
        <c:ser>
          <c:idx val="2"/>
          <c:order val="2"/>
          <c:tx>
            <c:strRef>
              <c:f>'Task 2'!$E$19</c:f>
              <c:strCache>
                <c:ptCount val="1"/>
                <c:pt idx="0">
                  <c:v>Monthly Beta</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'Task 2'!$B$20:$B$21</c:f>
              <c:strCache>
                <c:ptCount val="2"/>
                <c:pt idx="0">
                  <c:v>FY 21 - FY 22</c:v>
                </c:pt>
                <c:pt idx="1">
                  <c:v>FY 22 - FY 25</c:v>
                </c:pt>
              </c:strCache>
            </c:strRef>
          </c:cat>
          <c:val>
            <c:numRef>
              <c:f>'Task 2'!$E$20:$E$21</c:f>
              <c:numCache>
                <c:formatCode>General</c:formatCode>
                <c:ptCount val="2"/>
                <c:pt idx="0">
                  <c:v>1.5202610000000001</c:v>
                </c:pt>
                <c:pt idx="1">
                  <c:v>0.43353799999999998</c:v>
                </c:pt>
              </c:numCache>
            </c:numRef>
          </c:val>
          <c:smooth val="0"/>
          <c:extLst>
            <c:ext xmlns:c16="http://schemas.microsoft.com/office/drawing/2014/chart" uri="{C3380CC4-5D6E-409C-BE32-E72D297353CC}">
              <c16:uniqueId val="{00000006-0E86-4F0D-9CAD-F77FEF6AB781}"/>
            </c:ext>
          </c:extLst>
        </c:ser>
        <c:dLbls>
          <c:showLegendKey val="0"/>
          <c:showVal val="0"/>
          <c:showCatName val="0"/>
          <c:showSerName val="0"/>
          <c:showPercent val="0"/>
          <c:showBubbleSize val="0"/>
        </c:dLbls>
        <c:marker val="1"/>
        <c:smooth val="0"/>
        <c:axId val="790920199"/>
        <c:axId val="572220935"/>
      </c:lineChart>
      <c:catAx>
        <c:axId val="790920199"/>
        <c:scaling>
          <c:orientation val="minMax"/>
        </c:scaling>
        <c:delete val="0"/>
        <c:axPos val="b"/>
        <c:title>
          <c:tx>
            <c:rich>
              <a:bodyPr rot="0" spcFirstLastPara="1" vertOverflow="ellipsis" vert="horz" wrap="square" anchor="ctr" anchorCtr="1"/>
              <a:lstStyle/>
              <a:p>
                <a:pPr>
                  <a:defRPr sz="1100" b="1" i="0" u="none" strike="noStrike" kern="1200" baseline="0">
                    <a:solidFill>
                      <a:schemeClr val="tx1">
                        <a:lumMod val="65000"/>
                        <a:lumOff val="35000"/>
                      </a:schemeClr>
                    </a:solidFill>
                    <a:latin typeface="Times New Roman"/>
                    <a:ea typeface="Times New Roman"/>
                    <a:cs typeface="Times New Roman"/>
                  </a:defRPr>
                </a:pPr>
                <a:r>
                  <a:rPr lang="en-US"/>
                  <a:t>Period</a:t>
                </a:r>
              </a:p>
            </c:rich>
          </c:tx>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Times New Roman"/>
                  <a:ea typeface="Times New Roman"/>
                  <a:cs typeface="Times New Roman"/>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2220935"/>
        <c:crosses val="autoZero"/>
        <c:auto val="1"/>
        <c:lblAlgn val="ctr"/>
        <c:lblOffset val="100"/>
        <c:noMultiLvlLbl val="0"/>
      </c:catAx>
      <c:valAx>
        <c:axId val="572220935"/>
        <c:scaling>
          <c:orientation val="minMax"/>
          <c:max val="3.5"/>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1" i="0" u="none" strike="noStrike" kern="1200" baseline="0">
                    <a:solidFill>
                      <a:schemeClr val="tx1">
                        <a:lumMod val="65000"/>
                        <a:lumOff val="35000"/>
                      </a:schemeClr>
                    </a:solidFill>
                    <a:latin typeface="Times New Roman"/>
                    <a:ea typeface="Times New Roman"/>
                    <a:cs typeface="Times New Roman"/>
                  </a:defRPr>
                </a:pPr>
                <a:r>
                  <a:rPr lang="en-US"/>
                  <a:t>Beta Value</a:t>
                </a:r>
              </a:p>
            </c:rich>
          </c:tx>
          <c:overlay val="0"/>
          <c:spPr>
            <a:noFill/>
            <a:ln>
              <a:noFill/>
            </a:ln>
            <a:effectLst/>
          </c:spPr>
          <c:txPr>
            <a:bodyPr rot="-5400000" spcFirstLastPara="1" vertOverflow="ellipsis" vert="horz" wrap="square" anchor="ctr" anchorCtr="1"/>
            <a:lstStyle/>
            <a:p>
              <a:pPr>
                <a:defRPr sz="1100" b="1" i="0" u="none" strike="noStrike" kern="1200" baseline="0">
                  <a:solidFill>
                    <a:schemeClr val="tx1">
                      <a:lumMod val="65000"/>
                      <a:lumOff val="35000"/>
                    </a:schemeClr>
                  </a:solidFill>
                  <a:latin typeface="Times New Roman"/>
                  <a:ea typeface="Times New Roman"/>
                  <a:cs typeface="Times New Roman"/>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092019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tmp"/></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5</xdr:col>
      <xdr:colOff>504825</xdr:colOff>
      <xdr:row>1</xdr:row>
      <xdr:rowOff>152400</xdr:rowOff>
    </xdr:from>
    <xdr:to>
      <xdr:col>18</xdr:col>
      <xdr:colOff>266700</xdr:colOff>
      <xdr:row>24</xdr:row>
      <xdr:rowOff>95250</xdr:rowOff>
    </xdr:to>
    <xdr:pic>
      <xdr:nvPicPr>
        <xdr:cNvPr id="2" name="Picture 1">
          <a:extLst>
            <a:ext uri="{FF2B5EF4-FFF2-40B4-BE49-F238E27FC236}">
              <a16:creationId xmlns:a16="http://schemas.microsoft.com/office/drawing/2014/main" id="{C1837033-2297-A55C-FE8F-E388DE8EDB46}"/>
            </a:ext>
          </a:extLst>
        </xdr:cNvPr>
        <xdr:cNvPicPr>
          <a:picLocks noChangeAspect="1"/>
        </xdr:cNvPicPr>
      </xdr:nvPicPr>
      <xdr:blipFill>
        <a:blip xmlns:r="http://schemas.openxmlformats.org/officeDocument/2006/relationships" r:embed="rId1"/>
        <a:stretch>
          <a:fillRect/>
        </a:stretch>
      </xdr:blipFill>
      <xdr:spPr>
        <a:xfrm>
          <a:off x="3552825" y="342900"/>
          <a:ext cx="7686675" cy="43243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7</xdr:col>
      <xdr:colOff>0</xdr:colOff>
      <xdr:row>1</xdr:row>
      <xdr:rowOff>171450</xdr:rowOff>
    </xdr:from>
    <xdr:to>
      <xdr:col>14</xdr:col>
      <xdr:colOff>304800</xdr:colOff>
      <xdr:row>13</xdr:row>
      <xdr:rowOff>180975</xdr:rowOff>
    </xdr:to>
    <xdr:graphicFrame macro="">
      <xdr:nvGraphicFramePr>
        <xdr:cNvPr id="3" name="Chart 2">
          <a:extLst>
            <a:ext uri="{FF2B5EF4-FFF2-40B4-BE49-F238E27FC236}">
              <a16:creationId xmlns:a16="http://schemas.microsoft.com/office/drawing/2014/main" id="{2365DB4D-4D33-DB1A-BBB8-1B368D1DC429}"/>
            </a:ext>
            <a:ext uri="{147F2762-F138-4A5C-976F-8EAC2B608ADB}">
              <a16:predDERef xmlns:a16="http://schemas.microsoft.com/office/drawing/2014/main" pred="{9CC624E5-DD7B-0A13-5242-F789FD7E46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18</xdr:row>
      <xdr:rowOff>0</xdr:rowOff>
    </xdr:from>
    <xdr:to>
      <xdr:col>14</xdr:col>
      <xdr:colOff>304800</xdr:colOff>
      <xdr:row>31</xdr:row>
      <xdr:rowOff>76200</xdr:rowOff>
    </xdr:to>
    <xdr:graphicFrame macro="">
      <xdr:nvGraphicFramePr>
        <xdr:cNvPr id="6" name="Chart 5">
          <a:extLst>
            <a:ext uri="{FF2B5EF4-FFF2-40B4-BE49-F238E27FC236}">
              <a16:creationId xmlns:a16="http://schemas.microsoft.com/office/drawing/2014/main" id="{54FE853B-9FD9-4A48-B7C9-DFEEAD607EAC}"/>
            </a:ext>
            <a:ext uri="{147F2762-F138-4A5C-976F-8EAC2B608ADB}">
              <a16:predDERef xmlns:a16="http://schemas.microsoft.com/office/drawing/2014/main" pred="{2365DB4D-4D33-DB1A-BBB8-1B368D1DC4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590550</xdr:colOff>
      <xdr:row>2</xdr:row>
      <xdr:rowOff>9525</xdr:rowOff>
    </xdr:from>
    <xdr:to>
      <xdr:col>26</xdr:col>
      <xdr:colOff>19050</xdr:colOff>
      <xdr:row>15</xdr:row>
      <xdr:rowOff>19050</xdr:rowOff>
    </xdr:to>
    <xdr:sp macro="" textlink="">
      <xdr:nvSpPr>
        <xdr:cNvPr id="7" name="Rectangle 6">
          <a:extLst>
            <a:ext uri="{FF2B5EF4-FFF2-40B4-BE49-F238E27FC236}">
              <a16:creationId xmlns:a16="http://schemas.microsoft.com/office/drawing/2014/main" id="{AF13CE08-21DB-76A6-065E-5A68703F2CB9}"/>
            </a:ext>
            <a:ext uri="{147F2762-F138-4A5C-976F-8EAC2B608ADB}">
              <a16:predDERef xmlns:a16="http://schemas.microsoft.com/office/drawing/2014/main" pred="{54FE853B-9FD9-4A48-B7C9-DFEEAD607EAC}"/>
            </a:ext>
          </a:extLst>
        </xdr:cNvPr>
        <xdr:cNvSpPr/>
      </xdr:nvSpPr>
      <xdr:spPr>
        <a:xfrm>
          <a:off x="12696825" y="390525"/>
          <a:ext cx="5524500" cy="2933700"/>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a:p>
      </xdr:txBody>
    </xdr:sp>
    <xdr:clientData/>
  </xdr:twoCellAnchor>
  <xdr:twoCellAnchor>
    <xdr:from>
      <xdr:col>17</xdr:col>
      <xdr:colOff>9525</xdr:colOff>
      <xdr:row>2</xdr:row>
      <xdr:rowOff>57150</xdr:rowOff>
    </xdr:from>
    <xdr:to>
      <xdr:col>25</xdr:col>
      <xdr:colOff>581025</xdr:colOff>
      <xdr:row>14</xdr:row>
      <xdr:rowOff>180975</xdr:rowOff>
    </xdr:to>
    <xdr:sp macro="" textlink="">
      <xdr:nvSpPr>
        <xdr:cNvPr id="8" name="TextBox 7">
          <a:extLst>
            <a:ext uri="{FF2B5EF4-FFF2-40B4-BE49-F238E27FC236}">
              <a16:creationId xmlns:a16="http://schemas.microsoft.com/office/drawing/2014/main" id="{E84F7FDF-0E04-1E90-3A70-384466B7A63F}"/>
            </a:ext>
            <a:ext uri="{147F2762-F138-4A5C-976F-8EAC2B608ADB}">
              <a16:predDERef xmlns:a16="http://schemas.microsoft.com/office/drawing/2014/main" pred="{AF13CE08-21DB-76A6-065E-5A68703F2CB9}"/>
            </a:ext>
          </a:extLst>
        </xdr:cNvPr>
        <xdr:cNvSpPr txBox="1"/>
      </xdr:nvSpPr>
      <xdr:spPr>
        <a:xfrm>
          <a:off x="12725400" y="438150"/>
          <a:ext cx="5448300" cy="2857500"/>
        </a:xfrm>
        <a:prstGeom prst="rect">
          <a:avLst/>
        </a:prstGeom>
        <a:ln/>
      </xdr:spPr>
      <xdr:style>
        <a:lnRef idx="2">
          <a:schemeClr val="dk1"/>
        </a:lnRef>
        <a:fillRef idx="1">
          <a:schemeClr val="lt1"/>
        </a:fillRef>
        <a:effectRef idx="0">
          <a:schemeClr val="dk1"/>
        </a:effectRef>
        <a:fontRef idx="minor">
          <a:schemeClr val="dk1"/>
        </a:fontRef>
      </xdr:style>
      <xdr:txBody>
        <a:bodyPr spcFirstLastPara="0" vertOverflow="clip" horzOverflow="clip" wrap="square" lIns="91440" tIns="45720" rIns="91440" bIns="45720" rtlCol="0" anchor="t">
          <a:noAutofit/>
        </a:bodyPr>
        <a:lstStyle/>
        <a:p>
          <a:pPr marL="0" indent="0" algn="l"/>
          <a:r>
            <a:rPr lang="en-US" sz="1200" b="1">
              <a:solidFill>
                <a:schemeClr val="dk1"/>
              </a:solidFill>
              <a:latin typeface="+mn-lt"/>
              <a:ea typeface="+mn-lt"/>
              <a:cs typeface="+mn-lt"/>
            </a:rPr>
            <a:t> 1. Trend and Variation in Betas:</a:t>
          </a:r>
          <a:endParaRPr lang="en-US" sz="1200">
            <a:solidFill>
              <a:schemeClr val="dk1"/>
            </a:solidFill>
            <a:latin typeface="+mn-lt"/>
            <a:ea typeface="+mn-lt"/>
            <a:cs typeface="+mn-lt"/>
          </a:endParaRPr>
        </a:p>
        <a:p>
          <a:pPr marL="0" indent="0" algn="l"/>
          <a:r>
            <a:rPr lang="en-US" sz="1200">
              <a:solidFill>
                <a:schemeClr val="dk1"/>
              </a:solidFill>
              <a:latin typeface="+mn-lt"/>
              <a:ea typeface="+mn-lt"/>
              <a:cs typeface="+mn-lt"/>
            </a:rPr>
            <a:t>Daily and weekly betas both show a declining trend from FY22 to FY25, with daily beta dropping from 1.08 to 0.44 and weekly beta from 1.36 to 0.99.</a:t>
          </a:r>
        </a:p>
        <a:p>
          <a:pPr marL="0" indent="0" algn="l"/>
          <a:endParaRPr lang="en-US" sz="1200">
            <a:solidFill>
              <a:schemeClr val="dk1"/>
            </a:solidFill>
            <a:latin typeface="+mn-lt"/>
            <a:ea typeface="+mn-lt"/>
            <a:cs typeface="+mn-lt"/>
          </a:endParaRPr>
        </a:p>
        <a:p>
          <a:pPr marL="0" indent="0" algn="l"/>
          <a:r>
            <a:rPr lang="en-US" sz="1200">
              <a:solidFill>
                <a:schemeClr val="dk1"/>
              </a:solidFill>
              <a:latin typeface="+mn-lt"/>
              <a:ea typeface="+mn-lt"/>
              <a:cs typeface="+mn-lt"/>
            </a:rPr>
            <a:t>However, monthly betas are highly unstable, starting with an extremely high value of 3.25 in FY22 and falling sharply to 0.39 in FY25.This variation, especially in monthly betas, suggests the influence of major market events and the impact of fewer observations in monthly data.</a:t>
          </a:r>
          <a:endParaRPr lang="en-US" sz="1200" b="0" i="0" u="none" strike="noStrike">
            <a:solidFill>
              <a:srgbClr val="000000"/>
            </a:solidFill>
            <a:latin typeface="+mn-lt"/>
            <a:ea typeface="+mn-lt"/>
            <a:cs typeface="+mn-lt"/>
          </a:endParaRPr>
        </a:p>
        <a:p>
          <a:pPr marL="0" indent="0" algn="l"/>
          <a:endParaRPr lang="en-US" sz="1200" b="1" i="0" u="none" strike="noStrike">
            <a:solidFill>
              <a:srgbClr val="000000"/>
            </a:solidFill>
            <a:latin typeface="+mn-lt"/>
            <a:ea typeface="+mn-lt"/>
            <a:cs typeface="+mn-lt"/>
          </a:endParaRPr>
        </a:p>
        <a:p>
          <a:pPr marL="0" indent="0" algn="l"/>
          <a:r>
            <a:rPr lang="en-US" sz="1200" b="1" i="0" u="none" strike="noStrike">
              <a:solidFill>
                <a:srgbClr val="000000"/>
              </a:solidFill>
              <a:latin typeface="+mn-lt"/>
              <a:ea typeface="+mn-lt"/>
              <a:cs typeface="+mn-lt"/>
            </a:rPr>
            <a:t>2. Overall Stability Conclusion:</a:t>
          </a:r>
          <a:endParaRPr lang="en-US" sz="1200" b="0" i="0" u="none" strike="noStrike">
            <a:solidFill>
              <a:srgbClr val="000000"/>
            </a:solidFill>
            <a:latin typeface="+mn-lt"/>
            <a:ea typeface="+mn-lt"/>
            <a:cs typeface="+mn-lt"/>
          </a:endParaRPr>
        </a:p>
        <a:p>
          <a:pPr marL="0" indent="0" algn="l"/>
          <a:r>
            <a:rPr lang="en-US" sz="1200" b="0" i="0" u="none" strike="noStrike">
              <a:solidFill>
                <a:srgbClr val="000000"/>
              </a:solidFill>
              <a:latin typeface="+mn-lt"/>
              <a:ea typeface="+mn-lt"/>
              <a:cs typeface="+mn-lt"/>
            </a:rPr>
            <a:t>Beta values are not stable across periods or data frequencies.</a:t>
          </a:r>
        </a:p>
        <a:p>
          <a:pPr marL="0" indent="0" algn="l"/>
          <a:r>
            <a:rPr lang="en-US" sz="1200" b="0" i="0" u="none" strike="noStrike">
              <a:solidFill>
                <a:srgbClr val="000000"/>
              </a:solidFill>
              <a:latin typeface="+mn-lt"/>
              <a:ea typeface="+mn-lt"/>
              <a:cs typeface="+mn-lt"/>
            </a:rPr>
            <a:t>The greatest instability is observed in monthly betas, highlighting the sensitivity of beta estimates to the frequency of data used.</a:t>
          </a:r>
        </a:p>
      </xdr:txBody>
    </xdr:sp>
    <xdr:clientData/>
  </xdr:twoCellAnchor>
  <xdr:twoCellAnchor>
    <xdr:from>
      <xdr:col>1</xdr:col>
      <xdr:colOff>0</xdr:colOff>
      <xdr:row>25</xdr:row>
      <xdr:rowOff>19050</xdr:rowOff>
    </xdr:from>
    <xdr:to>
      <xdr:col>5</xdr:col>
      <xdr:colOff>0</xdr:colOff>
      <xdr:row>30</xdr:row>
      <xdr:rowOff>104775</xdr:rowOff>
    </xdr:to>
    <xdr:sp macro="" textlink="">
      <xdr:nvSpPr>
        <xdr:cNvPr id="9" name="Rounded Rectangle 8">
          <a:extLst>
            <a:ext uri="{FF2B5EF4-FFF2-40B4-BE49-F238E27FC236}">
              <a16:creationId xmlns:a16="http://schemas.microsoft.com/office/drawing/2014/main" id="{CC9E9BD6-0E63-1F80-305C-B1FD52C7BE4A}"/>
            </a:ext>
            <a:ext uri="{147F2762-F138-4A5C-976F-8EAC2B608ADB}">
              <a16:predDERef xmlns:a16="http://schemas.microsoft.com/office/drawing/2014/main" pred="{E84F7FDF-0E04-1E90-3A70-384466B7A63F}"/>
            </a:ext>
          </a:extLst>
        </xdr:cNvPr>
        <xdr:cNvSpPr/>
      </xdr:nvSpPr>
      <xdr:spPr>
        <a:xfrm>
          <a:off x="609600" y="5353050"/>
          <a:ext cx="4791075" cy="1038225"/>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a:p>
      </xdr:txBody>
    </xdr:sp>
    <xdr:clientData/>
  </xdr:twoCellAnchor>
  <xdr:twoCellAnchor>
    <xdr:from>
      <xdr:col>1</xdr:col>
      <xdr:colOff>85725</xdr:colOff>
      <xdr:row>25</xdr:row>
      <xdr:rowOff>76200</xdr:rowOff>
    </xdr:from>
    <xdr:to>
      <xdr:col>4</xdr:col>
      <xdr:colOff>1200150</xdr:colOff>
      <xdr:row>30</xdr:row>
      <xdr:rowOff>38100</xdr:rowOff>
    </xdr:to>
    <xdr:sp macro="" textlink="">
      <xdr:nvSpPr>
        <xdr:cNvPr id="2" name="TextBox 9">
          <a:extLst>
            <a:ext uri="{FF2B5EF4-FFF2-40B4-BE49-F238E27FC236}">
              <a16:creationId xmlns:a16="http://schemas.microsoft.com/office/drawing/2014/main" id="{FC9783AC-E1DD-562B-730D-322B989DCA1A}"/>
            </a:ext>
            <a:ext uri="{147F2762-F138-4A5C-976F-8EAC2B608ADB}">
              <a16:predDERef xmlns:a16="http://schemas.microsoft.com/office/drawing/2014/main" pred="{CC9E9BD6-0E63-1F80-305C-B1FD52C7BE4A}"/>
            </a:ext>
          </a:extLst>
        </xdr:cNvPr>
        <xdr:cNvSpPr txBox="1"/>
      </xdr:nvSpPr>
      <xdr:spPr>
        <a:xfrm>
          <a:off x="695325" y="5410200"/>
          <a:ext cx="4600575" cy="914400"/>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1100">
              <a:latin typeface="+mn-lt"/>
              <a:ea typeface="+mn-lt"/>
              <a:cs typeface="+mn-lt"/>
            </a:rPr>
            <a:t>Beta values declined significantly from the FY21–FY22 period to the FY22–FY25 period across all frequencies.Daily beta dropped from 0.97 to 0.45, weekly beta from 1.48 to 0.77, and monthly beta from 1.52 to 0.43.This suggests a major reduction in the stock’s market sensitivity over time and greater stability in recent years.</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hyperlink" Target="https://www.marketsmojo.com/news/stocks-in-action/sapphire-foods-indias-stock-sees-decline-of-6-32-and-sell-call-by-marketsmojo-294248" TargetMode="External"/><Relationship Id="rId7" Type="http://schemas.openxmlformats.org/officeDocument/2006/relationships/hyperlink" Target="https://www.business-standard.com/markets/news/sapphire-foods-slips-9-management-expects-sales-margins-woes-to-persist-125031100646_1.html" TargetMode="External"/><Relationship Id="rId2" Type="http://schemas.openxmlformats.org/officeDocument/2006/relationships/hyperlink" Target="https://m.economictimes.com/markets/stocks/live-blog/bse-sensex-today-live-updates-nifty-50-stock-market-on-union-budget-2025-nirmala-sitharaman-speech-01-february-2025/liveblog/117809746.cms" TargetMode="External"/><Relationship Id="rId1" Type="http://schemas.openxmlformats.org/officeDocument/2006/relationships/hyperlink" Target="https://economictimes.indiatimes.com/sapphire-foods-india-ltd/stocksupdate/companyid-2017902.cms" TargetMode="External"/><Relationship Id="rId6" Type="http://schemas.openxmlformats.org/officeDocument/2006/relationships/hyperlink" Target="https://www.marketsmojo.com/news/stocks-in-action/sapphire-foods-indias-stock-outperforms-sector-and-sensex-on-april-30th-2024-119368" TargetMode="External"/><Relationship Id="rId5" Type="http://schemas.openxmlformats.org/officeDocument/2006/relationships/hyperlink" Target="https://www.business-standard.com/markets/news/sapphire-foods-gains-14-to-hit-all-time-high-after-multiple-block-deals-124092400489_1.html" TargetMode="External"/><Relationship Id="rId4" Type="http://schemas.openxmlformats.org/officeDocument/2006/relationships/hyperlink" Target="https://www.marketsmojo.com/news/stocks-in-action/sapphire-foods-indias-stock-price-surges-by-9-98-outperforming-sector-on-october-28-2024-294082"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60"/>
  <sheetViews>
    <sheetView workbookViewId="0"/>
  </sheetViews>
  <sheetFormatPr defaultRowHeight="15"/>
  <sheetData>
    <row r="1" spans="1:23">
      <c r="A1" s="105"/>
      <c r="B1" s="105"/>
      <c r="C1" s="105"/>
      <c r="D1" s="105"/>
      <c r="E1" s="105"/>
      <c r="F1" s="105"/>
      <c r="G1" s="105"/>
      <c r="H1" s="105"/>
      <c r="I1" s="105"/>
      <c r="J1" s="105"/>
      <c r="K1" s="105"/>
      <c r="L1" s="105"/>
      <c r="M1" s="105"/>
      <c r="N1" s="105"/>
      <c r="O1" s="105"/>
      <c r="P1" s="105"/>
      <c r="Q1" s="105"/>
      <c r="R1" s="105"/>
      <c r="S1" s="105"/>
      <c r="T1" s="105"/>
      <c r="U1" s="105"/>
      <c r="V1" s="105"/>
      <c r="W1" s="105"/>
    </row>
    <row r="2" spans="1:23">
      <c r="A2" s="105"/>
      <c r="B2" s="105"/>
      <c r="C2" s="105"/>
      <c r="D2" s="105"/>
      <c r="E2" s="105"/>
      <c r="F2" s="105"/>
      <c r="G2" s="105"/>
      <c r="H2" s="105"/>
      <c r="I2" s="105"/>
      <c r="J2" s="105"/>
      <c r="K2" s="105"/>
      <c r="L2" s="105"/>
      <c r="M2" s="105"/>
      <c r="N2" s="105"/>
      <c r="O2" s="105"/>
      <c r="P2" s="105"/>
      <c r="Q2" s="105"/>
      <c r="R2" s="105"/>
      <c r="S2" s="105"/>
      <c r="T2" s="105"/>
      <c r="U2" s="105"/>
      <c r="V2" s="105"/>
      <c r="W2" s="105"/>
    </row>
    <row r="3" spans="1:23">
      <c r="A3" s="105"/>
      <c r="B3" s="105"/>
      <c r="C3" s="105"/>
      <c r="D3" s="105"/>
      <c r="E3" s="105"/>
      <c r="F3" s="105"/>
      <c r="G3" s="105"/>
      <c r="H3" s="105"/>
      <c r="I3" s="105"/>
      <c r="J3" s="105"/>
      <c r="K3" s="105"/>
      <c r="L3" s="105"/>
      <c r="M3" s="105"/>
      <c r="N3" s="105"/>
      <c r="O3" s="105"/>
      <c r="P3" s="105"/>
      <c r="Q3" s="105"/>
      <c r="R3" s="105"/>
      <c r="S3" s="105"/>
      <c r="T3" s="105"/>
      <c r="U3" s="105"/>
      <c r="V3" s="105"/>
      <c r="W3" s="105"/>
    </row>
    <row r="4" spans="1:23">
      <c r="A4" s="105"/>
      <c r="B4" s="105"/>
      <c r="C4" s="105"/>
      <c r="D4" s="105"/>
      <c r="E4" s="105"/>
      <c r="F4" s="105"/>
      <c r="G4" s="105"/>
      <c r="H4" s="105"/>
      <c r="I4" s="105"/>
      <c r="J4" s="105"/>
      <c r="K4" s="105"/>
      <c r="L4" s="105"/>
      <c r="M4" s="105"/>
      <c r="N4" s="105"/>
      <c r="O4" s="105"/>
      <c r="P4" s="105"/>
      <c r="Q4" s="105"/>
      <c r="R4" s="105"/>
      <c r="S4" s="105"/>
      <c r="T4" s="105"/>
      <c r="U4" s="105"/>
      <c r="V4" s="105"/>
      <c r="W4" s="105"/>
    </row>
    <row r="5" spans="1:23">
      <c r="A5" s="105"/>
      <c r="B5" s="105"/>
      <c r="C5" s="105"/>
      <c r="D5" s="105"/>
      <c r="E5" s="105"/>
      <c r="F5" s="105"/>
      <c r="G5" s="105"/>
      <c r="H5" s="105"/>
      <c r="I5" s="105"/>
      <c r="J5" s="105"/>
      <c r="K5" s="105"/>
      <c r="L5" s="105"/>
      <c r="M5" s="105"/>
      <c r="N5" s="105"/>
      <c r="O5" s="105"/>
      <c r="P5" s="105"/>
      <c r="Q5" s="105"/>
      <c r="R5" s="105"/>
      <c r="S5" s="105"/>
      <c r="T5" s="105"/>
      <c r="U5" s="105"/>
      <c r="V5" s="105"/>
      <c r="W5" s="105"/>
    </row>
    <row r="6" spans="1:23">
      <c r="A6" s="105"/>
      <c r="B6" s="105"/>
      <c r="C6" s="105"/>
      <c r="D6" s="105"/>
      <c r="E6" s="105"/>
      <c r="F6" s="105"/>
      <c r="G6" s="105"/>
      <c r="H6" s="105"/>
      <c r="I6" s="105"/>
      <c r="J6" s="105"/>
      <c r="K6" s="105"/>
      <c r="L6" s="105"/>
      <c r="M6" s="105"/>
      <c r="N6" s="105"/>
      <c r="O6" s="105"/>
      <c r="P6" s="105"/>
      <c r="Q6" s="105"/>
      <c r="R6" s="105"/>
      <c r="S6" s="105"/>
      <c r="T6" s="105"/>
      <c r="U6" s="105"/>
      <c r="V6" s="105"/>
      <c r="W6" s="105"/>
    </row>
    <row r="7" spans="1:23">
      <c r="A7" s="105"/>
      <c r="B7" s="105"/>
      <c r="C7" s="105"/>
      <c r="D7" s="105"/>
      <c r="E7" s="105"/>
      <c r="F7" s="105"/>
      <c r="G7" s="105"/>
      <c r="H7" s="105"/>
      <c r="I7" s="105"/>
      <c r="J7" s="105"/>
      <c r="K7" s="105"/>
      <c r="L7" s="105"/>
      <c r="M7" s="105"/>
      <c r="N7" s="105"/>
      <c r="O7" s="105"/>
      <c r="P7" s="105"/>
      <c r="Q7" s="105"/>
      <c r="R7" s="105"/>
      <c r="S7" s="105"/>
      <c r="T7" s="105"/>
      <c r="U7" s="105"/>
      <c r="V7" s="105"/>
      <c r="W7" s="105"/>
    </row>
    <row r="8" spans="1:23">
      <c r="A8" s="105"/>
      <c r="B8" s="105"/>
      <c r="C8" s="105"/>
      <c r="D8" s="105"/>
      <c r="E8" s="105"/>
      <c r="F8" s="105"/>
      <c r="G8" s="105"/>
      <c r="H8" s="105"/>
      <c r="I8" s="105"/>
      <c r="J8" s="105"/>
      <c r="K8" s="105"/>
      <c r="L8" s="105"/>
      <c r="M8" s="105"/>
      <c r="N8" s="105"/>
      <c r="O8" s="105"/>
      <c r="P8" s="105"/>
      <c r="Q8" s="105"/>
      <c r="R8" s="105"/>
      <c r="S8" s="105"/>
      <c r="T8" s="105"/>
      <c r="U8" s="105"/>
      <c r="V8" s="105"/>
      <c r="W8" s="105"/>
    </row>
    <row r="9" spans="1:23">
      <c r="A9" s="105"/>
      <c r="B9" s="105"/>
      <c r="C9" s="105"/>
      <c r="D9" s="105"/>
      <c r="E9" s="105"/>
      <c r="F9" s="105"/>
      <c r="G9" s="105"/>
      <c r="H9" s="105"/>
      <c r="I9" s="105"/>
      <c r="J9" s="105"/>
      <c r="K9" s="105"/>
      <c r="L9" s="105"/>
      <c r="M9" s="105"/>
      <c r="N9" s="105"/>
      <c r="O9" s="105"/>
      <c r="P9" s="105"/>
      <c r="Q9" s="105"/>
      <c r="R9" s="105"/>
      <c r="S9" s="105"/>
      <c r="T9" s="105"/>
      <c r="U9" s="105"/>
      <c r="V9" s="105"/>
      <c r="W9" s="105"/>
    </row>
    <row r="10" spans="1:23">
      <c r="A10" s="105"/>
      <c r="B10" s="105"/>
      <c r="C10" s="105"/>
      <c r="D10" s="105"/>
      <c r="E10" s="105"/>
      <c r="F10" s="105"/>
      <c r="G10" s="105"/>
      <c r="H10" s="105"/>
      <c r="I10" s="105"/>
      <c r="J10" s="105"/>
      <c r="K10" s="105"/>
      <c r="L10" s="105"/>
      <c r="M10" s="105"/>
      <c r="N10" s="105"/>
      <c r="O10" s="105"/>
      <c r="P10" s="105"/>
      <c r="Q10" s="105"/>
      <c r="R10" s="105"/>
      <c r="S10" s="105"/>
      <c r="T10" s="105"/>
      <c r="U10" s="105"/>
      <c r="V10" s="105"/>
      <c r="W10" s="105"/>
    </row>
    <row r="11" spans="1:23">
      <c r="A11" s="105"/>
      <c r="B11" s="105"/>
      <c r="C11" s="105"/>
      <c r="D11" s="105"/>
      <c r="E11" s="105"/>
      <c r="F11" s="105"/>
      <c r="G11" s="105"/>
      <c r="H11" s="105"/>
      <c r="I11" s="105"/>
      <c r="J11" s="105"/>
      <c r="K11" s="105"/>
      <c r="L11" s="105"/>
      <c r="M11" s="105"/>
      <c r="N11" s="105"/>
      <c r="O11" s="105"/>
      <c r="P11" s="105"/>
      <c r="Q11" s="105"/>
      <c r="R11" s="105"/>
      <c r="S11" s="105"/>
      <c r="T11" s="105"/>
      <c r="U11" s="105"/>
      <c r="V11" s="105"/>
      <c r="W11" s="105"/>
    </row>
    <row r="12" spans="1:23">
      <c r="A12" s="105"/>
      <c r="B12" s="105"/>
      <c r="C12" s="105"/>
      <c r="D12" s="105"/>
      <c r="E12" s="105"/>
      <c r="F12" s="105"/>
      <c r="G12" s="105"/>
      <c r="H12" s="105"/>
      <c r="I12" s="105"/>
      <c r="J12" s="105"/>
      <c r="K12" s="105"/>
      <c r="L12" s="105"/>
      <c r="M12" s="105"/>
      <c r="N12" s="105"/>
      <c r="O12" s="105"/>
      <c r="P12" s="105"/>
      <c r="Q12" s="105"/>
      <c r="R12" s="105"/>
      <c r="S12" s="105"/>
      <c r="T12" s="105"/>
      <c r="U12" s="105"/>
      <c r="V12" s="105"/>
      <c r="W12" s="105"/>
    </row>
    <row r="13" spans="1:23">
      <c r="A13" s="105"/>
      <c r="B13" s="105"/>
      <c r="C13" s="105"/>
      <c r="D13" s="105"/>
      <c r="E13" s="105"/>
      <c r="F13" s="105"/>
      <c r="G13" s="105"/>
      <c r="H13" s="105"/>
      <c r="I13" s="105"/>
      <c r="J13" s="105"/>
      <c r="K13" s="105"/>
      <c r="L13" s="105"/>
      <c r="M13" s="105"/>
      <c r="N13" s="105"/>
      <c r="O13" s="105"/>
      <c r="P13" s="105"/>
      <c r="Q13" s="105"/>
      <c r="R13" s="105"/>
      <c r="S13" s="105"/>
      <c r="T13" s="105"/>
      <c r="U13" s="105"/>
      <c r="V13" s="105"/>
      <c r="W13" s="105"/>
    </row>
    <row r="14" spans="1:23">
      <c r="A14" s="105"/>
      <c r="B14" s="105"/>
      <c r="C14" s="105"/>
      <c r="D14" s="105"/>
      <c r="E14" s="105"/>
      <c r="F14" s="105"/>
      <c r="G14" s="105"/>
      <c r="H14" s="105"/>
      <c r="I14" s="105"/>
      <c r="J14" s="105"/>
      <c r="K14" s="105"/>
      <c r="L14" s="105"/>
      <c r="M14" s="105"/>
      <c r="N14" s="105"/>
      <c r="O14" s="105"/>
      <c r="P14" s="105"/>
      <c r="Q14" s="105"/>
      <c r="R14" s="105"/>
      <c r="S14" s="105"/>
      <c r="T14" s="105"/>
      <c r="U14" s="105"/>
      <c r="V14" s="105"/>
      <c r="W14" s="105"/>
    </row>
    <row r="15" spans="1:23">
      <c r="A15" s="105"/>
      <c r="B15" s="105"/>
      <c r="C15" s="105"/>
      <c r="D15" s="105"/>
      <c r="E15" s="105"/>
      <c r="F15" s="105"/>
      <c r="G15" s="105"/>
      <c r="H15" s="105"/>
      <c r="I15" s="105"/>
      <c r="J15" s="105"/>
      <c r="K15" s="105"/>
      <c r="L15" s="105"/>
      <c r="M15" s="105"/>
      <c r="N15" s="105"/>
      <c r="O15" s="105"/>
      <c r="P15" s="105"/>
      <c r="Q15" s="105"/>
      <c r="R15" s="105"/>
      <c r="S15" s="105"/>
      <c r="T15" s="105"/>
      <c r="U15" s="105"/>
      <c r="V15" s="105"/>
      <c r="W15" s="105"/>
    </row>
    <row r="16" spans="1:23">
      <c r="A16" s="105"/>
      <c r="B16" s="105"/>
      <c r="C16" s="105"/>
      <c r="D16" s="105"/>
      <c r="E16" s="105"/>
      <c r="F16" s="105"/>
      <c r="G16" s="105"/>
      <c r="H16" s="105"/>
      <c r="I16" s="105"/>
      <c r="J16" s="105"/>
      <c r="K16" s="105"/>
      <c r="L16" s="105"/>
      <c r="M16" s="105"/>
      <c r="N16" s="105"/>
      <c r="O16" s="105"/>
      <c r="P16" s="105"/>
      <c r="Q16" s="105"/>
      <c r="R16" s="105"/>
      <c r="S16" s="105"/>
      <c r="T16" s="105"/>
      <c r="U16" s="105"/>
      <c r="V16" s="105"/>
      <c r="W16" s="105"/>
    </row>
    <row r="17" spans="1:23">
      <c r="A17" s="105"/>
      <c r="B17" s="105"/>
      <c r="C17" s="105"/>
      <c r="D17" s="105"/>
      <c r="E17" s="105"/>
      <c r="F17" s="105"/>
      <c r="G17" s="105"/>
      <c r="H17" s="105"/>
      <c r="I17" s="105"/>
      <c r="J17" s="105"/>
      <c r="K17" s="105"/>
      <c r="L17" s="105"/>
      <c r="M17" s="105"/>
      <c r="N17" s="105"/>
      <c r="O17" s="105"/>
      <c r="P17" s="105"/>
      <c r="Q17" s="105"/>
      <c r="R17" s="105"/>
      <c r="S17" s="105"/>
      <c r="T17" s="105"/>
      <c r="U17" s="105"/>
      <c r="V17" s="105"/>
      <c r="W17" s="105"/>
    </row>
    <row r="18" spans="1:23">
      <c r="A18" s="105"/>
      <c r="B18" s="105"/>
      <c r="C18" s="105"/>
      <c r="D18" s="105"/>
      <c r="E18" s="105"/>
      <c r="F18" s="105"/>
      <c r="G18" s="105"/>
      <c r="H18" s="105"/>
      <c r="I18" s="105"/>
      <c r="J18" s="105"/>
      <c r="K18" s="105"/>
      <c r="L18" s="105"/>
      <c r="M18" s="105"/>
      <c r="N18" s="105"/>
      <c r="O18" s="105"/>
      <c r="P18" s="105"/>
      <c r="Q18" s="105"/>
      <c r="R18" s="105"/>
      <c r="S18" s="105"/>
      <c r="T18" s="105"/>
      <c r="U18" s="105"/>
      <c r="V18" s="105"/>
      <c r="W18" s="105"/>
    </row>
    <row r="19" spans="1:23">
      <c r="A19" s="105"/>
      <c r="B19" s="105"/>
      <c r="C19" s="105"/>
      <c r="D19" s="105"/>
      <c r="E19" s="105"/>
      <c r="F19" s="105"/>
      <c r="G19" s="105"/>
      <c r="H19" s="105"/>
      <c r="I19" s="105"/>
      <c r="J19" s="105"/>
      <c r="K19" s="105"/>
      <c r="L19" s="105"/>
      <c r="M19" s="105"/>
      <c r="N19" s="105"/>
      <c r="O19" s="105"/>
      <c r="P19" s="105"/>
      <c r="Q19" s="105"/>
      <c r="R19" s="105"/>
      <c r="S19" s="105"/>
      <c r="T19" s="105"/>
      <c r="U19" s="105"/>
      <c r="V19" s="105"/>
      <c r="W19" s="105"/>
    </row>
    <row r="20" spans="1:23">
      <c r="A20" s="105"/>
      <c r="B20" s="105"/>
      <c r="C20" s="105"/>
      <c r="D20" s="105"/>
      <c r="E20" s="105"/>
      <c r="F20" s="105"/>
      <c r="G20" s="105"/>
      <c r="H20" s="105"/>
      <c r="I20" s="105"/>
      <c r="J20" s="105"/>
      <c r="K20" s="105"/>
      <c r="L20" s="105"/>
      <c r="M20" s="105"/>
      <c r="N20" s="105"/>
      <c r="O20" s="105"/>
      <c r="P20" s="105"/>
      <c r="Q20" s="105"/>
      <c r="R20" s="105"/>
      <c r="S20" s="105"/>
      <c r="T20" s="105"/>
      <c r="U20" s="105"/>
      <c r="V20" s="105"/>
      <c r="W20" s="105"/>
    </row>
    <row r="21" spans="1:23">
      <c r="A21" s="105"/>
      <c r="B21" s="105"/>
      <c r="C21" s="105"/>
      <c r="D21" s="105"/>
      <c r="E21" s="105"/>
      <c r="F21" s="105"/>
      <c r="G21" s="105"/>
      <c r="H21" s="105"/>
      <c r="I21" s="105"/>
      <c r="J21" s="105"/>
      <c r="K21" s="105"/>
      <c r="L21" s="105"/>
      <c r="M21" s="105"/>
      <c r="N21" s="105"/>
      <c r="O21" s="105"/>
      <c r="P21" s="105"/>
      <c r="Q21" s="105"/>
      <c r="R21" s="105"/>
      <c r="S21" s="105"/>
      <c r="T21" s="105"/>
      <c r="U21" s="105"/>
      <c r="V21" s="105"/>
      <c r="W21" s="105"/>
    </row>
    <row r="22" spans="1:23">
      <c r="A22" s="105"/>
      <c r="B22" s="105"/>
      <c r="C22" s="105"/>
      <c r="D22" s="105"/>
      <c r="E22" s="105"/>
      <c r="F22" s="105"/>
      <c r="G22" s="105"/>
      <c r="H22" s="105"/>
      <c r="I22" s="105"/>
      <c r="J22" s="105"/>
      <c r="K22" s="105"/>
      <c r="L22" s="105"/>
      <c r="M22" s="105"/>
      <c r="N22" s="105"/>
      <c r="O22" s="105"/>
      <c r="P22" s="105"/>
      <c r="Q22" s="105"/>
      <c r="R22" s="105"/>
      <c r="S22" s="105"/>
      <c r="T22" s="105"/>
      <c r="U22" s="105"/>
      <c r="V22" s="105"/>
      <c r="W22" s="105"/>
    </row>
    <row r="23" spans="1:23">
      <c r="A23" s="105"/>
      <c r="B23" s="105"/>
      <c r="C23" s="105"/>
      <c r="D23" s="105"/>
      <c r="E23" s="105"/>
      <c r="F23" s="105"/>
      <c r="G23" s="105"/>
      <c r="H23" s="105"/>
      <c r="I23" s="105"/>
      <c r="J23" s="105"/>
      <c r="K23" s="105"/>
      <c r="L23" s="105"/>
      <c r="M23" s="105"/>
      <c r="N23" s="105"/>
      <c r="O23" s="105"/>
      <c r="P23" s="105"/>
      <c r="Q23" s="105"/>
      <c r="R23" s="105"/>
      <c r="S23" s="105"/>
      <c r="T23" s="105"/>
      <c r="U23" s="105"/>
      <c r="V23" s="105"/>
      <c r="W23" s="105"/>
    </row>
    <row r="24" spans="1:23">
      <c r="A24" s="105"/>
      <c r="B24" s="105"/>
      <c r="C24" s="105"/>
      <c r="D24" s="105"/>
      <c r="E24" s="105"/>
      <c r="F24" s="105"/>
      <c r="G24" s="105"/>
      <c r="H24" s="105"/>
      <c r="I24" s="105"/>
      <c r="J24" s="105"/>
      <c r="K24" s="105"/>
      <c r="L24" s="105"/>
      <c r="M24" s="105"/>
      <c r="N24" s="105"/>
      <c r="O24" s="105"/>
      <c r="P24" s="105"/>
      <c r="Q24" s="105"/>
      <c r="R24" s="105"/>
      <c r="S24" s="105"/>
      <c r="T24" s="105"/>
      <c r="U24" s="105"/>
      <c r="V24" s="105"/>
      <c r="W24" s="105"/>
    </row>
    <row r="25" spans="1:23">
      <c r="A25" s="105"/>
      <c r="B25" s="105"/>
      <c r="C25" s="105"/>
      <c r="D25" s="105"/>
      <c r="E25" s="105"/>
      <c r="F25" s="105"/>
      <c r="G25" s="105"/>
      <c r="H25" s="105"/>
      <c r="I25" s="105"/>
      <c r="J25" s="105"/>
      <c r="K25" s="105"/>
      <c r="L25" s="105"/>
      <c r="M25" s="105"/>
      <c r="N25" s="105"/>
      <c r="O25" s="105"/>
      <c r="P25" s="105"/>
      <c r="Q25" s="105"/>
      <c r="R25" s="105"/>
      <c r="S25" s="105"/>
      <c r="T25" s="105"/>
      <c r="U25" s="105"/>
      <c r="V25" s="105"/>
      <c r="W25" s="105"/>
    </row>
    <row r="26" spans="1:23">
      <c r="A26" s="105"/>
      <c r="B26" s="105"/>
      <c r="C26" s="105"/>
      <c r="D26" s="105"/>
      <c r="E26" s="105"/>
      <c r="F26" s="105"/>
      <c r="G26" s="105"/>
      <c r="H26" s="105"/>
      <c r="I26" s="105"/>
      <c r="J26" s="105"/>
      <c r="K26" s="105"/>
      <c r="L26" s="105"/>
      <c r="M26" s="105"/>
      <c r="N26" s="105"/>
      <c r="O26" s="105"/>
      <c r="P26" s="105"/>
      <c r="Q26" s="105"/>
      <c r="R26" s="105"/>
      <c r="S26" s="105"/>
      <c r="T26" s="105"/>
      <c r="U26" s="105"/>
      <c r="V26" s="105"/>
      <c r="W26" s="105"/>
    </row>
    <row r="27" spans="1:23">
      <c r="A27" s="105"/>
      <c r="B27" s="105"/>
      <c r="C27" s="105"/>
      <c r="D27" s="105"/>
      <c r="E27" s="105"/>
      <c r="F27" s="105"/>
      <c r="G27" s="105"/>
      <c r="H27" s="105"/>
      <c r="I27" s="105"/>
      <c r="J27" s="105"/>
      <c r="K27" s="105"/>
      <c r="L27" s="105"/>
      <c r="M27" s="105"/>
      <c r="N27" s="105"/>
      <c r="O27" s="105"/>
      <c r="P27" s="105"/>
      <c r="Q27" s="105"/>
      <c r="R27" s="105"/>
      <c r="S27" s="105"/>
      <c r="T27" s="105"/>
      <c r="U27" s="105"/>
      <c r="V27" s="105"/>
      <c r="W27" s="105"/>
    </row>
    <row r="28" spans="1:23">
      <c r="A28" s="105"/>
      <c r="B28" s="105"/>
      <c r="C28" s="105"/>
      <c r="D28" s="105"/>
      <c r="E28" s="105"/>
      <c r="F28" s="105"/>
      <c r="G28" s="105"/>
      <c r="H28" s="105"/>
      <c r="I28" s="105"/>
      <c r="J28" s="105"/>
      <c r="K28" s="105"/>
      <c r="L28" s="105"/>
      <c r="M28" s="105"/>
      <c r="N28" s="105"/>
      <c r="O28" s="105"/>
      <c r="P28" s="105"/>
      <c r="Q28" s="105"/>
      <c r="R28" s="105"/>
      <c r="S28" s="105"/>
      <c r="T28" s="105"/>
      <c r="U28" s="105"/>
      <c r="V28" s="105"/>
      <c r="W28" s="105"/>
    </row>
    <row r="29" spans="1:23">
      <c r="A29" s="105"/>
      <c r="B29" s="105"/>
      <c r="C29" s="105"/>
      <c r="D29" s="105"/>
      <c r="E29" s="105"/>
      <c r="F29" s="105"/>
      <c r="G29" s="105"/>
      <c r="H29" s="105"/>
      <c r="I29" s="105"/>
      <c r="J29" s="105"/>
      <c r="K29" s="105"/>
      <c r="L29" s="105"/>
      <c r="M29" s="105"/>
      <c r="N29" s="105"/>
      <c r="O29" s="105"/>
      <c r="P29" s="105"/>
      <c r="Q29" s="105"/>
      <c r="R29" s="105"/>
      <c r="S29" s="105"/>
      <c r="T29" s="105"/>
      <c r="U29" s="105"/>
      <c r="V29" s="105"/>
      <c r="W29" s="105"/>
    </row>
    <row r="30" spans="1:23">
      <c r="A30" s="105"/>
      <c r="B30" s="105"/>
      <c r="C30" s="105"/>
      <c r="D30" s="105"/>
      <c r="E30" s="105"/>
      <c r="F30" s="105"/>
      <c r="G30" s="105"/>
      <c r="H30" s="105"/>
      <c r="I30" s="105"/>
      <c r="J30" s="105"/>
      <c r="K30" s="105"/>
      <c r="L30" s="105"/>
      <c r="M30" s="105"/>
      <c r="N30" s="105"/>
      <c r="O30" s="105"/>
      <c r="P30" s="105"/>
      <c r="Q30" s="105"/>
      <c r="R30" s="105"/>
      <c r="S30" s="105"/>
      <c r="T30" s="105"/>
      <c r="U30" s="105"/>
      <c r="V30" s="105"/>
      <c r="W30" s="105"/>
    </row>
    <row r="31" spans="1:23">
      <c r="A31" s="105"/>
      <c r="B31" s="105"/>
      <c r="C31" s="105"/>
      <c r="D31" s="105"/>
      <c r="E31" s="105"/>
      <c r="F31" s="105"/>
      <c r="G31" s="105"/>
      <c r="H31" s="105"/>
      <c r="I31" s="105"/>
      <c r="J31" s="105"/>
      <c r="K31" s="105"/>
      <c r="L31" s="105"/>
      <c r="M31" s="105"/>
      <c r="N31" s="105"/>
      <c r="O31" s="105"/>
      <c r="P31" s="105"/>
      <c r="Q31" s="105"/>
      <c r="R31" s="105"/>
      <c r="S31" s="105"/>
      <c r="T31" s="105"/>
      <c r="U31" s="105"/>
      <c r="V31" s="105"/>
      <c r="W31" s="105"/>
    </row>
    <row r="32" spans="1:23">
      <c r="A32" s="105"/>
      <c r="B32" s="105"/>
      <c r="C32" s="105"/>
      <c r="D32" s="105"/>
      <c r="E32" s="105"/>
      <c r="F32" s="105"/>
      <c r="G32" s="105"/>
      <c r="H32" s="105"/>
      <c r="I32" s="105"/>
      <c r="J32" s="105"/>
      <c r="K32" s="105"/>
      <c r="L32" s="105"/>
      <c r="M32" s="105"/>
      <c r="N32" s="105"/>
      <c r="O32" s="105"/>
      <c r="P32" s="105"/>
      <c r="Q32" s="105"/>
      <c r="R32" s="105"/>
      <c r="S32" s="105"/>
      <c r="T32" s="105"/>
      <c r="U32" s="105"/>
      <c r="V32" s="105"/>
      <c r="W32" s="105"/>
    </row>
    <row r="33" spans="1:23">
      <c r="A33" s="105"/>
      <c r="B33" s="105"/>
      <c r="C33" s="105"/>
      <c r="D33" s="105"/>
      <c r="E33" s="105"/>
      <c r="F33" s="105"/>
      <c r="G33" s="105"/>
      <c r="H33" s="105"/>
      <c r="I33" s="105"/>
      <c r="J33" s="105"/>
      <c r="K33" s="105"/>
      <c r="L33" s="105"/>
      <c r="M33" s="105"/>
      <c r="N33" s="105"/>
      <c r="O33" s="105"/>
      <c r="P33" s="105"/>
      <c r="Q33" s="105"/>
      <c r="R33" s="105"/>
      <c r="S33" s="105"/>
      <c r="T33" s="105"/>
      <c r="U33" s="105"/>
      <c r="V33" s="105"/>
      <c r="W33" s="105"/>
    </row>
    <row r="34" spans="1:23">
      <c r="A34" s="105"/>
      <c r="B34" s="105"/>
      <c r="C34" s="105"/>
      <c r="D34" s="105"/>
      <c r="E34" s="105"/>
      <c r="F34" s="105"/>
      <c r="G34" s="105"/>
      <c r="H34" s="105"/>
      <c r="I34" s="105"/>
      <c r="J34" s="105"/>
      <c r="K34" s="105"/>
      <c r="L34" s="105"/>
      <c r="M34" s="105"/>
      <c r="N34" s="105"/>
      <c r="O34" s="105"/>
      <c r="P34" s="105"/>
      <c r="Q34" s="105"/>
      <c r="R34" s="105"/>
      <c r="S34" s="105"/>
      <c r="T34" s="105"/>
      <c r="U34" s="105"/>
      <c r="V34" s="105"/>
      <c r="W34" s="105"/>
    </row>
    <row r="35" spans="1:23">
      <c r="A35" s="105"/>
      <c r="B35" s="105"/>
      <c r="C35" s="105"/>
      <c r="D35" s="105"/>
      <c r="E35" s="105"/>
      <c r="F35" s="105"/>
      <c r="G35" s="105"/>
      <c r="H35" s="105"/>
      <c r="I35" s="105"/>
      <c r="J35" s="105"/>
      <c r="K35" s="105"/>
      <c r="L35" s="105"/>
      <c r="M35" s="105"/>
      <c r="N35" s="105"/>
      <c r="O35" s="105"/>
      <c r="P35" s="105"/>
      <c r="Q35" s="105"/>
      <c r="R35" s="105"/>
      <c r="S35" s="105"/>
      <c r="T35" s="105"/>
      <c r="U35" s="105"/>
      <c r="V35" s="105"/>
      <c r="W35" s="105"/>
    </row>
    <row r="36" spans="1:23">
      <c r="A36" s="105"/>
      <c r="B36" s="105"/>
      <c r="C36" s="105"/>
      <c r="D36" s="105"/>
      <c r="E36" s="105"/>
      <c r="F36" s="105"/>
      <c r="G36" s="105"/>
      <c r="H36" s="105"/>
      <c r="I36" s="105"/>
      <c r="J36" s="105"/>
      <c r="K36" s="105"/>
      <c r="L36" s="105"/>
      <c r="M36" s="105"/>
      <c r="N36" s="105"/>
      <c r="O36" s="105"/>
      <c r="P36" s="105"/>
      <c r="Q36" s="105"/>
      <c r="R36" s="105"/>
      <c r="S36" s="105"/>
      <c r="T36" s="105"/>
      <c r="U36" s="105"/>
      <c r="V36" s="105"/>
      <c r="W36" s="105"/>
    </row>
    <row r="37" spans="1:23">
      <c r="A37" s="105"/>
      <c r="B37" s="105"/>
      <c r="C37" s="105"/>
      <c r="D37" s="105"/>
      <c r="E37" s="105"/>
      <c r="F37" s="105"/>
      <c r="G37" s="105"/>
      <c r="H37" s="105"/>
      <c r="I37" s="105"/>
      <c r="J37" s="105"/>
      <c r="K37" s="105"/>
      <c r="L37" s="105"/>
      <c r="M37" s="105"/>
      <c r="N37" s="105"/>
      <c r="O37" s="105"/>
      <c r="P37" s="105"/>
      <c r="Q37" s="105"/>
      <c r="R37" s="105"/>
      <c r="S37" s="105"/>
      <c r="T37" s="105"/>
      <c r="U37" s="105"/>
      <c r="V37" s="105"/>
      <c r="W37" s="105"/>
    </row>
    <row r="38" spans="1:23">
      <c r="A38" s="105"/>
      <c r="B38" s="105"/>
      <c r="C38" s="105"/>
      <c r="D38" s="105"/>
      <c r="E38" s="105"/>
      <c r="F38" s="105"/>
      <c r="G38" s="105"/>
      <c r="H38" s="105"/>
      <c r="I38" s="105"/>
      <c r="J38" s="105"/>
      <c r="K38" s="105"/>
      <c r="L38" s="105"/>
      <c r="M38" s="105"/>
      <c r="N38" s="105"/>
      <c r="O38" s="105"/>
      <c r="P38" s="105"/>
      <c r="Q38" s="105"/>
      <c r="R38" s="105"/>
      <c r="S38" s="105"/>
      <c r="T38" s="105"/>
      <c r="U38" s="105"/>
      <c r="V38" s="105"/>
      <c r="W38" s="105"/>
    </row>
    <row r="39" spans="1:23">
      <c r="A39" s="105"/>
      <c r="B39" s="105"/>
      <c r="C39" s="105"/>
      <c r="D39" s="105"/>
      <c r="E39" s="105"/>
      <c r="F39" s="105"/>
      <c r="G39" s="105"/>
      <c r="H39" s="105"/>
      <c r="I39" s="105"/>
      <c r="J39" s="105"/>
      <c r="K39" s="105"/>
      <c r="L39" s="105"/>
      <c r="M39" s="105"/>
      <c r="N39" s="105"/>
      <c r="O39" s="105"/>
      <c r="P39" s="105"/>
      <c r="Q39" s="105"/>
      <c r="R39" s="105"/>
      <c r="S39" s="105"/>
      <c r="T39" s="105"/>
      <c r="U39" s="105"/>
      <c r="V39" s="105"/>
      <c r="W39" s="105"/>
    </row>
    <row r="40" spans="1:23">
      <c r="A40" s="105"/>
      <c r="B40" s="105"/>
      <c r="C40" s="105"/>
      <c r="D40" s="105"/>
      <c r="E40" s="105"/>
      <c r="F40" s="105"/>
      <c r="G40" s="105"/>
      <c r="H40" s="105"/>
      <c r="I40" s="105"/>
      <c r="J40" s="105"/>
      <c r="K40" s="105"/>
      <c r="L40" s="105"/>
      <c r="M40" s="105"/>
      <c r="N40" s="105"/>
      <c r="O40" s="105"/>
      <c r="P40" s="105"/>
      <c r="Q40" s="105"/>
      <c r="R40" s="105"/>
      <c r="S40" s="105"/>
      <c r="T40" s="105"/>
      <c r="U40" s="105"/>
      <c r="V40" s="105"/>
      <c r="W40" s="105"/>
    </row>
    <row r="41" spans="1:23">
      <c r="A41" s="105"/>
      <c r="B41" s="105"/>
      <c r="C41" s="105"/>
      <c r="D41" s="105"/>
      <c r="E41" s="105"/>
      <c r="F41" s="105"/>
      <c r="G41" s="105"/>
      <c r="H41" s="105"/>
      <c r="I41" s="105"/>
      <c r="J41" s="105"/>
      <c r="K41" s="105"/>
      <c r="L41" s="105"/>
      <c r="M41" s="105"/>
      <c r="N41" s="105"/>
      <c r="O41" s="105"/>
      <c r="P41" s="105"/>
      <c r="Q41" s="105"/>
      <c r="R41" s="105"/>
      <c r="S41" s="105"/>
      <c r="T41" s="105"/>
      <c r="U41" s="105"/>
      <c r="V41" s="105"/>
      <c r="W41" s="105"/>
    </row>
    <row r="42" spans="1:23">
      <c r="A42" s="105"/>
      <c r="B42" s="105"/>
      <c r="C42" s="105"/>
      <c r="D42" s="105"/>
      <c r="E42" s="105"/>
      <c r="F42" s="105"/>
      <c r="G42" s="105"/>
      <c r="H42" s="105"/>
      <c r="I42" s="105"/>
      <c r="J42" s="105"/>
      <c r="K42" s="105"/>
      <c r="L42" s="105"/>
      <c r="M42" s="105"/>
      <c r="N42" s="105"/>
      <c r="O42" s="105"/>
      <c r="P42" s="105"/>
      <c r="Q42" s="105"/>
      <c r="R42" s="105"/>
      <c r="S42" s="105"/>
      <c r="T42" s="105"/>
      <c r="U42" s="105"/>
      <c r="V42" s="105"/>
      <c r="W42" s="105"/>
    </row>
    <row r="43" spans="1:23">
      <c r="A43" s="105"/>
      <c r="B43" s="105"/>
      <c r="C43" s="105"/>
      <c r="D43" s="105"/>
      <c r="E43" s="105"/>
      <c r="F43" s="105"/>
      <c r="G43" s="105"/>
      <c r="H43" s="105"/>
      <c r="I43" s="105"/>
      <c r="J43" s="105"/>
      <c r="K43" s="105"/>
      <c r="L43" s="105"/>
      <c r="M43" s="105"/>
      <c r="N43" s="105"/>
      <c r="O43" s="105"/>
      <c r="P43" s="105"/>
      <c r="Q43" s="105"/>
      <c r="R43" s="105"/>
      <c r="S43" s="105"/>
      <c r="T43" s="105"/>
      <c r="U43" s="105"/>
      <c r="V43" s="105"/>
      <c r="W43" s="105"/>
    </row>
    <row r="44" spans="1:23">
      <c r="A44" s="105"/>
      <c r="B44" s="105"/>
      <c r="C44" s="105"/>
      <c r="D44" s="105"/>
      <c r="E44" s="105"/>
      <c r="F44" s="105"/>
      <c r="G44" s="105"/>
      <c r="H44" s="105"/>
      <c r="I44" s="105"/>
      <c r="J44" s="105"/>
      <c r="K44" s="105"/>
      <c r="L44" s="105"/>
      <c r="M44" s="105"/>
      <c r="N44" s="105"/>
      <c r="O44" s="105"/>
      <c r="P44" s="105"/>
      <c r="Q44" s="105"/>
      <c r="R44" s="105"/>
      <c r="S44" s="105"/>
      <c r="T44" s="105"/>
      <c r="U44" s="105"/>
      <c r="V44" s="105"/>
      <c r="W44" s="105"/>
    </row>
    <row r="45" spans="1:23">
      <c r="A45" s="105"/>
      <c r="B45" s="105"/>
      <c r="C45" s="105"/>
      <c r="D45" s="105"/>
      <c r="E45" s="105"/>
      <c r="F45" s="105"/>
      <c r="G45" s="105"/>
      <c r="H45" s="105"/>
      <c r="I45" s="105"/>
      <c r="J45" s="105"/>
      <c r="K45" s="105"/>
      <c r="L45" s="105"/>
      <c r="M45" s="105"/>
      <c r="N45" s="105"/>
      <c r="O45" s="105"/>
      <c r="P45" s="105"/>
      <c r="Q45" s="105"/>
      <c r="R45" s="105"/>
      <c r="S45" s="105"/>
      <c r="T45" s="105"/>
      <c r="U45" s="105"/>
      <c r="V45" s="105"/>
      <c r="W45" s="105"/>
    </row>
    <row r="46" spans="1:23">
      <c r="A46" s="105"/>
      <c r="B46" s="105"/>
      <c r="C46" s="105"/>
      <c r="D46" s="105"/>
      <c r="E46" s="105"/>
      <c r="F46" s="105"/>
      <c r="G46" s="105"/>
      <c r="H46" s="105"/>
      <c r="I46" s="105"/>
      <c r="J46" s="105"/>
      <c r="K46" s="105"/>
      <c r="L46" s="105"/>
      <c r="M46" s="105"/>
      <c r="N46" s="105"/>
      <c r="O46" s="105"/>
      <c r="P46" s="105"/>
      <c r="Q46" s="105"/>
      <c r="R46" s="105"/>
      <c r="S46" s="105"/>
      <c r="T46" s="105"/>
      <c r="U46" s="105"/>
      <c r="V46" s="105"/>
      <c r="W46" s="105"/>
    </row>
    <row r="47" spans="1:23">
      <c r="A47" s="105"/>
      <c r="B47" s="105"/>
      <c r="C47" s="105"/>
      <c r="D47" s="105"/>
      <c r="E47" s="105"/>
      <c r="F47" s="105"/>
      <c r="G47" s="105"/>
      <c r="H47" s="105"/>
      <c r="I47" s="105"/>
      <c r="J47" s="105"/>
      <c r="K47" s="105"/>
      <c r="L47" s="105"/>
      <c r="M47" s="105"/>
      <c r="N47" s="105"/>
      <c r="O47" s="105"/>
      <c r="P47" s="105"/>
      <c r="Q47" s="105"/>
      <c r="R47" s="105"/>
      <c r="S47" s="105"/>
      <c r="T47" s="105"/>
      <c r="U47" s="105"/>
      <c r="V47" s="105"/>
      <c r="W47" s="105"/>
    </row>
    <row r="48" spans="1:23">
      <c r="A48" s="105"/>
      <c r="B48" s="105"/>
      <c r="C48" s="105"/>
      <c r="D48" s="105"/>
      <c r="E48" s="105"/>
      <c r="F48" s="105"/>
      <c r="G48" s="105"/>
      <c r="H48" s="105"/>
      <c r="I48" s="105"/>
      <c r="J48" s="105"/>
      <c r="K48" s="105"/>
      <c r="L48" s="105"/>
      <c r="M48" s="105"/>
      <c r="N48" s="105"/>
      <c r="O48" s="105"/>
      <c r="P48" s="105"/>
      <c r="Q48" s="105"/>
      <c r="R48" s="105"/>
      <c r="S48" s="105"/>
      <c r="T48" s="105"/>
      <c r="U48" s="105"/>
      <c r="V48" s="105"/>
      <c r="W48" s="105"/>
    </row>
    <row r="49" spans="1:23">
      <c r="A49" s="105"/>
      <c r="B49" s="105"/>
      <c r="C49" s="105"/>
      <c r="D49" s="105"/>
      <c r="E49" s="105"/>
      <c r="F49" s="105"/>
      <c r="G49" s="105"/>
      <c r="H49" s="105"/>
      <c r="I49" s="105"/>
      <c r="J49" s="105"/>
      <c r="K49" s="105"/>
      <c r="L49" s="105"/>
      <c r="M49" s="105"/>
      <c r="N49" s="105"/>
      <c r="O49" s="105"/>
      <c r="P49" s="105"/>
      <c r="Q49" s="105"/>
      <c r="R49" s="105"/>
      <c r="S49" s="105"/>
      <c r="T49" s="105"/>
      <c r="U49" s="105"/>
      <c r="V49" s="105"/>
      <c r="W49" s="105"/>
    </row>
    <row r="50" spans="1:23">
      <c r="A50" s="105"/>
      <c r="B50" s="105"/>
      <c r="C50" s="105"/>
      <c r="D50" s="105"/>
      <c r="E50" s="105"/>
      <c r="F50" s="105"/>
      <c r="G50" s="105"/>
      <c r="H50" s="105"/>
      <c r="I50" s="105"/>
      <c r="J50" s="105"/>
      <c r="K50" s="105"/>
      <c r="L50" s="105"/>
      <c r="M50" s="105"/>
      <c r="N50" s="105"/>
      <c r="O50" s="105"/>
      <c r="P50" s="105"/>
      <c r="Q50" s="105"/>
      <c r="R50" s="105"/>
      <c r="S50" s="105"/>
      <c r="T50" s="105"/>
      <c r="U50" s="105"/>
      <c r="V50" s="105"/>
      <c r="W50" s="105"/>
    </row>
    <row r="51" spans="1:23">
      <c r="A51" s="105"/>
      <c r="B51" s="105"/>
      <c r="C51" s="105"/>
      <c r="D51" s="105"/>
      <c r="E51" s="105"/>
      <c r="F51" s="105"/>
      <c r="G51" s="105"/>
      <c r="H51" s="105"/>
      <c r="I51" s="105"/>
      <c r="J51" s="105"/>
      <c r="K51" s="105"/>
      <c r="L51" s="105"/>
      <c r="M51" s="105"/>
      <c r="N51" s="105"/>
      <c r="O51" s="105"/>
      <c r="P51" s="105"/>
      <c r="Q51" s="105"/>
      <c r="R51" s="105"/>
      <c r="S51" s="105"/>
      <c r="T51" s="105"/>
      <c r="U51" s="105"/>
      <c r="V51" s="105"/>
      <c r="W51" s="105"/>
    </row>
    <row r="52" spans="1:23">
      <c r="A52" s="105"/>
      <c r="B52" s="105"/>
      <c r="C52" s="105"/>
      <c r="D52" s="105"/>
      <c r="E52" s="105"/>
      <c r="F52" s="105"/>
      <c r="G52" s="105"/>
      <c r="H52" s="105"/>
      <c r="I52" s="105"/>
      <c r="J52" s="105"/>
      <c r="K52" s="105"/>
      <c r="L52" s="105"/>
      <c r="M52" s="105"/>
      <c r="N52" s="105"/>
      <c r="O52" s="105"/>
      <c r="P52" s="105"/>
      <c r="Q52" s="105"/>
      <c r="R52" s="105"/>
      <c r="S52" s="105"/>
      <c r="T52" s="105"/>
      <c r="U52" s="105"/>
      <c r="V52" s="105"/>
      <c r="W52" s="105"/>
    </row>
    <row r="53" spans="1:23">
      <c r="A53" s="105"/>
      <c r="B53" s="105"/>
      <c r="C53" s="105"/>
      <c r="D53" s="105"/>
      <c r="E53" s="105"/>
      <c r="F53" s="105"/>
      <c r="G53" s="105"/>
      <c r="H53" s="105"/>
      <c r="I53" s="105"/>
      <c r="J53" s="105"/>
      <c r="K53" s="105"/>
      <c r="L53" s="105"/>
      <c r="M53" s="105"/>
      <c r="N53" s="105"/>
      <c r="O53" s="105"/>
      <c r="P53" s="105"/>
      <c r="Q53" s="105"/>
      <c r="R53" s="105"/>
      <c r="S53" s="105"/>
      <c r="T53" s="105"/>
      <c r="U53" s="105"/>
      <c r="V53" s="105"/>
      <c r="W53" s="105"/>
    </row>
    <row r="54" spans="1:23">
      <c r="A54" s="105"/>
      <c r="B54" s="105"/>
      <c r="C54" s="105"/>
      <c r="D54" s="105"/>
      <c r="E54" s="105"/>
      <c r="F54" s="105"/>
      <c r="G54" s="105"/>
      <c r="H54" s="105"/>
      <c r="I54" s="105"/>
      <c r="J54" s="105"/>
      <c r="K54" s="105"/>
      <c r="L54" s="105"/>
      <c r="M54" s="105"/>
      <c r="N54" s="105"/>
      <c r="O54" s="105"/>
      <c r="P54" s="105"/>
      <c r="Q54" s="105"/>
      <c r="R54" s="105"/>
      <c r="S54" s="105"/>
      <c r="T54" s="105"/>
      <c r="U54" s="105"/>
      <c r="V54" s="105"/>
      <c r="W54" s="105"/>
    </row>
    <row r="55" spans="1:23">
      <c r="A55" s="105"/>
      <c r="B55" s="105"/>
      <c r="C55" s="105"/>
      <c r="D55" s="105"/>
      <c r="E55" s="105"/>
      <c r="F55" s="105"/>
      <c r="G55" s="105"/>
      <c r="H55" s="105"/>
      <c r="I55" s="105"/>
      <c r="J55" s="105"/>
      <c r="K55" s="105"/>
      <c r="L55" s="105"/>
      <c r="M55" s="105"/>
      <c r="N55" s="105"/>
      <c r="O55" s="105"/>
      <c r="P55" s="105"/>
      <c r="Q55" s="105"/>
      <c r="R55" s="105"/>
      <c r="S55" s="105"/>
      <c r="T55" s="105"/>
      <c r="U55" s="105"/>
      <c r="V55" s="105"/>
      <c r="W55" s="105"/>
    </row>
    <row r="56" spans="1:23">
      <c r="A56" s="105"/>
      <c r="B56" s="105"/>
      <c r="C56" s="105"/>
      <c r="D56" s="105"/>
      <c r="E56" s="105"/>
      <c r="F56" s="105"/>
      <c r="G56" s="105"/>
      <c r="H56" s="105"/>
      <c r="I56" s="105"/>
      <c r="J56" s="105"/>
      <c r="K56" s="105"/>
      <c r="L56" s="105"/>
      <c r="M56" s="105"/>
      <c r="N56" s="105"/>
      <c r="O56" s="105"/>
      <c r="P56" s="105"/>
      <c r="Q56" s="105"/>
      <c r="R56" s="105"/>
      <c r="S56" s="105"/>
      <c r="T56" s="105"/>
      <c r="U56" s="105"/>
      <c r="V56" s="105"/>
      <c r="W56" s="105"/>
    </row>
    <row r="57" spans="1:23">
      <c r="A57" s="105"/>
      <c r="B57" s="105"/>
      <c r="C57" s="105"/>
      <c r="D57" s="105"/>
      <c r="E57" s="105"/>
      <c r="F57" s="105"/>
      <c r="G57" s="105"/>
      <c r="H57" s="105"/>
      <c r="I57" s="105"/>
      <c r="J57" s="105"/>
      <c r="K57" s="105"/>
      <c r="L57" s="105"/>
      <c r="M57" s="105"/>
      <c r="N57" s="105"/>
      <c r="O57" s="105"/>
      <c r="P57" s="105"/>
      <c r="Q57" s="105"/>
      <c r="R57" s="105"/>
      <c r="S57" s="105"/>
      <c r="T57" s="105"/>
      <c r="U57" s="105"/>
      <c r="V57" s="105"/>
      <c r="W57" s="105"/>
    </row>
    <row r="58" spans="1:23">
      <c r="A58" s="105"/>
      <c r="B58" s="105"/>
      <c r="C58" s="105"/>
      <c r="D58" s="105"/>
      <c r="E58" s="105"/>
      <c r="F58" s="105"/>
      <c r="G58" s="105"/>
      <c r="H58" s="105"/>
      <c r="I58" s="105"/>
      <c r="J58" s="105"/>
      <c r="K58" s="105"/>
      <c r="L58" s="105"/>
      <c r="M58" s="105"/>
      <c r="N58" s="105"/>
      <c r="O58" s="105"/>
      <c r="P58" s="105"/>
      <c r="Q58" s="105"/>
      <c r="R58" s="105"/>
      <c r="S58" s="105"/>
      <c r="T58" s="105"/>
      <c r="U58" s="105"/>
      <c r="V58" s="105"/>
      <c r="W58" s="105"/>
    </row>
    <row r="59" spans="1:23">
      <c r="A59" s="105"/>
      <c r="B59" s="105"/>
      <c r="C59" s="105"/>
      <c r="D59" s="105"/>
      <c r="E59" s="105"/>
      <c r="F59" s="105"/>
      <c r="G59" s="105"/>
      <c r="H59" s="105"/>
      <c r="I59" s="105"/>
      <c r="J59" s="105"/>
      <c r="K59" s="105"/>
      <c r="L59" s="105"/>
      <c r="M59" s="105"/>
      <c r="N59" s="105"/>
      <c r="O59" s="105"/>
      <c r="P59" s="105"/>
      <c r="Q59" s="105"/>
      <c r="R59" s="105"/>
      <c r="S59" s="105"/>
      <c r="T59" s="105"/>
      <c r="U59" s="105"/>
      <c r="V59" s="105"/>
      <c r="W59" s="105"/>
    </row>
    <row r="60" spans="1:23">
      <c r="A60" s="105"/>
      <c r="B60" s="105"/>
      <c r="C60" s="105"/>
      <c r="D60" s="105"/>
      <c r="E60" s="105"/>
      <c r="F60" s="105"/>
      <c r="G60" s="105"/>
      <c r="H60" s="105"/>
      <c r="I60" s="105"/>
      <c r="J60" s="105"/>
      <c r="K60" s="105"/>
      <c r="L60" s="105"/>
      <c r="M60" s="105"/>
      <c r="N60" s="105"/>
      <c r="O60" s="105"/>
      <c r="P60" s="105"/>
      <c r="Q60" s="105"/>
      <c r="R60" s="105"/>
      <c r="S60" s="105"/>
      <c r="T60" s="105"/>
      <c r="U60" s="105"/>
      <c r="V60" s="105"/>
      <c r="W60" s="105"/>
    </row>
  </sheetData>
  <mergeCells count="1">
    <mergeCell ref="A1:W60"/>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255C14-06EA-4399-A809-375A83DE6F7D}">
  <dimension ref="B2:Q858"/>
  <sheetViews>
    <sheetView tabSelected="1" topLeftCell="A18" workbookViewId="0">
      <selection activeCell="X15" sqref="X15"/>
    </sheetView>
  </sheetViews>
  <sheetFormatPr defaultRowHeight="15"/>
  <cols>
    <col min="8" max="8" width="9.140625" style="126"/>
    <col min="10" max="10" width="10" bestFit="1" customWidth="1"/>
    <col min="12" max="12" width="9.85546875" bestFit="1" customWidth="1"/>
    <col min="13" max="13" width="10" bestFit="1" customWidth="1"/>
  </cols>
  <sheetData>
    <row r="2" spans="2:16" ht="15" customHeight="1">
      <c r="C2" s="86"/>
      <c r="D2" s="86"/>
      <c r="E2" s="86"/>
      <c r="F2" s="86"/>
      <c r="G2" s="86"/>
      <c r="H2" s="86"/>
    </row>
    <row r="3" spans="2:16" ht="15" customHeight="1">
      <c r="B3" s="86"/>
      <c r="C3" s="86"/>
      <c r="D3" s="86"/>
      <c r="E3" s="86"/>
      <c r="F3" s="86"/>
      <c r="G3" s="86"/>
      <c r="H3" s="86"/>
    </row>
    <row r="4" spans="2:16">
      <c r="B4" s="82"/>
      <c r="C4" s="82"/>
      <c r="D4" s="82"/>
      <c r="E4" s="82"/>
      <c r="F4" s="82"/>
      <c r="G4" s="82"/>
      <c r="H4" s="82"/>
    </row>
    <row r="5" spans="2:16" ht="3.75" customHeight="1">
      <c r="B5" s="82"/>
      <c r="C5" s="112"/>
      <c r="D5" s="112"/>
      <c r="E5" s="112"/>
      <c r="F5" s="112"/>
      <c r="G5" s="112"/>
      <c r="H5" s="112"/>
    </row>
    <row r="6" spans="2:16" ht="6" hidden="1" customHeight="1">
      <c r="B6" s="82"/>
      <c r="C6" s="82"/>
      <c r="D6" s="82"/>
      <c r="E6" s="82"/>
      <c r="F6" s="82"/>
      <c r="G6" s="82"/>
      <c r="H6" s="82"/>
    </row>
    <row r="7" spans="2:16" ht="115.5" customHeight="1">
      <c r="B7" s="82" t="s">
        <v>0</v>
      </c>
      <c r="C7" s="82" t="s">
        <v>1</v>
      </c>
      <c r="D7" s="82" t="s">
        <v>2</v>
      </c>
      <c r="E7" s="82" t="s">
        <v>3</v>
      </c>
      <c r="F7" s="82" t="s">
        <v>4</v>
      </c>
      <c r="G7" s="82" t="s">
        <v>5</v>
      </c>
      <c r="H7" s="82" t="s">
        <v>6</v>
      </c>
      <c r="I7" s="118" t="s">
        <v>7</v>
      </c>
      <c r="J7" s="119" t="s">
        <v>8</v>
      </c>
      <c r="K7" s="89"/>
      <c r="L7" s="123" t="s">
        <v>9</v>
      </c>
      <c r="M7" s="60" t="s">
        <v>10</v>
      </c>
      <c r="N7" s="60" t="s">
        <v>11</v>
      </c>
    </row>
    <row r="8" spans="2:16">
      <c r="B8" s="84">
        <v>45772</v>
      </c>
      <c r="C8" s="82">
        <v>324.64999999999998</v>
      </c>
      <c r="D8" s="83">
        <v>335.95</v>
      </c>
      <c r="E8" s="83">
        <v>339.9</v>
      </c>
      <c r="F8" s="83">
        <v>321.2</v>
      </c>
      <c r="G8" s="83">
        <v>155193</v>
      </c>
      <c r="H8" s="85">
        <v>-4.53E-2</v>
      </c>
      <c r="I8" s="97">
        <v>-8.6E-3</v>
      </c>
      <c r="J8" s="97">
        <f>H8-I8</f>
        <v>-3.6699999999999997E-2</v>
      </c>
      <c r="L8" s="87">
        <v>45719</v>
      </c>
      <c r="M8" t="s">
        <v>12</v>
      </c>
      <c r="N8" s="125" t="s">
        <v>13</v>
      </c>
    </row>
    <row r="9" spans="2:16">
      <c r="B9" s="84">
        <v>45771</v>
      </c>
      <c r="C9" s="82">
        <v>340.05</v>
      </c>
      <c r="D9" s="83">
        <v>333.45</v>
      </c>
      <c r="E9" s="83">
        <v>341.9</v>
      </c>
      <c r="F9" s="83">
        <v>331.5</v>
      </c>
      <c r="G9" s="83">
        <v>300040</v>
      </c>
      <c r="H9" s="85">
        <v>3.8E-3</v>
      </c>
      <c r="I9" s="97">
        <v>-3.3999999999999998E-3</v>
      </c>
      <c r="J9" s="97">
        <f>H9-I9</f>
        <v>7.1999999999999998E-3</v>
      </c>
      <c r="L9" s="87">
        <v>45689</v>
      </c>
      <c r="M9" t="s">
        <v>14</v>
      </c>
      <c r="N9" s="125" t="s">
        <v>15</v>
      </c>
    </row>
    <row r="10" spans="2:16">
      <c r="B10" s="84">
        <v>45770</v>
      </c>
      <c r="C10" s="82">
        <v>338.75</v>
      </c>
      <c r="D10" s="83">
        <v>323</v>
      </c>
      <c r="E10" s="83">
        <v>341.3</v>
      </c>
      <c r="F10" s="83">
        <v>312</v>
      </c>
      <c r="G10" s="83">
        <v>511424</v>
      </c>
      <c r="H10" s="85">
        <v>5.1700000000000003E-2</v>
      </c>
      <c r="I10" s="97">
        <v>6.7000000000000002E-3</v>
      </c>
      <c r="J10" s="97">
        <f t="shared" ref="J10:J73" si="0">H10-I10</f>
        <v>4.5000000000000005E-2</v>
      </c>
      <c r="L10" s="87">
        <v>45594</v>
      </c>
      <c r="M10" t="s">
        <v>12</v>
      </c>
      <c r="N10" s="125" t="s">
        <v>16</v>
      </c>
      <c r="O10" s="88"/>
    </row>
    <row r="11" spans="2:16">
      <c r="B11" s="84">
        <v>45769</v>
      </c>
      <c r="C11" s="82">
        <v>322.10000000000002</v>
      </c>
      <c r="D11" s="83">
        <v>317</v>
      </c>
      <c r="E11" s="83">
        <v>324</v>
      </c>
      <c r="F11" s="83">
        <v>313.35000000000002</v>
      </c>
      <c r="G11" s="83">
        <v>202991</v>
      </c>
      <c r="H11" s="85">
        <v>2.01E-2</v>
      </c>
      <c r="I11" s="97">
        <v>1.6999999999999999E-3</v>
      </c>
      <c r="J11" s="97">
        <f t="shared" si="0"/>
        <v>1.84E-2</v>
      </c>
      <c r="L11" s="87">
        <v>45593</v>
      </c>
      <c r="M11" t="s">
        <v>12</v>
      </c>
      <c r="N11" s="125" t="s">
        <v>17</v>
      </c>
      <c r="O11" s="88"/>
    </row>
    <row r="12" spans="2:16">
      <c r="B12" s="84">
        <v>45768</v>
      </c>
      <c r="C12" s="82">
        <v>315.75</v>
      </c>
      <c r="D12" s="83">
        <v>304.05</v>
      </c>
      <c r="E12" s="83">
        <v>316.89999999999998</v>
      </c>
      <c r="F12" s="83">
        <v>304.05</v>
      </c>
      <c r="G12" s="83">
        <v>318343</v>
      </c>
      <c r="H12" s="85">
        <v>4.1000000000000002E-2</v>
      </c>
      <c r="I12" s="97">
        <v>1.15E-2</v>
      </c>
      <c r="J12" s="97">
        <f t="shared" si="0"/>
        <v>2.9500000000000002E-2</v>
      </c>
      <c r="L12" s="87">
        <v>45559</v>
      </c>
      <c r="M12" t="s">
        <v>18</v>
      </c>
      <c r="N12" s="125" t="s">
        <v>19</v>
      </c>
      <c r="O12" s="60"/>
      <c r="P12" s="60"/>
    </row>
    <row r="13" spans="2:16">
      <c r="B13" s="84">
        <v>45764</v>
      </c>
      <c r="C13" s="82">
        <v>303.3</v>
      </c>
      <c r="D13" s="83">
        <v>305</v>
      </c>
      <c r="E13" s="83">
        <v>310.25</v>
      </c>
      <c r="F13" s="83">
        <v>302.35000000000002</v>
      </c>
      <c r="G13" s="83">
        <v>188153</v>
      </c>
      <c r="H13" s="85">
        <v>-1.5699999999999999E-2</v>
      </c>
      <c r="I13" s="97">
        <v>1.77E-2</v>
      </c>
      <c r="J13" s="97">
        <f t="shared" si="0"/>
        <v>-3.3399999999999999E-2</v>
      </c>
      <c r="L13" s="87">
        <v>45447</v>
      </c>
      <c r="M13" t="s">
        <v>18</v>
      </c>
      <c r="N13" s="126" t="s">
        <v>20</v>
      </c>
      <c r="P13" s="124"/>
    </row>
    <row r="14" spans="2:16">
      <c r="B14" s="84">
        <v>45763</v>
      </c>
      <c r="C14" s="82">
        <v>308.14999999999998</v>
      </c>
      <c r="D14" s="83">
        <v>305</v>
      </c>
      <c r="E14" s="83">
        <v>309.85000000000002</v>
      </c>
      <c r="F14" s="83">
        <v>302.55</v>
      </c>
      <c r="G14" s="83">
        <v>162449</v>
      </c>
      <c r="H14" s="85">
        <v>1E-3</v>
      </c>
      <c r="I14" s="97">
        <v>4.7000000000000002E-3</v>
      </c>
      <c r="J14" s="97">
        <f t="shared" si="0"/>
        <v>-3.7000000000000002E-3</v>
      </c>
      <c r="L14" s="87">
        <v>45446</v>
      </c>
      <c r="M14" t="s">
        <v>18</v>
      </c>
      <c r="N14" s="126" t="s">
        <v>20</v>
      </c>
      <c r="P14" s="124"/>
    </row>
    <row r="15" spans="2:16">
      <c r="B15" s="84">
        <v>45762</v>
      </c>
      <c r="C15" s="82">
        <v>307.85000000000002</v>
      </c>
      <c r="D15" s="83">
        <v>310.5</v>
      </c>
      <c r="E15" s="83">
        <v>316</v>
      </c>
      <c r="F15" s="83">
        <v>305.89999999999998</v>
      </c>
      <c r="G15" s="83">
        <v>313882</v>
      </c>
      <c r="H15" s="85">
        <v>8.3999999999999995E-3</v>
      </c>
      <c r="I15" s="97">
        <v>2.1899999999999999E-2</v>
      </c>
      <c r="J15" s="97">
        <f t="shared" si="0"/>
        <v>-1.35E-2</v>
      </c>
      <c r="L15" s="87">
        <v>45412</v>
      </c>
      <c r="M15" t="s">
        <v>12</v>
      </c>
      <c r="N15" s="125" t="s">
        <v>21</v>
      </c>
      <c r="P15" s="124"/>
    </row>
    <row r="16" spans="2:16">
      <c r="B16" s="84">
        <v>45758</v>
      </c>
      <c r="C16" s="82">
        <v>305.3</v>
      </c>
      <c r="D16" s="83">
        <v>295</v>
      </c>
      <c r="E16" s="83">
        <v>306.8</v>
      </c>
      <c r="F16" s="83">
        <v>294.55</v>
      </c>
      <c r="G16" s="83">
        <v>322516</v>
      </c>
      <c r="H16" s="85">
        <v>4.2000000000000003E-2</v>
      </c>
      <c r="I16" s="97">
        <v>1.9199999999999998E-2</v>
      </c>
      <c r="J16" s="97">
        <f t="shared" si="0"/>
        <v>2.2800000000000004E-2</v>
      </c>
      <c r="L16" s="87">
        <v>45366</v>
      </c>
      <c r="M16" t="s">
        <v>12</v>
      </c>
      <c r="N16" s="125" t="s">
        <v>22</v>
      </c>
      <c r="P16" s="124"/>
    </row>
    <row r="17" spans="2:16">
      <c r="B17" s="84">
        <v>45756</v>
      </c>
      <c r="C17" s="82">
        <v>293</v>
      </c>
      <c r="D17" s="83">
        <v>287.89999999999998</v>
      </c>
      <c r="E17" s="83">
        <v>294.39999999999998</v>
      </c>
      <c r="F17" s="83">
        <v>287.89999999999998</v>
      </c>
      <c r="G17" s="83">
        <v>152544</v>
      </c>
      <c r="H17" s="85">
        <v>6.4999999999999997E-3</v>
      </c>
      <c r="I17" s="97">
        <v>-6.1000000000000004E-3</v>
      </c>
      <c r="J17" s="97">
        <f t="shared" si="0"/>
        <v>1.26E-2</v>
      </c>
      <c r="L17" s="87">
        <v>45226</v>
      </c>
      <c r="M17" t="s">
        <v>18</v>
      </c>
      <c r="N17" s="126" t="s">
        <v>20</v>
      </c>
      <c r="P17" s="124"/>
    </row>
    <row r="18" spans="2:16">
      <c r="B18" s="84">
        <v>45755</v>
      </c>
      <c r="C18" s="82">
        <v>291.10000000000002</v>
      </c>
      <c r="D18" s="83">
        <v>295.10000000000002</v>
      </c>
      <c r="E18" s="83">
        <v>299.60000000000002</v>
      </c>
      <c r="F18" s="83">
        <v>287.45</v>
      </c>
      <c r="G18" s="83">
        <v>267061</v>
      </c>
      <c r="H18" s="85">
        <v>-3.8999999999999998E-3</v>
      </c>
      <c r="I18" s="97">
        <v>1.6899999999999998E-2</v>
      </c>
      <c r="J18" s="97">
        <f t="shared" si="0"/>
        <v>-2.0799999999999999E-2</v>
      </c>
      <c r="L18" s="87">
        <v>45076</v>
      </c>
      <c r="M18" t="s">
        <v>18</v>
      </c>
      <c r="N18" s="126" t="s">
        <v>20</v>
      </c>
    </row>
    <row r="19" spans="2:16">
      <c r="B19" s="84">
        <v>45754</v>
      </c>
      <c r="C19" s="82">
        <v>292.25</v>
      </c>
      <c r="D19" s="83">
        <v>285.55</v>
      </c>
      <c r="E19" s="83">
        <v>294.3</v>
      </c>
      <c r="F19" s="83">
        <v>275.8</v>
      </c>
      <c r="G19" s="83">
        <v>171198</v>
      </c>
      <c r="H19" s="85">
        <v>-9.4999999999999998E-3</v>
      </c>
      <c r="I19" s="97">
        <v>-3.2399999999999998E-2</v>
      </c>
      <c r="J19" s="97">
        <f t="shared" si="0"/>
        <v>2.2899999999999997E-2</v>
      </c>
      <c r="L19" s="87">
        <v>45077</v>
      </c>
      <c r="M19" t="s">
        <v>18</v>
      </c>
      <c r="N19" s="126" t="s">
        <v>20</v>
      </c>
    </row>
    <row r="20" spans="2:16">
      <c r="B20" s="84">
        <v>45751</v>
      </c>
      <c r="C20" s="82">
        <v>295.05</v>
      </c>
      <c r="D20" s="83">
        <v>300.05</v>
      </c>
      <c r="E20" s="83">
        <v>309</v>
      </c>
      <c r="F20" s="83">
        <v>291.3</v>
      </c>
      <c r="G20" s="83">
        <v>624918</v>
      </c>
      <c r="H20" s="85">
        <v>-3.0099999999999998E-2</v>
      </c>
      <c r="I20" s="97">
        <v>-1.49E-2</v>
      </c>
      <c r="J20" s="97">
        <f t="shared" si="0"/>
        <v>-1.5199999999999998E-2</v>
      </c>
      <c r="L20" s="87">
        <v>45049</v>
      </c>
      <c r="M20" t="s">
        <v>18</v>
      </c>
      <c r="N20" s="126" t="s">
        <v>20</v>
      </c>
      <c r="P20" s="124"/>
    </row>
    <row r="21" spans="2:16">
      <c r="B21" s="84">
        <v>45750</v>
      </c>
      <c r="C21" s="82">
        <v>304.2</v>
      </c>
      <c r="D21" s="83">
        <v>293.14999999999998</v>
      </c>
      <c r="E21" s="83">
        <v>305.2</v>
      </c>
      <c r="F21" s="83">
        <v>293.14999999999998</v>
      </c>
      <c r="G21" s="83">
        <v>122576</v>
      </c>
      <c r="H21" s="85">
        <v>1.9099999999999999E-2</v>
      </c>
      <c r="I21" s="97">
        <v>-3.5000000000000001E-3</v>
      </c>
      <c r="J21" s="97">
        <f t="shared" si="0"/>
        <v>2.2599999999999999E-2</v>
      </c>
      <c r="L21" s="87">
        <v>44811</v>
      </c>
      <c r="M21" t="s">
        <v>18</v>
      </c>
      <c r="N21" s="126" t="s">
        <v>20</v>
      </c>
      <c r="P21" s="124"/>
    </row>
    <row r="22" spans="2:16">
      <c r="B22" s="84">
        <v>45749</v>
      </c>
      <c r="C22" s="82">
        <v>298.5</v>
      </c>
      <c r="D22" s="83">
        <v>294</v>
      </c>
      <c r="E22" s="83">
        <v>302.39999999999998</v>
      </c>
      <c r="F22" s="83">
        <v>293.2</v>
      </c>
      <c r="G22" s="83">
        <v>216447</v>
      </c>
      <c r="H22" s="85">
        <v>1.6899999999999998E-2</v>
      </c>
      <c r="I22" s="97">
        <v>7.1999999999999998E-3</v>
      </c>
      <c r="J22" s="97">
        <f t="shared" si="0"/>
        <v>9.6999999999999986E-3</v>
      </c>
      <c r="L22" s="87">
        <v>44805</v>
      </c>
      <c r="M22" t="s">
        <v>18</v>
      </c>
      <c r="N22" s="126" t="s">
        <v>20</v>
      </c>
    </row>
    <row r="23" spans="2:16">
      <c r="B23" s="84">
        <v>45748</v>
      </c>
      <c r="C23" s="82">
        <v>293.55</v>
      </c>
      <c r="D23" s="83">
        <v>295.10000000000002</v>
      </c>
      <c r="E23" s="83">
        <v>297.75</v>
      </c>
      <c r="F23" s="83">
        <v>289.95</v>
      </c>
      <c r="G23" s="83">
        <v>380096</v>
      </c>
      <c r="H23" s="85">
        <v>-3.0999999999999999E-3</v>
      </c>
      <c r="I23" s="97">
        <v>-1.4999999999999999E-2</v>
      </c>
      <c r="J23" s="97">
        <f t="shared" si="0"/>
        <v>1.1899999999999999E-2</v>
      </c>
      <c r="L23" s="87">
        <v>44778</v>
      </c>
      <c r="M23" t="s">
        <v>18</v>
      </c>
      <c r="N23" s="126" t="s">
        <v>20</v>
      </c>
    </row>
    <row r="24" spans="2:16">
      <c r="B24" s="84">
        <v>45744</v>
      </c>
      <c r="C24" s="82">
        <v>294.45</v>
      </c>
      <c r="D24" s="83">
        <v>297.75</v>
      </c>
      <c r="E24" s="83">
        <v>302.8</v>
      </c>
      <c r="F24" s="83">
        <v>291.95</v>
      </c>
      <c r="G24" s="83">
        <v>406390</v>
      </c>
      <c r="H24" s="85">
        <v>-1.52E-2</v>
      </c>
      <c r="I24" s="97">
        <v>-3.0999999999999999E-3</v>
      </c>
      <c r="J24" s="97">
        <f t="shared" si="0"/>
        <v>-1.21E-2</v>
      </c>
      <c r="L24" s="87">
        <v>44774</v>
      </c>
      <c r="M24" t="s">
        <v>18</v>
      </c>
      <c r="N24" s="126" t="s">
        <v>20</v>
      </c>
    </row>
    <row r="25" spans="2:16">
      <c r="B25" s="84">
        <v>45743</v>
      </c>
      <c r="C25" s="82">
        <v>299</v>
      </c>
      <c r="D25" s="83">
        <v>294.8</v>
      </c>
      <c r="E25" s="83">
        <v>307.75</v>
      </c>
      <c r="F25" s="83">
        <v>288</v>
      </c>
      <c r="G25" s="83">
        <v>1105113</v>
      </c>
      <c r="H25" s="85">
        <v>3.0499999999999999E-2</v>
      </c>
      <c r="I25" s="97">
        <v>4.4999999999999997E-3</v>
      </c>
      <c r="J25" s="97">
        <f t="shared" si="0"/>
        <v>2.5999999999999999E-2</v>
      </c>
      <c r="L25" s="87">
        <v>44697</v>
      </c>
      <c r="M25" t="s">
        <v>18</v>
      </c>
      <c r="N25" s="126" t="s">
        <v>20</v>
      </c>
    </row>
    <row r="26" spans="2:16">
      <c r="B26" s="84">
        <v>45742</v>
      </c>
      <c r="C26" s="82">
        <v>290.14999999999998</v>
      </c>
      <c r="D26" s="83">
        <v>302</v>
      </c>
      <c r="E26" s="83">
        <v>302</v>
      </c>
      <c r="F26" s="83">
        <v>288.45</v>
      </c>
      <c r="G26" s="83">
        <v>883796</v>
      </c>
      <c r="H26" s="85">
        <v>-3.4799999999999998E-2</v>
      </c>
      <c r="I26" s="97">
        <v>-7.7000000000000002E-3</v>
      </c>
      <c r="J26" s="97">
        <f t="shared" si="0"/>
        <v>-2.7099999999999999E-2</v>
      </c>
      <c r="L26" s="87">
        <v>44613</v>
      </c>
      <c r="M26" t="s">
        <v>18</v>
      </c>
      <c r="N26" s="126" t="s">
        <v>20</v>
      </c>
    </row>
    <row r="27" spans="2:16">
      <c r="B27" s="84">
        <v>45741</v>
      </c>
      <c r="C27" s="82">
        <v>300.60000000000002</v>
      </c>
      <c r="D27" s="83">
        <v>307.14999999999998</v>
      </c>
      <c r="E27" s="83">
        <v>310.8</v>
      </c>
      <c r="F27" s="83">
        <v>294.5</v>
      </c>
      <c r="G27" s="83">
        <v>556972</v>
      </c>
      <c r="H27" s="85">
        <v>-2.2100000000000002E-2</v>
      </c>
      <c r="I27" s="97">
        <v>4.0000000000000002E-4</v>
      </c>
      <c r="J27" s="97">
        <f t="shared" si="0"/>
        <v>-2.2500000000000003E-2</v>
      </c>
      <c r="L27" s="87">
        <v>44603</v>
      </c>
      <c r="M27" t="s">
        <v>18</v>
      </c>
      <c r="N27" s="126" t="s">
        <v>20</v>
      </c>
    </row>
    <row r="28" spans="2:16">
      <c r="B28" s="84">
        <v>45740</v>
      </c>
      <c r="C28" s="82">
        <v>307.39999999999998</v>
      </c>
      <c r="D28" s="83">
        <v>311.14999999999998</v>
      </c>
      <c r="E28" s="83">
        <v>318.95</v>
      </c>
      <c r="F28" s="83">
        <v>306.14999999999998</v>
      </c>
      <c r="G28" s="83">
        <v>431299</v>
      </c>
      <c r="H28" s="85">
        <v>-2.0899999999999998E-2</v>
      </c>
      <c r="I28" s="97">
        <v>1.32E-2</v>
      </c>
      <c r="J28" s="97">
        <f t="shared" si="0"/>
        <v>-3.4099999999999998E-2</v>
      </c>
      <c r="L28" s="87">
        <v>44589</v>
      </c>
      <c r="M28" t="s">
        <v>18</v>
      </c>
      <c r="N28" s="126" t="s">
        <v>20</v>
      </c>
    </row>
    <row r="29" spans="2:16">
      <c r="B29" s="84">
        <v>45737</v>
      </c>
      <c r="C29" s="82">
        <v>313.95</v>
      </c>
      <c r="D29" s="83">
        <v>300.45</v>
      </c>
      <c r="E29" s="83">
        <v>319.5</v>
      </c>
      <c r="F29" s="83">
        <v>299.25</v>
      </c>
      <c r="G29" s="83">
        <v>1128009</v>
      </c>
      <c r="H29" s="85">
        <v>4.8099999999999997E-2</v>
      </c>
      <c r="I29" s="97">
        <v>6.8999999999999999E-3</v>
      </c>
      <c r="J29" s="97">
        <f t="shared" si="0"/>
        <v>4.1200000000000001E-2</v>
      </c>
      <c r="L29" s="87">
        <v>44568</v>
      </c>
      <c r="M29" t="s">
        <v>18</v>
      </c>
      <c r="N29" s="126" t="s">
        <v>20</v>
      </c>
    </row>
    <row r="30" spans="2:16">
      <c r="B30" s="84">
        <v>45736</v>
      </c>
      <c r="C30" s="82">
        <v>299.55</v>
      </c>
      <c r="D30" s="83">
        <v>306.89999999999998</v>
      </c>
      <c r="E30" s="83">
        <v>313.10000000000002</v>
      </c>
      <c r="F30" s="83">
        <v>298.64999999999998</v>
      </c>
      <c r="G30" s="83">
        <v>500791</v>
      </c>
      <c r="H30" s="85">
        <v>-1.9199999999999998E-2</v>
      </c>
      <c r="I30" s="97">
        <v>1.24E-2</v>
      </c>
      <c r="J30" s="97">
        <f t="shared" si="0"/>
        <v>-3.1599999999999996E-2</v>
      </c>
      <c r="L30" s="87">
        <v>44529</v>
      </c>
      <c r="M30" t="s">
        <v>18</v>
      </c>
      <c r="N30" s="126" t="s">
        <v>20</v>
      </c>
    </row>
    <row r="31" spans="2:16">
      <c r="B31" s="84">
        <v>45735</v>
      </c>
      <c r="C31" s="82">
        <v>305.39999999999998</v>
      </c>
      <c r="D31" s="83">
        <v>311</v>
      </c>
      <c r="E31" s="83">
        <v>314.55</v>
      </c>
      <c r="F31" s="83">
        <v>303.5</v>
      </c>
      <c r="G31" s="83">
        <v>394586</v>
      </c>
      <c r="H31" s="85">
        <v>-1.52E-2</v>
      </c>
      <c r="I31" s="97">
        <v>3.2000000000000002E-3</v>
      </c>
      <c r="J31" s="97">
        <f t="shared" si="0"/>
        <v>-1.84E-2</v>
      </c>
    </row>
    <row r="32" spans="2:16">
      <c r="B32" s="84">
        <v>45734</v>
      </c>
      <c r="C32" s="82">
        <v>310.10000000000002</v>
      </c>
      <c r="D32" s="83">
        <v>295.10000000000002</v>
      </c>
      <c r="E32" s="83">
        <v>311.5</v>
      </c>
      <c r="F32" s="83">
        <v>295.10000000000002</v>
      </c>
      <c r="G32" s="83">
        <v>708957</v>
      </c>
      <c r="H32" s="85">
        <v>4.7300000000000002E-2</v>
      </c>
      <c r="I32" s="97">
        <v>1.4500000000000001E-2</v>
      </c>
      <c r="J32" s="97">
        <f t="shared" si="0"/>
        <v>3.2800000000000003E-2</v>
      </c>
      <c r="N32" s="87"/>
    </row>
    <row r="33" spans="2:17">
      <c r="B33" s="84">
        <v>45733</v>
      </c>
      <c r="C33" s="82">
        <v>296.10000000000002</v>
      </c>
      <c r="D33" s="83">
        <v>307.75</v>
      </c>
      <c r="E33" s="83">
        <v>310.55</v>
      </c>
      <c r="F33" s="83">
        <v>294</v>
      </c>
      <c r="G33" s="83">
        <v>468248</v>
      </c>
      <c r="H33" s="85">
        <v>-2.6499999999999999E-2</v>
      </c>
      <c r="I33" s="97">
        <v>5.0000000000000001E-3</v>
      </c>
      <c r="J33" s="97">
        <f t="shared" si="0"/>
        <v>-3.15E-2</v>
      </c>
      <c r="N33" s="87"/>
      <c r="Q33" s="127" t="s">
        <v>23</v>
      </c>
    </row>
    <row r="34" spans="2:17">
      <c r="B34" s="84">
        <v>45729</v>
      </c>
      <c r="C34" s="82">
        <v>304.14999999999998</v>
      </c>
      <c r="D34" s="83">
        <v>316.7</v>
      </c>
      <c r="E34" s="83">
        <v>317.5</v>
      </c>
      <c r="F34" s="83">
        <v>301.2</v>
      </c>
      <c r="G34" s="83">
        <v>575841</v>
      </c>
      <c r="H34" s="85">
        <v>-3.3700000000000001E-2</v>
      </c>
      <c r="I34" s="97">
        <v>-3.3E-3</v>
      </c>
      <c r="J34" s="97">
        <f t="shared" si="0"/>
        <v>-3.04E-2</v>
      </c>
      <c r="N34" s="87"/>
    </row>
    <row r="35" spans="2:17">
      <c r="B35" s="84">
        <v>45728</v>
      </c>
      <c r="C35" s="82">
        <v>314.75</v>
      </c>
      <c r="D35" s="83">
        <v>325.5</v>
      </c>
      <c r="E35" s="83">
        <v>329.9</v>
      </c>
      <c r="F35" s="83">
        <v>308.85000000000002</v>
      </c>
      <c r="G35" s="83">
        <v>410430</v>
      </c>
      <c r="H35" s="85">
        <v>-2.5700000000000001E-2</v>
      </c>
      <c r="I35" s="97">
        <v>-1.1999999999999999E-3</v>
      </c>
      <c r="J35" s="97">
        <f t="shared" si="0"/>
        <v>-2.4500000000000001E-2</v>
      </c>
      <c r="N35" s="87"/>
    </row>
    <row r="36" spans="2:17">
      <c r="B36" s="84">
        <v>45727</v>
      </c>
      <c r="C36" s="82">
        <v>323.05</v>
      </c>
      <c r="D36" s="83">
        <v>315.25</v>
      </c>
      <c r="E36" s="83">
        <v>330</v>
      </c>
      <c r="F36" s="83">
        <v>297.05</v>
      </c>
      <c r="G36" s="83">
        <v>1810873</v>
      </c>
      <c r="H36" s="85">
        <v>-1.03E-2</v>
      </c>
      <c r="I36" s="97">
        <v>1.6999999999999999E-3</v>
      </c>
      <c r="J36" s="97">
        <f t="shared" si="0"/>
        <v>-1.2E-2</v>
      </c>
    </row>
    <row r="37" spans="2:17">
      <c r="B37" s="84">
        <v>45726</v>
      </c>
      <c r="C37" s="82">
        <v>326.39999999999998</v>
      </c>
      <c r="D37" s="83">
        <v>336.85</v>
      </c>
      <c r="E37" s="83">
        <v>336.85</v>
      </c>
      <c r="F37" s="83">
        <v>321</v>
      </c>
      <c r="G37" s="83">
        <v>306566</v>
      </c>
      <c r="H37" s="85">
        <v>-3.3599999999999998E-2</v>
      </c>
      <c r="I37" s="97">
        <v>-4.1000000000000003E-3</v>
      </c>
      <c r="J37" s="97">
        <f t="shared" si="0"/>
        <v>-2.9499999999999998E-2</v>
      </c>
    </row>
    <row r="38" spans="2:17">
      <c r="B38" s="84">
        <v>45723</v>
      </c>
      <c r="C38" s="82">
        <v>337.75</v>
      </c>
      <c r="D38" s="83">
        <v>322.8</v>
      </c>
      <c r="E38" s="83">
        <v>341.45</v>
      </c>
      <c r="F38" s="83">
        <v>317.5</v>
      </c>
      <c r="G38" s="83">
        <v>805282</v>
      </c>
      <c r="H38" s="85">
        <v>3.5099999999999999E-2</v>
      </c>
      <c r="I38" s="97">
        <v>2.9999999999999997E-4</v>
      </c>
      <c r="J38" s="97">
        <f t="shared" si="0"/>
        <v>3.4799999999999998E-2</v>
      </c>
    </row>
    <row r="39" spans="2:17">
      <c r="B39" s="84">
        <v>45722</v>
      </c>
      <c r="C39" s="82">
        <v>326.3</v>
      </c>
      <c r="D39" s="83">
        <v>314.3</v>
      </c>
      <c r="E39" s="83">
        <v>346</v>
      </c>
      <c r="F39" s="83">
        <v>312.8</v>
      </c>
      <c r="G39" s="83">
        <v>5784420</v>
      </c>
      <c r="H39" s="85">
        <v>5.2200000000000003E-2</v>
      </c>
      <c r="I39" s="97">
        <v>9.2999999999999992E-3</v>
      </c>
      <c r="J39" s="97">
        <f t="shared" si="0"/>
        <v>4.2900000000000008E-2</v>
      </c>
    </row>
    <row r="40" spans="2:17">
      <c r="B40" s="84">
        <v>45721</v>
      </c>
      <c r="C40" s="82">
        <v>310.10000000000002</v>
      </c>
      <c r="D40" s="83">
        <v>316.7</v>
      </c>
      <c r="E40" s="83">
        <v>323.85000000000002</v>
      </c>
      <c r="F40" s="83">
        <v>307.3</v>
      </c>
      <c r="G40" s="83">
        <v>328595</v>
      </c>
      <c r="H40" s="85">
        <v>-3.0599999999999999E-2</v>
      </c>
      <c r="I40" s="97">
        <v>1.15E-2</v>
      </c>
      <c r="J40" s="97">
        <f t="shared" si="0"/>
        <v>-4.2099999999999999E-2</v>
      </c>
    </row>
    <row r="41" spans="2:17">
      <c r="B41" s="84">
        <v>45720</v>
      </c>
      <c r="C41" s="82">
        <v>319.89999999999998</v>
      </c>
      <c r="D41" s="83">
        <v>320</v>
      </c>
      <c r="E41" s="83">
        <v>323.10000000000002</v>
      </c>
      <c r="F41" s="83">
        <v>313.45</v>
      </c>
      <c r="G41" s="83">
        <v>1569378</v>
      </c>
      <c r="H41" s="85">
        <v>-1.89E-2</v>
      </c>
      <c r="I41" s="97">
        <v>-1.6999999999999999E-3</v>
      </c>
      <c r="J41" s="97">
        <f t="shared" si="0"/>
        <v>-1.72E-2</v>
      </c>
    </row>
    <row r="42" spans="2:17">
      <c r="B42" s="84">
        <v>45719</v>
      </c>
      <c r="C42" s="82">
        <v>326.05</v>
      </c>
      <c r="D42" s="83">
        <v>310.14999999999998</v>
      </c>
      <c r="E42" s="83">
        <v>328</v>
      </c>
      <c r="F42" s="83">
        <v>301.10000000000002</v>
      </c>
      <c r="G42" s="83">
        <v>452089</v>
      </c>
      <c r="H42" s="85">
        <v>5.0900000000000001E-2</v>
      </c>
      <c r="I42" s="97">
        <v>-2.0000000000000001E-4</v>
      </c>
      <c r="J42" s="128">
        <f t="shared" si="0"/>
        <v>5.11E-2</v>
      </c>
      <c r="K42" s="87"/>
    </row>
    <row r="43" spans="2:17">
      <c r="B43" s="84">
        <v>45716</v>
      </c>
      <c r="C43" s="82">
        <v>310.25</v>
      </c>
      <c r="D43" s="83">
        <v>309.85000000000002</v>
      </c>
      <c r="E43" s="83">
        <v>315</v>
      </c>
      <c r="F43" s="83">
        <v>300.14999999999998</v>
      </c>
      <c r="G43" s="83">
        <v>474180</v>
      </c>
      <c r="H43" s="85">
        <v>8.8000000000000005E-3</v>
      </c>
      <c r="I43" s="97">
        <v>-1.8599999999999998E-2</v>
      </c>
      <c r="J43" s="97">
        <f t="shared" si="0"/>
        <v>2.7400000000000001E-2</v>
      </c>
    </row>
    <row r="44" spans="2:17">
      <c r="B44" s="84">
        <v>45715</v>
      </c>
      <c r="C44" s="82">
        <v>307.55</v>
      </c>
      <c r="D44" s="83">
        <v>318.25</v>
      </c>
      <c r="E44" s="83">
        <v>323.85000000000002</v>
      </c>
      <c r="F44" s="83">
        <v>302.39999999999998</v>
      </c>
      <c r="G44" s="83">
        <v>263570</v>
      </c>
      <c r="H44" s="85">
        <v>-4.0300000000000002E-2</v>
      </c>
      <c r="I44" s="97">
        <v>-1E-4</v>
      </c>
      <c r="J44" s="97">
        <f t="shared" si="0"/>
        <v>-4.02E-2</v>
      </c>
    </row>
    <row r="45" spans="2:17">
      <c r="B45" s="84">
        <v>45713</v>
      </c>
      <c r="C45" s="82">
        <v>320.45</v>
      </c>
      <c r="D45" s="83">
        <v>313.7</v>
      </c>
      <c r="E45" s="83">
        <v>328</v>
      </c>
      <c r="F45" s="83">
        <v>312.5</v>
      </c>
      <c r="G45" s="83">
        <v>672248</v>
      </c>
      <c r="H45" s="85">
        <v>2.81E-2</v>
      </c>
      <c r="I45" s="97">
        <v>-2.9999999999999997E-4</v>
      </c>
      <c r="J45" s="97">
        <f t="shared" si="0"/>
        <v>2.8400000000000002E-2</v>
      </c>
    </row>
    <row r="46" spans="2:17">
      <c r="B46" s="84">
        <v>45712</v>
      </c>
      <c r="C46" s="82">
        <v>311.7</v>
      </c>
      <c r="D46" s="83">
        <v>325</v>
      </c>
      <c r="E46" s="83">
        <v>331.2</v>
      </c>
      <c r="F46" s="83">
        <v>310.2</v>
      </c>
      <c r="G46" s="83">
        <v>386550</v>
      </c>
      <c r="H46" s="85">
        <v>-4.4900000000000002E-2</v>
      </c>
      <c r="I46" s="97">
        <v>-1.06E-2</v>
      </c>
      <c r="J46" s="97">
        <f t="shared" si="0"/>
        <v>-3.4300000000000004E-2</v>
      </c>
    </row>
    <row r="47" spans="2:17">
      <c r="B47" s="84">
        <v>45709</v>
      </c>
      <c r="C47" s="82">
        <v>326.35000000000002</v>
      </c>
      <c r="D47" s="83">
        <v>316.8</v>
      </c>
      <c r="E47" s="83">
        <v>333.6</v>
      </c>
      <c r="F47" s="83">
        <v>316.75</v>
      </c>
      <c r="G47" s="83">
        <v>468758</v>
      </c>
      <c r="H47" s="85">
        <v>2.8000000000000001E-2</v>
      </c>
      <c r="I47" s="97">
        <v>-5.1000000000000004E-3</v>
      </c>
      <c r="J47" s="97">
        <f t="shared" si="0"/>
        <v>3.3100000000000004E-2</v>
      </c>
    </row>
    <row r="48" spans="2:17">
      <c r="B48" s="84">
        <v>45708</v>
      </c>
      <c r="C48" s="82">
        <v>317.45</v>
      </c>
      <c r="D48" s="83">
        <v>309</v>
      </c>
      <c r="E48" s="83">
        <v>321.10000000000002</v>
      </c>
      <c r="F48" s="83">
        <v>304</v>
      </c>
      <c r="G48" s="83">
        <v>623073</v>
      </c>
      <c r="H48" s="85">
        <v>2.7799999999999998E-2</v>
      </c>
      <c r="I48" s="97">
        <v>-8.9999999999999998E-4</v>
      </c>
      <c r="J48" s="97">
        <f t="shared" si="0"/>
        <v>2.87E-2</v>
      </c>
    </row>
    <row r="49" spans="2:11">
      <c r="B49" s="84">
        <v>45707</v>
      </c>
      <c r="C49" s="82">
        <v>308.85000000000002</v>
      </c>
      <c r="D49" s="83">
        <v>299.75</v>
      </c>
      <c r="E49" s="83">
        <v>311</v>
      </c>
      <c r="F49" s="83">
        <v>299.7</v>
      </c>
      <c r="G49" s="83">
        <v>416576</v>
      </c>
      <c r="H49" s="85">
        <v>5.8999999999999999E-3</v>
      </c>
      <c r="I49" s="97">
        <v>-5.0000000000000001E-4</v>
      </c>
      <c r="J49" s="97">
        <f t="shared" si="0"/>
        <v>6.3999999999999994E-3</v>
      </c>
    </row>
    <row r="50" spans="2:11">
      <c r="B50" s="84">
        <v>45706</v>
      </c>
      <c r="C50" s="82">
        <v>307.05</v>
      </c>
      <c r="D50" s="83">
        <v>301</v>
      </c>
      <c r="E50" s="83">
        <v>314.64999999999998</v>
      </c>
      <c r="F50" s="83">
        <v>294.55</v>
      </c>
      <c r="G50" s="83">
        <v>243799</v>
      </c>
      <c r="H50" s="85">
        <v>3.04E-2</v>
      </c>
      <c r="I50" s="97">
        <v>-5.9999999999999995E-4</v>
      </c>
      <c r="J50" s="97">
        <f t="shared" si="0"/>
        <v>3.1E-2</v>
      </c>
    </row>
    <row r="51" spans="2:11">
      <c r="B51" s="84">
        <v>45705</v>
      </c>
      <c r="C51" s="82">
        <v>298</v>
      </c>
      <c r="D51" s="83">
        <v>299.05</v>
      </c>
      <c r="E51" s="83">
        <v>304</v>
      </c>
      <c r="F51" s="83">
        <v>284.85000000000002</v>
      </c>
      <c r="G51" s="83">
        <v>350439</v>
      </c>
      <c r="H51" s="85">
        <v>-6.1999999999999998E-3</v>
      </c>
      <c r="I51" s="97">
        <v>1.2999999999999999E-3</v>
      </c>
      <c r="J51" s="97">
        <f t="shared" si="0"/>
        <v>-7.4999999999999997E-3</v>
      </c>
    </row>
    <row r="52" spans="2:11">
      <c r="B52" s="84">
        <v>45702</v>
      </c>
      <c r="C52" s="82">
        <v>299.85000000000002</v>
      </c>
      <c r="D52" s="83">
        <v>297</v>
      </c>
      <c r="E52" s="83">
        <v>306.39999999999998</v>
      </c>
      <c r="F52" s="83">
        <v>295.60000000000002</v>
      </c>
      <c r="G52" s="83">
        <v>685881</v>
      </c>
      <c r="H52" s="85">
        <v>1.1299999999999999E-2</v>
      </c>
      <c r="I52" s="97">
        <v>-4.4000000000000003E-3</v>
      </c>
      <c r="J52" s="97">
        <f t="shared" si="0"/>
        <v>1.5699999999999999E-2</v>
      </c>
    </row>
    <row r="53" spans="2:11">
      <c r="B53" s="84">
        <v>45701</v>
      </c>
      <c r="C53" s="82">
        <v>296.5</v>
      </c>
      <c r="D53" s="83">
        <v>296.7</v>
      </c>
      <c r="E53" s="83">
        <v>307.75</v>
      </c>
      <c r="F53" s="83">
        <v>292.3</v>
      </c>
      <c r="G53" s="83">
        <v>329129</v>
      </c>
      <c r="H53" s="85">
        <v>-2.9999999999999997E-4</v>
      </c>
      <c r="I53" s="97">
        <v>-5.9999999999999995E-4</v>
      </c>
      <c r="J53" s="97">
        <f t="shared" si="0"/>
        <v>2.9999999999999997E-4</v>
      </c>
    </row>
    <row r="54" spans="2:11">
      <c r="B54" s="84">
        <v>45700</v>
      </c>
      <c r="C54" s="82">
        <v>296.60000000000002</v>
      </c>
      <c r="D54" s="83">
        <v>298.10000000000002</v>
      </c>
      <c r="E54" s="83">
        <v>310.8</v>
      </c>
      <c r="F54" s="83">
        <v>291.75</v>
      </c>
      <c r="G54" s="83">
        <v>327796</v>
      </c>
      <c r="H54" s="85">
        <v>-2.3699999999999999E-2</v>
      </c>
      <c r="I54" s="97">
        <v>-1.1999999999999999E-3</v>
      </c>
      <c r="J54" s="97">
        <f t="shared" si="0"/>
        <v>-2.2499999999999999E-2</v>
      </c>
    </row>
    <row r="55" spans="2:11">
      <c r="B55" s="84">
        <v>45699</v>
      </c>
      <c r="C55" s="82">
        <v>303.8</v>
      </c>
      <c r="D55" s="83">
        <v>313</v>
      </c>
      <c r="E55" s="83">
        <v>315.60000000000002</v>
      </c>
      <c r="F55" s="83">
        <v>302</v>
      </c>
      <c r="G55" s="83">
        <v>783699</v>
      </c>
      <c r="H55" s="85">
        <v>-2.5499999999999998E-2</v>
      </c>
      <c r="I55" s="97">
        <v>-1.32E-2</v>
      </c>
      <c r="J55" s="97">
        <f t="shared" si="0"/>
        <v>-1.2299999999999998E-2</v>
      </c>
    </row>
    <row r="56" spans="2:11">
      <c r="B56" s="84">
        <v>45698</v>
      </c>
      <c r="C56" s="82">
        <v>311.75</v>
      </c>
      <c r="D56" s="83">
        <v>323.8</v>
      </c>
      <c r="E56" s="83">
        <v>327.7</v>
      </c>
      <c r="F56" s="83">
        <v>308.85000000000002</v>
      </c>
      <c r="G56" s="83">
        <v>503143</v>
      </c>
      <c r="H56" s="85">
        <v>-3.5299999999999998E-2</v>
      </c>
      <c r="I56" s="97">
        <v>-7.6E-3</v>
      </c>
      <c r="J56" s="97">
        <f t="shared" si="0"/>
        <v>-2.7699999999999999E-2</v>
      </c>
    </row>
    <row r="57" spans="2:11">
      <c r="B57" s="84">
        <v>45695</v>
      </c>
      <c r="C57" s="82">
        <v>323.14999999999998</v>
      </c>
      <c r="D57" s="83">
        <v>319</v>
      </c>
      <c r="E57" s="83">
        <v>332</v>
      </c>
      <c r="F57" s="83">
        <v>299</v>
      </c>
      <c r="G57" s="83">
        <v>812371</v>
      </c>
      <c r="H57" s="85">
        <v>1.67E-2</v>
      </c>
      <c r="I57" s="97">
        <v>-1.8E-3</v>
      </c>
      <c r="J57" s="97">
        <f t="shared" si="0"/>
        <v>1.8499999999999999E-2</v>
      </c>
    </row>
    <row r="58" spans="2:11">
      <c r="B58" s="84">
        <v>45694</v>
      </c>
      <c r="C58" s="82">
        <v>317.85000000000002</v>
      </c>
      <c r="D58" s="83">
        <v>319</v>
      </c>
      <c r="E58" s="83">
        <v>331.4</v>
      </c>
      <c r="F58" s="83">
        <v>311.64999999999998</v>
      </c>
      <c r="G58" s="83">
        <v>756341</v>
      </c>
      <c r="H58" s="85">
        <v>-2E-3</v>
      </c>
      <c r="I58" s="97">
        <v>-3.8999999999999998E-3</v>
      </c>
      <c r="J58" s="97">
        <f t="shared" si="0"/>
        <v>1.8999999999999998E-3</v>
      </c>
    </row>
    <row r="59" spans="2:11">
      <c r="B59" s="84">
        <v>45693</v>
      </c>
      <c r="C59" s="82">
        <v>318.5</v>
      </c>
      <c r="D59" s="83">
        <v>323.75</v>
      </c>
      <c r="E59" s="83">
        <v>324.60000000000002</v>
      </c>
      <c r="F59" s="83">
        <v>315.2</v>
      </c>
      <c r="G59" s="83">
        <v>318734</v>
      </c>
      <c r="H59" s="85">
        <v>-1.6999999999999999E-3</v>
      </c>
      <c r="I59" s="97">
        <v>-1.8E-3</v>
      </c>
      <c r="J59" s="97">
        <f t="shared" si="0"/>
        <v>1.0000000000000005E-4</v>
      </c>
    </row>
    <row r="60" spans="2:11">
      <c r="B60" s="84">
        <v>45692</v>
      </c>
      <c r="C60" s="82">
        <v>319.05</v>
      </c>
      <c r="D60" s="83">
        <v>321</v>
      </c>
      <c r="E60" s="83">
        <v>326.39999999999998</v>
      </c>
      <c r="F60" s="83">
        <v>312</v>
      </c>
      <c r="G60" s="83">
        <v>703180</v>
      </c>
      <c r="H60" s="85">
        <v>-2.3699999999999999E-2</v>
      </c>
      <c r="I60" s="97">
        <v>1.6199999999999999E-2</v>
      </c>
      <c r="J60" s="97">
        <f t="shared" si="0"/>
        <v>-3.9899999999999998E-2</v>
      </c>
    </row>
    <row r="61" spans="2:11">
      <c r="B61" s="84">
        <v>45691</v>
      </c>
      <c r="C61" s="82">
        <v>326.8</v>
      </c>
      <c r="D61" s="83">
        <v>305</v>
      </c>
      <c r="E61" s="83">
        <v>346</v>
      </c>
      <c r="F61" s="83">
        <v>292.89999999999998</v>
      </c>
      <c r="G61" s="83">
        <v>4994203</v>
      </c>
      <c r="H61" s="85">
        <v>3.5000000000000003E-2</v>
      </c>
      <c r="I61" s="97">
        <v>-5.1999999999999998E-3</v>
      </c>
      <c r="J61" s="97">
        <f t="shared" si="0"/>
        <v>4.02E-2</v>
      </c>
    </row>
    <row r="62" spans="2:11">
      <c r="B62" s="84">
        <v>45689</v>
      </c>
      <c r="C62" s="82">
        <v>315.75</v>
      </c>
      <c r="D62" s="83">
        <v>291.05</v>
      </c>
      <c r="E62" s="83">
        <v>321.89999999999998</v>
      </c>
      <c r="F62" s="83">
        <v>287.5</v>
      </c>
      <c r="G62" s="83">
        <v>1583581</v>
      </c>
      <c r="H62" s="85">
        <v>9.0300000000000005E-2</v>
      </c>
      <c r="I62" s="97">
        <v>-1.1000000000000001E-3</v>
      </c>
      <c r="J62" s="97">
        <f t="shared" si="0"/>
        <v>9.1400000000000009E-2</v>
      </c>
      <c r="K62" s="87"/>
    </row>
    <row r="63" spans="2:11">
      <c r="B63" s="84">
        <v>45688</v>
      </c>
      <c r="C63" s="82">
        <v>289.60000000000002</v>
      </c>
      <c r="D63" s="83">
        <v>291.60000000000002</v>
      </c>
      <c r="E63" s="83">
        <v>299</v>
      </c>
      <c r="F63" s="83">
        <v>284</v>
      </c>
      <c r="G63" s="83">
        <v>545170</v>
      </c>
      <c r="H63" s="85">
        <v>-1.6000000000000001E-3</v>
      </c>
      <c r="I63" s="97">
        <v>1.11E-2</v>
      </c>
      <c r="J63" s="97">
        <f t="shared" si="0"/>
        <v>-1.2700000000000001E-2</v>
      </c>
    </row>
    <row r="64" spans="2:11">
      <c r="B64" s="84">
        <v>45687</v>
      </c>
      <c r="C64" s="82">
        <v>290.05</v>
      </c>
      <c r="D64" s="83">
        <v>289.95</v>
      </c>
      <c r="E64" s="83">
        <v>295</v>
      </c>
      <c r="F64" s="83">
        <v>286.39999999999998</v>
      </c>
      <c r="G64" s="83">
        <v>125615</v>
      </c>
      <c r="H64" s="85">
        <v>2.9999999999999997E-4</v>
      </c>
      <c r="I64" s="97">
        <v>3.7000000000000002E-3</v>
      </c>
      <c r="J64" s="97">
        <f t="shared" si="0"/>
        <v>-3.4000000000000002E-3</v>
      </c>
    </row>
    <row r="65" spans="2:10">
      <c r="B65" s="84">
        <v>45686</v>
      </c>
      <c r="C65" s="82">
        <v>289.95</v>
      </c>
      <c r="D65" s="83">
        <v>286</v>
      </c>
      <c r="E65" s="83">
        <v>296</v>
      </c>
      <c r="F65" s="83">
        <v>284.64999999999998</v>
      </c>
      <c r="G65" s="83">
        <v>150002</v>
      </c>
      <c r="H65" s="85">
        <v>1.0500000000000001E-2</v>
      </c>
      <c r="I65" s="97">
        <v>8.9999999999999993E-3</v>
      </c>
      <c r="J65" s="97">
        <f t="shared" si="0"/>
        <v>1.5000000000000013E-3</v>
      </c>
    </row>
    <row r="66" spans="2:10">
      <c r="B66" s="84">
        <v>45685</v>
      </c>
      <c r="C66" s="82">
        <v>286.95</v>
      </c>
      <c r="D66" s="83">
        <v>295.95</v>
      </c>
      <c r="E66" s="83">
        <v>296.95</v>
      </c>
      <c r="F66" s="83">
        <v>283.7</v>
      </c>
      <c r="G66" s="83">
        <v>395519</v>
      </c>
      <c r="H66" s="85">
        <v>-2.7900000000000001E-2</v>
      </c>
      <c r="I66" s="97">
        <v>5.5999999999999999E-3</v>
      </c>
      <c r="J66" s="97">
        <f t="shared" si="0"/>
        <v>-3.3500000000000002E-2</v>
      </c>
    </row>
    <row r="67" spans="2:10">
      <c r="B67" s="84">
        <v>45684</v>
      </c>
      <c r="C67" s="82">
        <v>295.2</v>
      </c>
      <c r="D67" s="83">
        <v>306.95</v>
      </c>
      <c r="E67" s="83">
        <v>306.95</v>
      </c>
      <c r="F67" s="83">
        <v>291.10000000000002</v>
      </c>
      <c r="G67" s="83">
        <v>185530</v>
      </c>
      <c r="H67" s="85">
        <v>-3.32E-2</v>
      </c>
      <c r="I67" s="97">
        <v>-1.14E-2</v>
      </c>
      <c r="J67" s="97">
        <f t="shared" si="0"/>
        <v>-2.18E-2</v>
      </c>
    </row>
    <row r="68" spans="2:10">
      <c r="B68" s="84">
        <v>45681</v>
      </c>
      <c r="C68" s="82">
        <v>305.35000000000002</v>
      </c>
      <c r="D68" s="83">
        <v>302.75</v>
      </c>
      <c r="E68" s="83">
        <v>311.14999999999998</v>
      </c>
      <c r="F68" s="83">
        <v>301.60000000000002</v>
      </c>
      <c r="G68" s="83">
        <v>182932</v>
      </c>
      <c r="H68" s="85">
        <v>2.0000000000000001E-4</v>
      </c>
      <c r="I68" s="97">
        <v>-4.8999999999999998E-3</v>
      </c>
      <c r="J68" s="97">
        <f t="shared" si="0"/>
        <v>5.0999999999999995E-3</v>
      </c>
    </row>
    <row r="69" spans="2:10">
      <c r="B69" s="84">
        <v>45680</v>
      </c>
      <c r="C69" s="82">
        <v>305.3</v>
      </c>
      <c r="D69" s="83">
        <v>311.25</v>
      </c>
      <c r="E69" s="83">
        <v>315.25</v>
      </c>
      <c r="F69" s="83">
        <v>303.3</v>
      </c>
      <c r="G69" s="83">
        <v>294864</v>
      </c>
      <c r="H69" s="85">
        <v>-1.5800000000000002E-2</v>
      </c>
      <c r="I69" s="97">
        <v>2.2000000000000001E-3</v>
      </c>
      <c r="J69" s="97">
        <f t="shared" si="0"/>
        <v>-1.8000000000000002E-2</v>
      </c>
    </row>
    <row r="70" spans="2:10">
      <c r="B70" s="84">
        <v>45679</v>
      </c>
      <c r="C70" s="82">
        <v>310.2</v>
      </c>
      <c r="D70" s="83">
        <v>312.2</v>
      </c>
      <c r="E70" s="83">
        <v>319.85000000000002</v>
      </c>
      <c r="F70" s="83">
        <v>307.8</v>
      </c>
      <c r="G70" s="83">
        <v>718453</v>
      </c>
      <c r="H70" s="85">
        <v>-6.1999999999999998E-3</v>
      </c>
      <c r="I70" s="97">
        <v>5.7000000000000002E-3</v>
      </c>
      <c r="J70" s="97">
        <f t="shared" si="0"/>
        <v>-1.1900000000000001E-2</v>
      </c>
    </row>
    <row r="71" spans="2:10">
      <c r="B71" s="84">
        <v>45678</v>
      </c>
      <c r="C71" s="82">
        <v>312.14999999999998</v>
      </c>
      <c r="D71" s="83">
        <v>314.25</v>
      </c>
      <c r="E71" s="83">
        <v>323.89999999999998</v>
      </c>
      <c r="F71" s="83">
        <v>310.64999999999998</v>
      </c>
      <c r="G71" s="83">
        <v>82593</v>
      </c>
      <c r="H71" s="85">
        <v>-6.7000000000000002E-3</v>
      </c>
      <c r="I71" s="97">
        <v>-1.37E-2</v>
      </c>
      <c r="J71" s="97">
        <f t="shared" si="0"/>
        <v>7.0000000000000001E-3</v>
      </c>
    </row>
    <row r="72" spans="2:10">
      <c r="B72" s="84">
        <v>45677</v>
      </c>
      <c r="C72" s="82">
        <v>314.25</v>
      </c>
      <c r="D72" s="83">
        <v>315.2</v>
      </c>
      <c r="E72" s="83">
        <v>319.8</v>
      </c>
      <c r="F72" s="83">
        <v>310.39999999999998</v>
      </c>
      <c r="G72" s="83">
        <v>243048</v>
      </c>
      <c r="H72" s="85">
        <v>-1.1900000000000001E-2</v>
      </c>
      <c r="I72" s="97">
        <v>6.1000000000000004E-3</v>
      </c>
      <c r="J72" s="97">
        <f t="shared" si="0"/>
        <v>-1.8000000000000002E-2</v>
      </c>
    </row>
    <row r="73" spans="2:10">
      <c r="B73" s="84">
        <v>45674</v>
      </c>
      <c r="C73" s="82">
        <v>318.05</v>
      </c>
      <c r="D73" s="83">
        <v>322.8</v>
      </c>
      <c r="E73" s="83">
        <v>324</v>
      </c>
      <c r="F73" s="83">
        <v>314.89999999999998</v>
      </c>
      <c r="G73" s="83">
        <v>183261</v>
      </c>
      <c r="H73" s="85">
        <v>-1.6799999999999999E-2</v>
      </c>
      <c r="I73" s="97">
        <v>-4.7000000000000002E-3</v>
      </c>
      <c r="J73" s="97">
        <f t="shared" si="0"/>
        <v>-1.21E-2</v>
      </c>
    </row>
    <row r="74" spans="2:10">
      <c r="B74" s="84">
        <v>45673</v>
      </c>
      <c r="C74" s="82">
        <v>323.5</v>
      </c>
      <c r="D74" s="83">
        <v>330.5</v>
      </c>
      <c r="E74" s="83">
        <v>332.95</v>
      </c>
      <c r="F74" s="83">
        <v>319</v>
      </c>
      <c r="G74" s="83">
        <v>306570</v>
      </c>
      <c r="H74" s="85">
        <v>-2.3699999999999999E-2</v>
      </c>
      <c r="I74" s="97">
        <v>4.1999999999999997E-3</v>
      </c>
      <c r="J74" s="97">
        <f t="shared" ref="J74:J137" si="1">H74-I74</f>
        <v>-2.7899999999999998E-2</v>
      </c>
    </row>
    <row r="75" spans="2:10">
      <c r="B75" s="84">
        <v>45672</v>
      </c>
      <c r="C75" s="82">
        <v>331.35</v>
      </c>
      <c r="D75" s="83">
        <v>330.7</v>
      </c>
      <c r="E75" s="83">
        <v>335.45</v>
      </c>
      <c r="F75" s="83">
        <v>320.14999999999998</v>
      </c>
      <c r="G75" s="83">
        <v>500476</v>
      </c>
      <c r="H75" s="85">
        <v>1.7000000000000001E-2</v>
      </c>
      <c r="I75" s="97">
        <v>1.6000000000000001E-3</v>
      </c>
      <c r="J75" s="97">
        <f t="shared" si="1"/>
        <v>1.54E-2</v>
      </c>
    </row>
    <row r="76" spans="2:10">
      <c r="B76" s="84">
        <v>45671</v>
      </c>
      <c r="C76" s="82">
        <v>325.8</v>
      </c>
      <c r="D76" s="83">
        <v>320</v>
      </c>
      <c r="E76" s="83">
        <v>333.85</v>
      </c>
      <c r="F76" s="83">
        <v>314.5</v>
      </c>
      <c r="G76" s="83">
        <v>448350</v>
      </c>
      <c r="H76" s="85">
        <v>1.5299999999999999E-2</v>
      </c>
      <c r="I76" s="97">
        <v>3.8999999999999998E-3</v>
      </c>
      <c r="J76" s="97">
        <f t="shared" si="1"/>
        <v>1.14E-2</v>
      </c>
    </row>
    <row r="77" spans="2:10">
      <c r="B77" s="84">
        <v>45670</v>
      </c>
      <c r="C77" s="82">
        <v>320.89999999999998</v>
      </c>
      <c r="D77" s="83">
        <v>328.65</v>
      </c>
      <c r="E77" s="83">
        <v>328.65</v>
      </c>
      <c r="F77" s="83">
        <v>315.2</v>
      </c>
      <c r="G77" s="83">
        <v>530674</v>
      </c>
      <c r="H77" s="85">
        <v>-2.3599999999999999E-2</v>
      </c>
      <c r="I77" s="97">
        <v>-1.47E-2</v>
      </c>
      <c r="J77" s="97">
        <f t="shared" si="1"/>
        <v>-8.8999999999999999E-3</v>
      </c>
    </row>
    <row r="78" spans="2:10">
      <c r="B78" s="84">
        <v>45667</v>
      </c>
      <c r="C78" s="82">
        <v>328.65</v>
      </c>
      <c r="D78" s="83">
        <v>345.7</v>
      </c>
      <c r="E78" s="83">
        <v>345.7</v>
      </c>
      <c r="F78" s="83">
        <v>327</v>
      </c>
      <c r="G78" s="83">
        <v>215196</v>
      </c>
      <c r="H78" s="85">
        <v>-4.4299999999999999E-2</v>
      </c>
      <c r="I78" s="97">
        <v>-4.0000000000000001E-3</v>
      </c>
      <c r="J78" s="97">
        <f t="shared" si="1"/>
        <v>-4.0300000000000002E-2</v>
      </c>
    </row>
    <row r="79" spans="2:10">
      <c r="B79" s="84">
        <v>45666</v>
      </c>
      <c r="C79" s="82">
        <v>343.9</v>
      </c>
      <c r="D79" s="83">
        <v>339.6</v>
      </c>
      <c r="E79" s="83">
        <v>347.15</v>
      </c>
      <c r="F79" s="83">
        <v>334.9</v>
      </c>
      <c r="G79" s="83">
        <v>268914</v>
      </c>
      <c r="H79" s="85">
        <v>1.2699999999999999E-2</v>
      </c>
      <c r="I79" s="97">
        <v>-6.8999999999999999E-3</v>
      </c>
      <c r="J79" s="97">
        <f t="shared" si="1"/>
        <v>1.9599999999999999E-2</v>
      </c>
    </row>
    <row r="80" spans="2:10">
      <c r="B80" s="84">
        <v>45665</v>
      </c>
      <c r="C80" s="82">
        <v>339.6</v>
      </c>
      <c r="D80" s="83">
        <v>352</v>
      </c>
      <c r="E80" s="83">
        <v>353.9</v>
      </c>
      <c r="F80" s="83">
        <v>335.85</v>
      </c>
      <c r="G80" s="83">
        <v>473682</v>
      </c>
      <c r="H80" s="85">
        <v>-4.19E-2</v>
      </c>
      <c r="I80" s="97">
        <v>-8.0000000000000004E-4</v>
      </c>
      <c r="J80" s="97">
        <f t="shared" si="1"/>
        <v>-4.1099999999999998E-2</v>
      </c>
    </row>
    <row r="81" spans="2:10">
      <c r="B81" s="84">
        <v>45664</v>
      </c>
      <c r="C81" s="82">
        <v>354.45</v>
      </c>
      <c r="D81" s="83">
        <v>356.5</v>
      </c>
      <c r="E81" s="83">
        <v>362.9</v>
      </c>
      <c r="F81" s="83">
        <v>351.3</v>
      </c>
      <c r="G81" s="83">
        <v>555067</v>
      </c>
      <c r="H81" s="85">
        <v>1E-4</v>
      </c>
      <c r="I81" s="97">
        <v>3.8999999999999998E-3</v>
      </c>
      <c r="J81" s="97">
        <f t="shared" si="1"/>
        <v>-3.8E-3</v>
      </c>
    </row>
    <row r="82" spans="2:10">
      <c r="B82" s="84">
        <v>45663</v>
      </c>
      <c r="C82" s="82">
        <v>354.4</v>
      </c>
      <c r="D82" s="83">
        <v>349.05</v>
      </c>
      <c r="E82" s="83">
        <v>374.65</v>
      </c>
      <c r="F82" s="83">
        <v>348.05</v>
      </c>
      <c r="G82" s="83">
        <v>3063847</v>
      </c>
      <c r="H82" s="85">
        <v>1.5900000000000001E-2</v>
      </c>
      <c r="I82" s="97">
        <v>-1.6199999999999999E-2</v>
      </c>
      <c r="J82" s="97">
        <f t="shared" si="1"/>
        <v>3.2100000000000004E-2</v>
      </c>
    </row>
    <row r="83" spans="2:10">
      <c r="B83" s="84">
        <v>45660</v>
      </c>
      <c r="C83" s="82">
        <v>348.85</v>
      </c>
      <c r="D83" s="83">
        <v>341.3</v>
      </c>
      <c r="E83" s="83">
        <v>371.35</v>
      </c>
      <c r="F83" s="83">
        <v>341.3</v>
      </c>
      <c r="G83" s="83">
        <v>4207246</v>
      </c>
      <c r="H83" s="85">
        <v>2.1499999999999998E-2</v>
      </c>
      <c r="I83" s="97">
        <v>-7.6E-3</v>
      </c>
      <c r="J83" s="97">
        <f t="shared" si="1"/>
        <v>2.9099999999999997E-2</v>
      </c>
    </row>
    <row r="84" spans="2:10">
      <c r="B84" s="84">
        <v>45659</v>
      </c>
      <c r="C84" s="82">
        <v>341.5</v>
      </c>
      <c r="D84" s="83">
        <v>345.05</v>
      </c>
      <c r="E84" s="83">
        <v>351</v>
      </c>
      <c r="F84" s="83">
        <v>337.3</v>
      </c>
      <c r="G84" s="83">
        <v>283644</v>
      </c>
      <c r="H84" s="85">
        <v>-1.2E-2</v>
      </c>
      <c r="I84" s="97">
        <v>1.8800000000000001E-2</v>
      </c>
      <c r="J84" s="97">
        <f t="shared" si="1"/>
        <v>-3.0800000000000001E-2</v>
      </c>
    </row>
    <row r="85" spans="2:10">
      <c r="B85" s="84">
        <v>45658</v>
      </c>
      <c r="C85" s="82">
        <v>345.65</v>
      </c>
      <c r="D85" s="83">
        <v>333</v>
      </c>
      <c r="E85" s="83">
        <v>350</v>
      </c>
      <c r="F85" s="83">
        <v>330.85</v>
      </c>
      <c r="G85" s="83">
        <v>422687</v>
      </c>
      <c r="H85" s="85">
        <v>4.9000000000000002E-2</v>
      </c>
      <c r="I85" s="97">
        <v>4.1000000000000003E-3</v>
      </c>
      <c r="J85" s="97">
        <f t="shared" si="1"/>
        <v>4.4900000000000002E-2</v>
      </c>
    </row>
    <row r="86" spans="2:10">
      <c r="B86" s="84">
        <v>45657</v>
      </c>
      <c r="C86" s="82">
        <v>329.5</v>
      </c>
      <c r="D86" s="83">
        <v>332.65</v>
      </c>
      <c r="E86" s="83">
        <v>338.75</v>
      </c>
      <c r="F86" s="83">
        <v>321.14999999999998</v>
      </c>
      <c r="G86" s="83">
        <v>365274</v>
      </c>
      <c r="H86" s="85">
        <v>-9.4999999999999998E-3</v>
      </c>
      <c r="I86" s="97">
        <v>0</v>
      </c>
      <c r="J86" s="97">
        <f t="shared" si="1"/>
        <v>-9.4999999999999998E-3</v>
      </c>
    </row>
    <row r="87" spans="2:10">
      <c r="B87" s="84">
        <v>45656</v>
      </c>
      <c r="C87" s="82">
        <v>332.65</v>
      </c>
      <c r="D87" s="83">
        <v>330.05</v>
      </c>
      <c r="E87" s="83">
        <v>337</v>
      </c>
      <c r="F87" s="83">
        <v>325.55</v>
      </c>
      <c r="G87" s="83">
        <v>332018</v>
      </c>
      <c r="H87" s="85">
        <v>6.0000000000000001E-3</v>
      </c>
      <c r="I87" s="97">
        <v>-7.1000000000000004E-3</v>
      </c>
      <c r="J87" s="97">
        <f t="shared" si="1"/>
        <v>1.3100000000000001E-2</v>
      </c>
    </row>
    <row r="88" spans="2:10">
      <c r="B88" s="84">
        <v>45653</v>
      </c>
      <c r="C88" s="82">
        <v>330.65</v>
      </c>
      <c r="D88" s="83">
        <v>322.89999999999998</v>
      </c>
      <c r="E88" s="83">
        <v>333</v>
      </c>
      <c r="F88" s="83">
        <v>321.5</v>
      </c>
      <c r="G88" s="83">
        <v>281008</v>
      </c>
      <c r="H88" s="85">
        <v>2.93E-2</v>
      </c>
      <c r="I88" s="97">
        <v>2.7000000000000001E-3</v>
      </c>
      <c r="J88" s="97">
        <f t="shared" si="1"/>
        <v>2.6599999999999999E-2</v>
      </c>
    </row>
    <row r="89" spans="2:10">
      <c r="B89" s="84">
        <v>45652</v>
      </c>
      <c r="C89" s="82">
        <v>321.25</v>
      </c>
      <c r="D89" s="83">
        <v>326.5</v>
      </c>
      <c r="E89" s="83">
        <v>327.95</v>
      </c>
      <c r="F89" s="83">
        <v>319.8</v>
      </c>
      <c r="G89" s="83">
        <v>92957</v>
      </c>
      <c r="H89" s="85">
        <v>-1.0800000000000001E-2</v>
      </c>
      <c r="I89" s="97">
        <v>1E-3</v>
      </c>
      <c r="J89" s="97">
        <f t="shared" si="1"/>
        <v>-1.1800000000000001E-2</v>
      </c>
    </row>
    <row r="90" spans="2:10">
      <c r="B90" s="84">
        <v>45650</v>
      </c>
      <c r="C90" s="82">
        <v>324.75</v>
      </c>
      <c r="D90" s="83">
        <v>319.85000000000002</v>
      </c>
      <c r="E90" s="83">
        <v>333.8</v>
      </c>
      <c r="F90" s="83">
        <v>319.8</v>
      </c>
      <c r="G90" s="83">
        <v>535764</v>
      </c>
      <c r="H90" s="85">
        <v>1.5299999999999999E-2</v>
      </c>
      <c r="I90" s="97">
        <v>-1.1000000000000001E-3</v>
      </c>
      <c r="J90" s="97">
        <f t="shared" si="1"/>
        <v>1.6399999999999998E-2</v>
      </c>
    </row>
    <row r="91" spans="2:10">
      <c r="B91" s="84">
        <v>45649</v>
      </c>
      <c r="C91" s="82">
        <v>319.85000000000002</v>
      </c>
      <c r="D91" s="83">
        <v>312</v>
      </c>
      <c r="E91" s="83">
        <v>325.95</v>
      </c>
      <c r="F91" s="83">
        <v>308</v>
      </c>
      <c r="G91" s="83">
        <v>1140660</v>
      </c>
      <c r="H91" s="85">
        <v>2.5999999999999999E-2</v>
      </c>
      <c r="I91" s="97">
        <v>7.0000000000000001E-3</v>
      </c>
      <c r="J91" s="97">
        <f t="shared" si="1"/>
        <v>1.9E-2</v>
      </c>
    </row>
    <row r="92" spans="2:10">
      <c r="B92" s="84">
        <v>45646</v>
      </c>
      <c r="C92" s="82">
        <v>311.75</v>
      </c>
      <c r="D92" s="83">
        <v>305.55</v>
      </c>
      <c r="E92" s="83">
        <v>318.14999999999998</v>
      </c>
      <c r="F92" s="83">
        <v>305.55</v>
      </c>
      <c r="G92" s="83">
        <v>407861</v>
      </c>
      <c r="H92" s="85">
        <v>1.17E-2</v>
      </c>
      <c r="I92" s="97">
        <v>-1.52E-2</v>
      </c>
      <c r="J92" s="97">
        <f t="shared" si="1"/>
        <v>2.69E-2</v>
      </c>
    </row>
    <row r="93" spans="2:10">
      <c r="B93" s="84">
        <v>45645</v>
      </c>
      <c r="C93" s="82">
        <v>308.14999999999998</v>
      </c>
      <c r="D93" s="83">
        <v>306.7</v>
      </c>
      <c r="E93" s="83">
        <v>311.05</v>
      </c>
      <c r="F93" s="83">
        <v>302</v>
      </c>
      <c r="G93" s="83">
        <v>434510</v>
      </c>
      <c r="H93" s="85">
        <v>-4.4000000000000003E-3</v>
      </c>
      <c r="I93" s="97">
        <v>-1.0200000000000001E-2</v>
      </c>
      <c r="J93" s="97">
        <f t="shared" si="1"/>
        <v>5.8000000000000005E-3</v>
      </c>
    </row>
    <row r="94" spans="2:10">
      <c r="B94" s="84">
        <v>45644</v>
      </c>
      <c r="C94" s="82">
        <v>309.5</v>
      </c>
      <c r="D94" s="83">
        <v>315</v>
      </c>
      <c r="E94" s="83">
        <v>317.2</v>
      </c>
      <c r="F94" s="83">
        <v>308.25</v>
      </c>
      <c r="G94" s="83">
        <v>85845</v>
      </c>
      <c r="H94" s="85">
        <v>-1.5299999999999999E-2</v>
      </c>
      <c r="I94" s="97">
        <v>-5.5999999999999999E-3</v>
      </c>
      <c r="J94" s="97">
        <f t="shared" si="1"/>
        <v>-9.7000000000000003E-3</v>
      </c>
    </row>
    <row r="95" spans="2:10">
      <c r="B95" s="84">
        <v>45643</v>
      </c>
      <c r="C95" s="82">
        <v>314.3</v>
      </c>
      <c r="D95" s="83">
        <v>318.5</v>
      </c>
      <c r="E95" s="83">
        <v>321.3</v>
      </c>
      <c r="F95" s="83">
        <v>309.5</v>
      </c>
      <c r="G95" s="83">
        <v>206656</v>
      </c>
      <c r="H95" s="85">
        <v>-9.7999999999999997E-3</v>
      </c>
      <c r="I95" s="97">
        <v>-1.35E-2</v>
      </c>
      <c r="J95" s="97">
        <f t="shared" si="1"/>
        <v>3.7000000000000002E-3</v>
      </c>
    </row>
    <row r="96" spans="2:10">
      <c r="B96" s="84">
        <v>45642</v>
      </c>
      <c r="C96" s="82">
        <v>317.39999999999998</v>
      </c>
      <c r="D96" s="83">
        <v>311</v>
      </c>
      <c r="E96" s="83">
        <v>318.7</v>
      </c>
      <c r="F96" s="83">
        <v>308.85000000000002</v>
      </c>
      <c r="G96" s="83">
        <v>367127</v>
      </c>
      <c r="H96" s="85">
        <v>1.6299999999999999E-2</v>
      </c>
      <c r="I96" s="97">
        <v>-4.0000000000000001E-3</v>
      </c>
      <c r="J96" s="97">
        <f t="shared" si="1"/>
        <v>2.0299999999999999E-2</v>
      </c>
    </row>
    <row r="97" spans="2:10">
      <c r="B97" s="84">
        <v>45639</v>
      </c>
      <c r="C97" s="82">
        <v>312.3</v>
      </c>
      <c r="D97" s="83">
        <v>316.5</v>
      </c>
      <c r="E97" s="83">
        <v>319.89999999999998</v>
      </c>
      <c r="F97" s="83">
        <v>309.45</v>
      </c>
      <c r="G97" s="83">
        <v>275497</v>
      </c>
      <c r="H97" s="85">
        <v>-2.3599999999999999E-2</v>
      </c>
      <c r="I97" s="97">
        <v>8.8999999999999999E-3</v>
      </c>
      <c r="J97" s="97">
        <f t="shared" si="1"/>
        <v>-3.2500000000000001E-2</v>
      </c>
    </row>
    <row r="98" spans="2:10">
      <c r="B98" s="84">
        <v>45638</v>
      </c>
      <c r="C98" s="82">
        <v>319.85000000000002</v>
      </c>
      <c r="D98" s="83">
        <v>322.10000000000002</v>
      </c>
      <c r="E98" s="83">
        <v>325.35000000000002</v>
      </c>
      <c r="F98" s="83">
        <v>318.35000000000002</v>
      </c>
      <c r="G98" s="83">
        <v>387805</v>
      </c>
      <c r="H98" s="85">
        <v>-1.7100000000000001E-2</v>
      </c>
      <c r="I98" s="97">
        <v>-3.8E-3</v>
      </c>
      <c r="J98" s="97">
        <f t="shared" si="1"/>
        <v>-1.3300000000000001E-2</v>
      </c>
    </row>
    <row r="99" spans="2:10">
      <c r="B99" s="84">
        <v>45637</v>
      </c>
      <c r="C99" s="82">
        <v>325.39999999999998</v>
      </c>
      <c r="D99" s="83">
        <v>329.95</v>
      </c>
      <c r="E99" s="83">
        <v>332.6</v>
      </c>
      <c r="F99" s="83">
        <v>322.89999999999998</v>
      </c>
      <c r="G99" s="83">
        <v>162543</v>
      </c>
      <c r="H99" s="85">
        <v>-1.2999999999999999E-2</v>
      </c>
      <c r="I99" s="97">
        <v>1.2999999999999999E-3</v>
      </c>
      <c r="J99" s="97">
        <f t="shared" si="1"/>
        <v>-1.43E-2</v>
      </c>
    </row>
    <row r="100" spans="2:10">
      <c r="B100" s="84">
        <v>45636</v>
      </c>
      <c r="C100" s="82">
        <v>329.7</v>
      </c>
      <c r="D100" s="83">
        <v>340</v>
      </c>
      <c r="E100" s="83">
        <v>340</v>
      </c>
      <c r="F100" s="83">
        <v>325.10000000000002</v>
      </c>
      <c r="G100" s="83">
        <v>947315</v>
      </c>
      <c r="H100" s="85">
        <v>-3.2300000000000002E-2</v>
      </c>
      <c r="I100" s="97">
        <v>-4.0000000000000002E-4</v>
      </c>
      <c r="J100" s="97">
        <f t="shared" si="1"/>
        <v>-3.1900000000000005E-2</v>
      </c>
    </row>
    <row r="101" spans="2:10">
      <c r="B101" s="84">
        <v>45635</v>
      </c>
      <c r="C101" s="82">
        <v>340.7</v>
      </c>
      <c r="D101" s="83">
        <v>350.55</v>
      </c>
      <c r="E101" s="83">
        <v>351.95</v>
      </c>
      <c r="F101" s="83">
        <v>338.5</v>
      </c>
      <c r="G101" s="83">
        <v>395905</v>
      </c>
      <c r="H101" s="85">
        <v>-2.7099999999999999E-2</v>
      </c>
      <c r="I101" s="97">
        <v>-2.3999999999999998E-3</v>
      </c>
      <c r="J101" s="97">
        <f t="shared" si="1"/>
        <v>-2.47E-2</v>
      </c>
    </row>
    <row r="102" spans="2:10">
      <c r="B102" s="84">
        <v>45632</v>
      </c>
      <c r="C102" s="82">
        <v>350.2</v>
      </c>
      <c r="D102" s="83">
        <v>340</v>
      </c>
      <c r="E102" s="83">
        <v>351.95</v>
      </c>
      <c r="F102" s="83">
        <v>340</v>
      </c>
      <c r="G102" s="83">
        <v>169213</v>
      </c>
      <c r="H102" s="85">
        <v>2.1399999999999999E-2</v>
      </c>
      <c r="I102" s="97">
        <v>-1.1999999999999999E-3</v>
      </c>
      <c r="J102" s="97">
        <f t="shared" si="1"/>
        <v>2.2599999999999999E-2</v>
      </c>
    </row>
    <row r="103" spans="2:10">
      <c r="B103" s="84">
        <v>45631</v>
      </c>
      <c r="C103" s="82">
        <v>342.85</v>
      </c>
      <c r="D103" s="83">
        <v>342.4</v>
      </c>
      <c r="E103" s="83">
        <v>355.5</v>
      </c>
      <c r="F103" s="83">
        <v>340.05</v>
      </c>
      <c r="G103" s="83">
        <v>529917</v>
      </c>
      <c r="H103" s="85">
        <v>5.3E-3</v>
      </c>
      <c r="I103" s="97">
        <v>9.7999999999999997E-3</v>
      </c>
      <c r="J103" s="97">
        <f t="shared" si="1"/>
        <v>-4.4999999999999997E-3</v>
      </c>
    </row>
    <row r="104" spans="2:10">
      <c r="B104" s="84">
        <v>45630</v>
      </c>
      <c r="C104" s="82">
        <v>341.05</v>
      </c>
      <c r="D104" s="83">
        <v>333.7</v>
      </c>
      <c r="E104" s="83">
        <v>348.2</v>
      </c>
      <c r="F104" s="83">
        <v>333.7</v>
      </c>
      <c r="G104" s="83">
        <v>405512</v>
      </c>
      <c r="H104" s="85">
        <v>8.6999999999999994E-3</v>
      </c>
      <c r="I104" s="97">
        <v>4.0000000000000002E-4</v>
      </c>
      <c r="J104" s="97">
        <f t="shared" si="1"/>
        <v>8.3000000000000001E-3</v>
      </c>
    </row>
    <row r="105" spans="2:10">
      <c r="B105" s="84">
        <v>45629</v>
      </c>
      <c r="C105" s="82">
        <v>338.1</v>
      </c>
      <c r="D105" s="83">
        <v>322.55</v>
      </c>
      <c r="E105" s="83">
        <v>341.9</v>
      </c>
      <c r="F105" s="83">
        <v>322.55</v>
      </c>
      <c r="G105" s="83">
        <v>596239</v>
      </c>
      <c r="H105" s="85">
        <v>3.9E-2</v>
      </c>
      <c r="I105" s="97">
        <v>7.4999999999999997E-3</v>
      </c>
      <c r="J105" s="97">
        <f t="shared" si="1"/>
        <v>3.15E-2</v>
      </c>
    </row>
    <row r="106" spans="2:10">
      <c r="B106" s="84">
        <v>45628</v>
      </c>
      <c r="C106" s="82">
        <v>325.39999999999998</v>
      </c>
      <c r="D106" s="83">
        <v>329.85</v>
      </c>
      <c r="E106" s="83">
        <v>331.55</v>
      </c>
      <c r="F106" s="83">
        <v>321.39999999999998</v>
      </c>
      <c r="G106" s="83">
        <v>152695</v>
      </c>
      <c r="H106" s="85">
        <v>-2.5000000000000001E-3</v>
      </c>
      <c r="I106" s="97">
        <v>6.0000000000000001E-3</v>
      </c>
      <c r="J106" s="97">
        <f t="shared" si="1"/>
        <v>-8.5000000000000006E-3</v>
      </c>
    </row>
    <row r="107" spans="2:10">
      <c r="B107" s="84">
        <v>45625</v>
      </c>
      <c r="C107" s="82">
        <v>326.2</v>
      </c>
      <c r="D107" s="83">
        <v>324.3</v>
      </c>
      <c r="E107" s="83">
        <v>336.6</v>
      </c>
      <c r="F107" s="83">
        <v>323.8</v>
      </c>
      <c r="G107" s="83">
        <v>589974</v>
      </c>
      <c r="H107" s="85">
        <v>2.8E-3</v>
      </c>
      <c r="I107" s="97">
        <v>9.1000000000000004E-3</v>
      </c>
      <c r="J107" s="97">
        <f t="shared" si="1"/>
        <v>-6.3E-3</v>
      </c>
    </row>
    <row r="108" spans="2:10">
      <c r="B108" s="84">
        <v>45624</v>
      </c>
      <c r="C108" s="82">
        <v>325.3</v>
      </c>
      <c r="D108" s="83">
        <v>323.7</v>
      </c>
      <c r="E108" s="83">
        <v>328.15</v>
      </c>
      <c r="F108" s="83">
        <v>320</v>
      </c>
      <c r="G108" s="83">
        <v>130250</v>
      </c>
      <c r="H108" s="85">
        <v>2.5999999999999999E-3</v>
      </c>
      <c r="I108" s="97">
        <v>-1.49E-2</v>
      </c>
      <c r="J108" s="97">
        <f t="shared" si="1"/>
        <v>1.7500000000000002E-2</v>
      </c>
    </row>
    <row r="109" spans="2:10">
      <c r="B109" s="84">
        <v>45623</v>
      </c>
      <c r="C109" s="82">
        <v>324.45</v>
      </c>
      <c r="D109" s="83">
        <v>322.85000000000002</v>
      </c>
      <c r="E109" s="83">
        <v>326</v>
      </c>
      <c r="F109" s="83">
        <v>315.7</v>
      </c>
      <c r="G109" s="83">
        <v>326649</v>
      </c>
      <c r="H109" s="85">
        <v>2.4299999999999999E-2</v>
      </c>
      <c r="I109" s="97">
        <v>3.3E-3</v>
      </c>
      <c r="J109" s="97">
        <f t="shared" si="1"/>
        <v>2.0999999999999998E-2</v>
      </c>
    </row>
    <row r="110" spans="2:10">
      <c r="B110" s="84">
        <v>45622</v>
      </c>
      <c r="C110" s="82">
        <v>316.75</v>
      </c>
      <c r="D110" s="83">
        <v>309.45</v>
      </c>
      <c r="E110" s="83">
        <v>319.75</v>
      </c>
      <c r="F110" s="83">
        <v>308.60000000000002</v>
      </c>
      <c r="G110" s="83">
        <v>153541</v>
      </c>
      <c r="H110" s="85">
        <v>1.3299999999999999E-2</v>
      </c>
      <c r="I110" s="97">
        <v>-1.1000000000000001E-3</v>
      </c>
      <c r="J110" s="97">
        <f t="shared" si="1"/>
        <v>1.44E-2</v>
      </c>
    </row>
    <row r="111" spans="2:10">
      <c r="B111" s="84">
        <v>45621</v>
      </c>
      <c r="C111" s="82">
        <v>312.60000000000002</v>
      </c>
      <c r="D111" s="83">
        <v>303.14999999999998</v>
      </c>
      <c r="E111" s="83">
        <v>320.2</v>
      </c>
      <c r="F111" s="83">
        <v>301.55</v>
      </c>
      <c r="G111" s="83">
        <v>469707</v>
      </c>
      <c r="H111" s="85">
        <v>4.0599999999999997E-2</v>
      </c>
      <c r="I111" s="97">
        <v>1.32E-2</v>
      </c>
      <c r="J111" s="97">
        <f t="shared" si="1"/>
        <v>2.7399999999999997E-2</v>
      </c>
    </row>
    <row r="112" spans="2:10">
      <c r="B112" s="84">
        <v>45618</v>
      </c>
      <c r="C112" s="82">
        <v>300.39999999999998</v>
      </c>
      <c r="D112" s="83">
        <v>300.95</v>
      </c>
      <c r="E112" s="83">
        <v>302.39999999999998</v>
      </c>
      <c r="F112" s="83">
        <v>298.10000000000002</v>
      </c>
      <c r="G112" s="83">
        <v>256140</v>
      </c>
      <c r="H112" s="85">
        <v>-1.8E-3</v>
      </c>
      <c r="I112" s="97">
        <v>2.3900000000000001E-2</v>
      </c>
      <c r="J112" s="97">
        <f t="shared" si="1"/>
        <v>-2.5700000000000001E-2</v>
      </c>
    </row>
    <row r="113" spans="2:13">
      <c r="B113" s="84">
        <v>45617</v>
      </c>
      <c r="C113" s="82">
        <v>300.95</v>
      </c>
      <c r="D113" s="83">
        <v>308.85000000000002</v>
      </c>
      <c r="E113" s="83">
        <v>308.85000000000002</v>
      </c>
      <c r="F113" s="83">
        <v>297.05</v>
      </c>
      <c r="G113" s="83">
        <v>280917</v>
      </c>
      <c r="H113" s="85">
        <v>-1.7500000000000002E-2</v>
      </c>
      <c r="I113" s="97">
        <v>-7.1999999999999998E-3</v>
      </c>
      <c r="J113" s="97">
        <f t="shared" si="1"/>
        <v>-1.0300000000000002E-2</v>
      </c>
    </row>
    <row r="114" spans="2:13">
      <c r="B114" s="84">
        <v>45615</v>
      </c>
      <c r="C114" s="82">
        <v>306.3</v>
      </c>
      <c r="D114" s="83">
        <v>302.5</v>
      </c>
      <c r="E114" s="83">
        <v>311.14999999999998</v>
      </c>
      <c r="F114" s="83">
        <v>302.5</v>
      </c>
      <c r="G114" s="83">
        <v>168380</v>
      </c>
      <c r="H114" s="85">
        <v>2.5999999999999999E-3</v>
      </c>
      <c r="I114" s="97">
        <v>2.8E-3</v>
      </c>
      <c r="J114" s="97">
        <f t="shared" si="1"/>
        <v>-2.0000000000000009E-4</v>
      </c>
    </row>
    <row r="115" spans="2:13">
      <c r="B115" s="84">
        <v>45614</v>
      </c>
      <c r="C115" s="82">
        <v>305.5</v>
      </c>
      <c r="D115" s="83">
        <v>303.05</v>
      </c>
      <c r="E115" s="83">
        <v>307.95</v>
      </c>
      <c r="F115" s="83">
        <v>299.8</v>
      </c>
      <c r="G115" s="83">
        <v>105149</v>
      </c>
      <c r="H115" s="85">
        <v>-5.0000000000000001E-3</v>
      </c>
      <c r="I115" s="97">
        <v>-3.3999999999999998E-3</v>
      </c>
      <c r="J115" s="97">
        <f t="shared" si="1"/>
        <v>-1.6000000000000003E-3</v>
      </c>
    </row>
    <row r="116" spans="2:13">
      <c r="B116" s="84">
        <v>45610</v>
      </c>
      <c r="C116" s="82">
        <v>307.05</v>
      </c>
      <c r="D116" s="83">
        <v>305.55</v>
      </c>
      <c r="E116" s="83">
        <v>312.10000000000002</v>
      </c>
      <c r="F116" s="83">
        <v>302.60000000000002</v>
      </c>
      <c r="G116" s="83">
        <v>215286</v>
      </c>
      <c r="H116" s="85">
        <v>-6.1000000000000004E-3</v>
      </c>
      <c r="I116" s="97">
        <v>-1.1000000000000001E-3</v>
      </c>
      <c r="J116" s="97">
        <f t="shared" si="1"/>
        <v>-5.0000000000000001E-3</v>
      </c>
    </row>
    <row r="117" spans="2:13">
      <c r="B117" s="84">
        <v>45609</v>
      </c>
      <c r="C117" s="82">
        <v>308.95</v>
      </c>
      <c r="D117" s="83">
        <v>315</v>
      </c>
      <c r="E117" s="83">
        <v>316.05</v>
      </c>
      <c r="F117" s="83">
        <v>303.39999999999998</v>
      </c>
      <c r="G117" s="83">
        <v>268749</v>
      </c>
      <c r="H117" s="85">
        <v>-2.2499999999999999E-2</v>
      </c>
      <c r="I117" s="97">
        <v>-1.3599999999999999E-2</v>
      </c>
      <c r="J117" s="97">
        <f t="shared" si="1"/>
        <v>-8.8999999999999999E-3</v>
      </c>
    </row>
    <row r="118" spans="2:13">
      <c r="B118" s="84">
        <v>45608</v>
      </c>
      <c r="C118" s="82">
        <v>316.05</v>
      </c>
      <c r="D118" s="83">
        <v>315</v>
      </c>
      <c r="E118" s="83">
        <v>317.7</v>
      </c>
      <c r="F118" s="83">
        <v>311.89999999999998</v>
      </c>
      <c r="G118" s="83">
        <v>298023</v>
      </c>
      <c r="H118" s="85">
        <v>3.7000000000000002E-3</v>
      </c>
      <c r="I118" s="97">
        <v>-1.0699999999999999E-2</v>
      </c>
      <c r="J118" s="97">
        <f t="shared" si="1"/>
        <v>1.44E-2</v>
      </c>
    </row>
    <row r="119" spans="2:13">
      <c r="B119" s="84">
        <v>45607</v>
      </c>
      <c r="C119" s="82">
        <v>314.89999999999998</v>
      </c>
      <c r="D119" s="83">
        <v>321.10000000000002</v>
      </c>
      <c r="E119" s="83">
        <v>321.10000000000002</v>
      </c>
      <c r="F119" s="83">
        <v>312</v>
      </c>
      <c r="G119" s="83">
        <v>133654</v>
      </c>
      <c r="H119" s="85">
        <v>-1.84E-2</v>
      </c>
      <c r="I119" s="97">
        <v>-2.9999999999999997E-4</v>
      </c>
      <c r="J119" s="97">
        <f t="shared" si="1"/>
        <v>-1.8099999999999998E-2</v>
      </c>
    </row>
    <row r="120" spans="2:13">
      <c r="B120" s="84">
        <v>45604</v>
      </c>
      <c r="C120" s="82">
        <v>320.8</v>
      </c>
      <c r="D120" s="83">
        <v>320</v>
      </c>
      <c r="E120" s="83">
        <v>323.95</v>
      </c>
      <c r="F120" s="83">
        <v>314.8</v>
      </c>
      <c r="G120" s="83">
        <v>213884</v>
      </c>
      <c r="H120" s="85">
        <v>9.1000000000000004E-3</v>
      </c>
      <c r="I120" s="97">
        <v>-2.0999999999999999E-3</v>
      </c>
      <c r="J120" s="97">
        <f t="shared" si="1"/>
        <v>1.12E-2</v>
      </c>
    </row>
    <row r="121" spans="2:13">
      <c r="B121" s="84">
        <v>45603</v>
      </c>
      <c r="C121" s="82">
        <v>317.89999999999998</v>
      </c>
      <c r="D121" s="83">
        <v>320.2</v>
      </c>
      <c r="E121" s="83">
        <v>322</v>
      </c>
      <c r="F121" s="83">
        <v>314.5</v>
      </c>
      <c r="G121" s="83">
        <v>212429</v>
      </c>
      <c r="H121" s="85">
        <v>-6.6E-3</v>
      </c>
      <c r="I121" s="97">
        <v>-1.1599999999999999E-2</v>
      </c>
      <c r="J121" s="97">
        <f t="shared" si="1"/>
        <v>4.9999999999999992E-3</v>
      </c>
    </row>
    <row r="122" spans="2:13">
      <c r="B122" s="84">
        <v>45602</v>
      </c>
      <c r="C122" s="82">
        <v>320</v>
      </c>
      <c r="D122" s="83">
        <v>322</v>
      </c>
      <c r="E122" s="83">
        <v>323.5</v>
      </c>
      <c r="F122" s="83">
        <v>315.10000000000002</v>
      </c>
      <c r="G122" s="83">
        <v>462318</v>
      </c>
      <c r="H122" s="85">
        <v>-3.8999999999999998E-3</v>
      </c>
      <c r="I122" s="97">
        <v>1.12E-2</v>
      </c>
      <c r="J122" s="97">
        <f t="shared" si="1"/>
        <v>-1.5099999999999999E-2</v>
      </c>
    </row>
    <row r="123" spans="2:13">
      <c r="B123" s="84">
        <v>45601</v>
      </c>
      <c r="C123" s="82">
        <v>321.25</v>
      </c>
      <c r="D123" s="83">
        <v>312.89999999999998</v>
      </c>
      <c r="E123" s="83">
        <v>334.35</v>
      </c>
      <c r="F123" s="83">
        <v>310.55</v>
      </c>
      <c r="G123" s="83">
        <v>894930</v>
      </c>
      <c r="H123" s="85">
        <v>2.6700000000000002E-2</v>
      </c>
      <c r="I123" s="97">
        <v>9.1000000000000004E-3</v>
      </c>
      <c r="J123" s="97">
        <f t="shared" si="1"/>
        <v>1.7600000000000001E-2</v>
      </c>
    </row>
    <row r="124" spans="2:13">
      <c r="B124" s="84">
        <v>45600</v>
      </c>
      <c r="C124" s="82">
        <v>312.89999999999998</v>
      </c>
      <c r="D124" s="83">
        <v>320.10000000000002</v>
      </c>
      <c r="E124" s="83">
        <v>324</v>
      </c>
      <c r="F124" s="83">
        <v>308.05</v>
      </c>
      <c r="G124" s="83">
        <v>793143</v>
      </c>
      <c r="H124" s="85">
        <v>-3.6900000000000002E-2</v>
      </c>
      <c r="I124" s="97">
        <v>-1.2699999999999999E-2</v>
      </c>
      <c r="J124" s="97">
        <f t="shared" si="1"/>
        <v>-2.4200000000000003E-2</v>
      </c>
    </row>
    <row r="125" spans="2:13">
      <c r="B125" s="84">
        <v>45597</v>
      </c>
      <c r="C125" s="82">
        <v>324.89999999999998</v>
      </c>
      <c r="D125" s="83">
        <v>323</v>
      </c>
      <c r="E125" s="83">
        <v>327</v>
      </c>
      <c r="F125" s="83">
        <v>322.85000000000002</v>
      </c>
      <c r="G125" s="83">
        <v>20757</v>
      </c>
      <c r="H125" s="85">
        <v>1.21E-2</v>
      </c>
      <c r="I125" s="97">
        <v>4.1000000000000003E-3</v>
      </c>
      <c r="J125" s="97">
        <f t="shared" si="1"/>
        <v>8.0000000000000002E-3</v>
      </c>
    </row>
    <row r="126" spans="2:13">
      <c r="B126" s="84">
        <v>45596</v>
      </c>
      <c r="C126" s="82">
        <v>321</v>
      </c>
      <c r="D126" s="83">
        <v>324</v>
      </c>
      <c r="E126" s="83">
        <v>324</v>
      </c>
      <c r="F126" s="83">
        <v>319.55</v>
      </c>
      <c r="G126" s="83">
        <v>788260</v>
      </c>
      <c r="H126" s="85">
        <v>-1.1900000000000001E-2</v>
      </c>
      <c r="I126" s="97">
        <v>-5.5999999999999999E-3</v>
      </c>
      <c r="J126" s="97">
        <f t="shared" si="1"/>
        <v>-6.3000000000000009E-3</v>
      </c>
    </row>
    <row r="127" spans="2:13">
      <c r="B127" s="84">
        <v>45595</v>
      </c>
      <c r="C127" s="82">
        <v>324.85000000000002</v>
      </c>
      <c r="D127" s="83">
        <v>321.35000000000002</v>
      </c>
      <c r="E127" s="83">
        <v>331.9</v>
      </c>
      <c r="F127" s="83">
        <v>320.35000000000002</v>
      </c>
      <c r="G127" s="83">
        <v>203698</v>
      </c>
      <c r="H127" s="85">
        <v>0</v>
      </c>
      <c r="I127" s="97">
        <v>-5.1000000000000004E-3</v>
      </c>
      <c r="J127" s="97">
        <f t="shared" si="1"/>
        <v>5.1000000000000004E-3</v>
      </c>
    </row>
    <row r="128" spans="2:13">
      <c r="B128" s="84">
        <v>45594</v>
      </c>
      <c r="C128" s="82">
        <v>324.85000000000002</v>
      </c>
      <c r="D128" s="83">
        <v>333.55</v>
      </c>
      <c r="E128" s="83">
        <v>337.05</v>
      </c>
      <c r="F128" s="83">
        <v>311.60000000000002</v>
      </c>
      <c r="G128" s="83">
        <v>1975369</v>
      </c>
      <c r="H128" s="85">
        <v>-5.11E-2</v>
      </c>
      <c r="I128" s="97">
        <v>5.1999999999999998E-3</v>
      </c>
      <c r="J128" s="97">
        <f t="shared" si="1"/>
        <v>-5.6300000000000003E-2</v>
      </c>
      <c r="K128" s="87"/>
      <c r="M128" s="87"/>
    </row>
    <row r="129" spans="2:13">
      <c r="B129" s="84">
        <v>45593</v>
      </c>
      <c r="C129" s="82">
        <v>342.35</v>
      </c>
      <c r="D129" s="83">
        <v>322.39999999999998</v>
      </c>
      <c r="E129" s="83">
        <v>359.75</v>
      </c>
      <c r="F129" s="83">
        <v>315.3</v>
      </c>
      <c r="G129" s="83">
        <v>779996</v>
      </c>
      <c r="H129" s="85">
        <v>5.7099999999999998E-2</v>
      </c>
      <c r="I129" s="97">
        <v>6.4999999999999997E-3</v>
      </c>
      <c r="J129" s="97">
        <f t="shared" si="1"/>
        <v>5.0599999999999999E-2</v>
      </c>
      <c r="K129" s="87"/>
      <c r="M129" s="87"/>
    </row>
    <row r="130" spans="2:13">
      <c r="B130" s="84">
        <v>45590</v>
      </c>
      <c r="C130" s="82">
        <v>323.85000000000002</v>
      </c>
      <c r="D130" s="83">
        <v>330</v>
      </c>
      <c r="E130" s="83">
        <v>334.45</v>
      </c>
      <c r="F130" s="83">
        <v>321.2</v>
      </c>
      <c r="G130" s="83">
        <v>379515</v>
      </c>
      <c r="H130" s="85">
        <v>-1.8599999999999998E-2</v>
      </c>
      <c r="I130" s="97">
        <v>-8.9999999999999993E-3</v>
      </c>
      <c r="J130" s="97">
        <f t="shared" si="1"/>
        <v>-9.5999999999999992E-3</v>
      </c>
    </row>
    <row r="131" spans="2:13">
      <c r="B131" s="84">
        <v>45589</v>
      </c>
      <c r="C131" s="82">
        <v>330</v>
      </c>
      <c r="D131" s="83">
        <v>331</v>
      </c>
      <c r="E131" s="83">
        <v>333.9</v>
      </c>
      <c r="F131" s="83">
        <v>323.14999999999998</v>
      </c>
      <c r="G131" s="83">
        <v>646525</v>
      </c>
      <c r="H131" s="85">
        <v>-4.7999999999999996E-3</v>
      </c>
      <c r="I131" s="97">
        <v>-1.5E-3</v>
      </c>
      <c r="J131" s="97">
        <f t="shared" si="1"/>
        <v>-3.2999999999999995E-3</v>
      </c>
    </row>
    <row r="132" spans="2:13">
      <c r="B132" s="84">
        <v>45588</v>
      </c>
      <c r="C132" s="82">
        <v>331.6</v>
      </c>
      <c r="D132" s="83">
        <v>333.95</v>
      </c>
      <c r="E132" s="83">
        <v>341.15</v>
      </c>
      <c r="F132" s="83">
        <v>329.2</v>
      </c>
      <c r="G132" s="83">
        <v>314511</v>
      </c>
      <c r="H132" s="85">
        <v>-2.1999999999999999E-2</v>
      </c>
      <c r="I132" s="97">
        <v>-1.5E-3</v>
      </c>
      <c r="J132" s="97">
        <f t="shared" si="1"/>
        <v>-2.0499999999999997E-2</v>
      </c>
    </row>
    <row r="133" spans="2:13">
      <c r="B133" s="84">
        <v>45587</v>
      </c>
      <c r="C133" s="82">
        <v>339.05</v>
      </c>
      <c r="D133" s="83">
        <v>340.25</v>
      </c>
      <c r="E133" s="83">
        <v>343.75</v>
      </c>
      <c r="F133" s="83">
        <v>335.35</v>
      </c>
      <c r="G133" s="83">
        <v>275250</v>
      </c>
      <c r="H133" s="85">
        <v>-1.72E-2</v>
      </c>
      <c r="I133" s="97">
        <v>-1.2500000000000001E-2</v>
      </c>
      <c r="J133" s="97">
        <f t="shared" si="1"/>
        <v>-4.6999999999999993E-3</v>
      </c>
    </row>
    <row r="134" spans="2:13">
      <c r="B134" s="84">
        <v>45586</v>
      </c>
      <c r="C134" s="82">
        <v>345</v>
      </c>
      <c r="D134" s="83">
        <v>345.2</v>
      </c>
      <c r="E134" s="83">
        <v>350.3</v>
      </c>
      <c r="F134" s="83">
        <v>342.55</v>
      </c>
      <c r="G134" s="83">
        <v>133968</v>
      </c>
      <c r="H134" s="85">
        <v>-6.1999999999999998E-3</v>
      </c>
      <c r="I134" s="97">
        <v>-2.8999999999999998E-3</v>
      </c>
      <c r="J134" s="97">
        <f t="shared" si="1"/>
        <v>-3.3E-3</v>
      </c>
    </row>
    <row r="135" spans="2:13">
      <c r="B135" s="84">
        <v>45583</v>
      </c>
      <c r="C135" s="82">
        <v>347.15</v>
      </c>
      <c r="D135" s="83">
        <v>350</v>
      </c>
      <c r="E135" s="83">
        <v>351</v>
      </c>
      <c r="F135" s="83">
        <v>341.05</v>
      </c>
      <c r="G135" s="83">
        <v>207889</v>
      </c>
      <c r="H135" s="85">
        <v>-8.8999999999999999E-3</v>
      </c>
      <c r="I135" s="97">
        <v>4.1999999999999997E-3</v>
      </c>
      <c r="J135" s="97">
        <f t="shared" si="1"/>
        <v>-1.3100000000000001E-2</v>
      </c>
    </row>
    <row r="136" spans="2:13">
      <c r="B136" s="84">
        <v>45582</v>
      </c>
      <c r="C136" s="82">
        <v>350.25</v>
      </c>
      <c r="D136" s="83">
        <v>358.7</v>
      </c>
      <c r="E136" s="83">
        <v>358.7</v>
      </c>
      <c r="F136" s="83">
        <v>347.65</v>
      </c>
      <c r="G136" s="83">
        <v>1036010</v>
      </c>
      <c r="H136" s="85">
        <v>-1.7399999999999999E-2</v>
      </c>
      <c r="I136" s="97">
        <v>-8.8999999999999999E-3</v>
      </c>
      <c r="J136" s="97">
        <f t="shared" si="1"/>
        <v>-8.4999999999999989E-3</v>
      </c>
    </row>
    <row r="137" spans="2:13">
      <c r="B137" s="84">
        <v>45581</v>
      </c>
      <c r="C137" s="82">
        <v>356.45</v>
      </c>
      <c r="D137" s="83">
        <v>361</v>
      </c>
      <c r="E137" s="83">
        <v>361</v>
      </c>
      <c r="F137" s="83">
        <v>354</v>
      </c>
      <c r="G137" s="83">
        <v>196905</v>
      </c>
      <c r="H137" s="85">
        <v>-2.8999999999999998E-3</v>
      </c>
      <c r="I137" s="97">
        <v>-3.3999999999999998E-3</v>
      </c>
      <c r="J137" s="97">
        <f t="shared" si="1"/>
        <v>5.0000000000000001E-4</v>
      </c>
    </row>
    <row r="138" spans="2:13">
      <c r="B138" s="84">
        <v>45580</v>
      </c>
      <c r="C138" s="82">
        <v>357.5</v>
      </c>
      <c r="D138" s="83">
        <v>358.15</v>
      </c>
      <c r="E138" s="83">
        <v>358.95</v>
      </c>
      <c r="F138" s="83">
        <v>354.15</v>
      </c>
      <c r="G138" s="83">
        <v>269140</v>
      </c>
      <c r="H138" s="85">
        <v>2.3999999999999998E-3</v>
      </c>
      <c r="I138" s="97">
        <v>-2.8E-3</v>
      </c>
      <c r="J138" s="97">
        <f t="shared" ref="J138:J201" si="2">H138-I138</f>
        <v>5.1999999999999998E-3</v>
      </c>
    </row>
    <row r="139" spans="2:13">
      <c r="B139" s="84">
        <v>45579</v>
      </c>
      <c r="C139" s="82">
        <v>356.65</v>
      </c>
      <c r="D139" s="83">
        <v>372.2</v>
      </c>
      <c r="E139" s="83">
        <v>372.55</v>
      </c>
      <c r="F139" s="83">
        <v>350.2</v>
      </c>
      <c r="G139" s="83">
        <v>603936</v>
      </c>
      <c r="H139" s="85">
        <v>-3.8699999999999998E-2</v>
      </c>
      <c r="I139" s="97">
        <v>6.6E-3</v>
      </c>
      <c r="J139" s="97">
        <f t="shared" si="2"/>
        <v>-4.53E-2</v>
      </c>
    </row>
    <row r="140" spans="2:13">
      <c r="B140" s="84">
        <v>45576</v>
      </c>
      <c r="C140" s="82">
        <v>371</v>
      </c>
      <c r="D140" s="83">
        <v>357.45</v>
      </c>
      <c r="E140" s="83">
        <v>374.95</v>
      </c>
      <c r="F140" s="83">
        <v>357.45</v>
      </c>
      <c r="G140" s="83">
        <v>1073865</v>
      </c>
      <c r="H140" s="85">
        <v>3.7900000000000003E-2</v>
      </c>
      <c r="I140" s="97">
        <v>-1.4E-3</v>
      </c>
      <c r="J140" s="97">
        <f t="shared" si="2"/>
        <v>3.9300000000000002E-2</v>
      </c>
    </row>
    <row r="141" spans="2:13">
      <c r="B141" s="84">
        <v>45575</v>
      </c>
      <c r="C141" s="82">
        <v>357.45</v>
      </c>
      <c r="D141" s="83">
        <v>354</v>
      </c>
      <c r="E141" s="83">
        <v>360.1</v>
      </c>
      <c r="F141" s="83">
        <v>346.1</v>
      </c>
      <c r="G141" s="83">
        <v>339971</v>
      </c>
      <c r="H141" s="85">
        <v>1.2E-2</v>
      </c>
      <c r="I141" s="97">
        <v>6.9999999999999999E-4</v>
      </c>
      <c r="J141" s="97">
        <f t="shared" si="2"/>
        <v>1.1300000000000001E-2</v>
      </c>
    </row>
    <row r="142" spans="2:13">
      <c r="B142" s="84">
        <v>45574</v>
      </c>
      <c r="C142" s="82">
        <v>353.2</v>
      </c>
      <c r="D142" s="83">
        <v>354.65</v>
      </c>
      <c r="E142" s="83">
        <v>356.25</v>
      </c>
      <c r="F142" s="83">
        <v>348.35</v>
      </c>
      <c r="G142" s="83">
        <v>263931</v>
      </c>
      <c r="H142" s="85">
        <v>1.06E-2</v>
      </c>
      <c r="I142" s="97">
        <v>-1.1999999999999999E-3</v>
      </c>
      <c r="J142" s="97">
        <f t="shared" si="2"/>
        <v>1.18E-2</v>
      </c>
    </row>
    <row r="143" spans="2:13">
      <c r="B143" s="84">
        <v>45573</v>
      </c>
      <c r="C143" s="82">
        <v>349.5</v>
      </c>
      <c r="D143" s="83">
        <v>347.8</v>
      </c>
      <c r="E143" s="83">
        <v>352.1</v>
      </c>
      <c r="F143" s="83">
        <v>343.2</v>
      </c>
      <c r="G143" s="83">
        <v>857543</v>
      </c>
      <c r="H143" s="85">
        <v>4.8999999999999998E-3</v>
      </c>
      <c r="I143" s="97">
        <v>8.8000000000000005E-3</v>
      </c>
      <c r="J143" s="97">
        <f t="shared" si="2"/>
        <v>-3.9000000000000007E-3</v>
      </c>
    </row>
    <row r="144" spans="2:13">
      <c r="B144" s="84">
        <v>45572</v>
      </c>
      <c r="C144" s="82">
        <v>347.8</v>
      </c>
      <c r="D144" s="83">
        <v>352.1</v>
      </c>
      <c r="E144" s="83">
        <v>354.7</v>
      </c>
      <c r="F144" s="83">
        <v>345.45</v>
      </c>
      <c r="G144" s="83">
        <v>438581</v>
      </c>
      <c r="H144" s="85">
        <v>-7.6E-3</v>
      </c>
      <c r="I144" s="97">
        <v>-8.6999999999999994E-3</v>
      </c>
      <c r="J144" s="97">
        <f t="shared" si="2"/>
        <v>1.0999999999999994E-3</v>
      </c>
    </row>
    <row r="145" spans="2:11">
      <c r="B145" s="84">
        <v>45569</v>
      </c>
      <c r="C145" s="82">
        <v>350.45</v>
      </c>
      <c r="D145" s="83">
        <v>350</v>
      </c>
      <c r="E145" s="83">
        <v>371.75</v>
      </c>
      <c r="F145" s="83">
        <v>343.3</v>
      </c>
      <c r="G145" s="83">
        <v>3875492</v>
      </c>
      <c r="H145" s="85">
        <v>-2.9999999999999997E-4</v>
      </c>
      <c r="I145" s="97">
        <v>-9.2999999999999992E-3</v>
      </c>
      <c r="J145" s="97">
        <f t="shared" si="2"/>
        <v>8.9999999999999993E-3</v>
      </c>
    </row>
    <row r="146" spans="2:11">
      <c r="B146" s="84">
        <v>45568</v>
      </c>
      <c r="C146" s="82">
        <v>350.55</v>
      </c>
      <c r="D146" s="83">
        <v>353</v>
      </c>
      <c r="E146" s="83">
        <v>358.6</v>
      </c>
      <c r="F146" s="83">
        <v>347.85</v>
      </c>
      <c r="G146" s="83">
        <v>686175</v>
      </c>
      <c r="H146" s="85">
        <v>-2.2200000000000001E-2</v>
      </c>
      <c r="I146" s="97">
        <v>-2.12E-2</v>
      </c>
      <c r="J146" s="97">
        <f t="shared" si="2"/>
        <v>-1.0000000000000009E-3</v>
      </c>
    </row>
    <row r="147" spans="2:11">
      <c r="B147" s="84">
        <v>45566</v>
      </c>
      <c r="C147" s="82">
        <v>358.5</v>
      </c>
      <c r="D147" s="83">
        <v>357</v>
      </c>
      <c r="E147" s="83">
        <v>362.5</v>
      </c>
      <c r="F147" s="83">
        <v>352.3</v>
      </c>
      <c r="G147" s="83">
        <v>384672</v>
      </c>
      <c r="H147" s="85">
        <v>3.8E-3</v>
      </c>
      <c r="I147" s="97">
        <v>-5.0000000000000001E-4</v>
      </c>
      <c r="J147" s="97">
        <f t="shared" si="2"/>
        <v>4.3E-3</v>
      </c>
    </row>
    <row r="148" spans="2:11">
      <c r="B148" s="84">
        <v>45565</v>
      </c>
      <c r="C148" s="82">
        <v>357.15</v>
      </c>
      <c r="D148" s="83">
        <v>372.7</v>
      </c>
      <c r="E148" s="83">
        <v>372.7</v>
      </c>
      <c r="F148" s="83">
        <v>354.05</v>
      </c>
      <c r="G148" s="83">
        <v>1047473</v>
      </c>
      <c r="H148" s="85">
        <v>-4.19E-2</v>
      </c>
      <c r="I148" s="97">
        <v>-1.41E-2</v>
      </c>
      <c r="J148" s="97">
        <f t="shared" si="2"/>
        <v>-2.7799999999999998E-2</v>
      </c>
    </row>
    <row r="149" spans="2:11">
      <c r="B149" s="84">
        <v>45562</v>
      </c>
      <c r="C149" s="82">
        <v>372.75</v>
      </c>
      <c r="D149" s="83">
        <v>380.95</v>
      </c>
      <c r="E149" s="83">
        <v>382.4</v>
      </c>
      <c r="F149" s="83">
        <v>370.1</v>
      </c>
      <c r="G149" s="83">
        <v>1014664</v>
      </c>
      <c r="H149" s="85">
        <v>-2.3199999999999998E-2</v>
      </c>
      <c r="I149" s="97">
        <v>-1.4E-3</v>
      </c>
      <c r="J149" s="97">
        <f t="shared" si="2"/>
        <v>-2.18E-2</v>
      </c>
    </row>
    <row r="150" spans="2:11">
      <c r="B150" s="84">
        <v>45561</v>
      </c>
      <c r="C150" s="82">
        <v>381.6</v>
      </c>
      <c r="D150" s="83">
        <v>367.5</v>
      </c>
      <c r="E150" s="83">
        <v>391.7</v>
      </c>
      <c r="F150" s="83">
        <v>358.45</v>
      </c>
      <c r="G150" s="83">
        <v>3046595</v>
      </c>
      <c r="H150" s="85">
        <v>2.9700000000000001E-2</v>
      </c>
      <c r="I150" s="97">
        <v>8.0999999999999996E-3</v>
      </c>
      <c r="J150" s="97">
        <f t="shared" si="2"/>
        <v>2.1600000000000001E-2</v>
      </c>
    </row>
    <row r="151" spans="2:11">
      <c r="B151" s="84">
        <v>45560</v>
      </c>
      <c r="C151" s="82">
        <v>370.6</v>
      </c>
      <c r="D151" s="83">
        <v>373</v>
      </c>
      <c r="E151" s="83">
        <v>373.7</v>
      </c>
      <c r="F151" s="83">
        <v>358.95</v>
      </c>
      <c r="G151" s="83">
        <v>1117332</v>
      </c>
      <c r="H151" s="85">
        <v>-1.55E-2</v>
      </c>
      <c r="I151" s="97">
        <v>2.5000000000000001E-3</v>
      </c>
      <c r="J151" s="97">
        <f t="shared" si="2"/>
        <v>-1.7999999999999999E-2</v>
      </c>
    </row>
    <row r="152" spans="2:11">
      <c r="B152" s="84">
        <v>45559</v>
      </c>
      <c r="C152" s="82">
        <v>376.45</v>
      </c>
      <c r="D152" s="83">
        <v>352.5</v>
      </c>
      <c r="E152" s="83">
        <v>401</v>
      </c>
      <c r="F152" s="83">
        <v>348</v>
      </c>
      <c r="G152" s="83">
        <v>11379551</v>
      </c>
      <c r="H152" s="85">
        <v>6.7900000000000002E-2</v>
      </c>
      <c r="I152" s="97">
        <v>1E-4</v>
      </c>
      <c r="J152" s="97">
        <f t="shared" si="2"/>
        <v>6.7799999999999999E-2</v>
      </c>
      <c r="K152" s="87"/>
    </row>
    <row r="153" spans="2:11">
      <c r="B153" s="84">
        <v>45558</v>
      </c>
      <c r="C153" s="82">
        <v>352.5</v>
      </c>
      <c r="D153" s="83">
        <v>353.65</v>
      </c>
      <c r="E153" s="83">
        <v>360.95</v>
      </c>
      <c r="F153" s="83">
        <v>347.95</v>
      </c>
      <c r="G153" s="83">
        <v>808900</v>
      </c>
      <c r="H153" s="85">
        <v>1.54E-2</v>
      </c>
      <c r="I153" s="97">
        <v>5.7000000000000002E-3</v>
      </c>
      <c r="J153" s="97">
        <f t="shared" si="2"/>
        <v>9.7000000000000003E-3</v>
      </c>
    </row>
    <row r="154" spans="2:11">
      <c r="B154" s="84">
        <v>45555</v>
      </c>
      <c r="C154" s="82">
        <v>347.15</v>
      </c>
      <c r="D154" s="83">
        <v>339.8</v>
      </c>
      <c r="E154" s="83">
        <v>359.3</v>
      </c>
      <c r="F154" s="83">
        <v>337.1</v>
      </c>
      <c r="G154" s="83">
        <v>1464470</v>
      </c>
      <c r="H154" s="85">
        <v>2.6499999999999999E-2</v>
      </c>
      <c r="I154" s="97">
        <v>1.4800000000000001E-2</v>
      </c>
      <c r="J154" s="97">
        <f t="shared" si="2"/>
        <v>1.1699999999999999E-2</v>
      </c>
    </row>
    <row r="155" spans="2:11">
      <c r="B155" s="84">
        <v>45554</v>
      </c>
      <c r="C155" s="82">
        <v>338.2</v>
      </c>
      <c r="D155" s="83">
        <v>345</v>
      </c>
      <c r="E155" s="83">
        <v>345</v>
      </c>
      <c r="F155" s="83">
        <v>335.2</v>
      </c>
      <c r="G155" s="83">
        <v>742590</v>
      </c>
      <c r="H155" s="85">
        <v>2.9999999999999997E-4</v>
      </c>
      <c r="I155" s="97">
        <v>1.5E-3</v>
      </c>
      <c r="J155" s="97">
        <f t="shared" si="2"/>
        <v>-1.2000000000000001E-3</v>
      </c>
    </row>
    <row r="156" spans="2:11">
      <c r="B156" s="84">
        <v>45553</v>
      </c>
      <c r="C156" s="82">
        <v>338.1</v>
      </c>
      <c r="D156" s="83">
        <v>333.1</v>
      </c>
      <c r="E156" s="83">
        <v>339.95</v>
      </c>
      <c r="F156" s="83">
        <v>331</v>
      </c>
      <c r="G156" s="83">
        <v>587602</v>
      </c>
      <c r="H156" s="85">
        <v>1.5299999999999999E-2</v>
      </c>
      <c r="I156" s="97">
        <v>-1.6000000000000001E-3</v>
      </c>
      <c r="J156" s="97">
        <f t="shared" si="2"/>
        <v>1.6899999999999998E-2</v>
      </c>
    </row>
    <row r="157" spans="2:11">
      <c r="B157" s="84">
        <v>45552</v>
      </c>
      <c r="C157" s="82">
        <v>333</v>
      </c>
      <c r="D157" s="83">
        <v>333</v>
      </c>
      <c r="E157" s="83">
        <v>334.95</v>
      </c>
      <c r="F157" s="83">
        <v>326.3</v>
      </c>
      <c r="G157" s="83">
        <v>255522</v>
      </c>
      <c r="H157" s="85">
        <v>1.4500000000000001E-2</v>
      </c>
      <c r="I157" s="97">
        <v>1.4E-3</v>
      </c>
      <c r="J157" s="97">
        <f t="shared" si="2"/>
        <v>1.3100000000000001E-2</v>
      </c>
    </row>
    <row r="158" spans="2:11">
      <c r="B158" s="84">
        <v>45551</v>
      </c>
      <c r="C158" s="82">
        <v>328.25</v>
      </c>
      <c r="D158" s="83">
        <v>332</v>
      </c>
      <c r="E158" s="83">
        <v>333.05</v>
      </c>
      <c r="F158" s="83">
        <v>323</v>
      </c>
      <c r="G158" s="83">
        <v>239140</v>
      </c>
      <c r="H158" s="85">
        <v>0</v>
      </c>
      <c r="I158" s="97">
        <v>1.1000000000000001E-3</v>
      </c>
      <c r="J158" s="97">
        <f t="shared" si="2"/>
        <v>-1.1000000000000001E-3</v>
      </c>
    </row>
    <row r="159" spans="2:11">
      <c r="B159" s="84">
        <v>45548</v>
      </c>
      <c r="C159" s="82">
        <v>328.25</v>
      </c>
      <c r="D159" s="83">
        <v>330</v>
      </c>
      <c r="E159" s="83">
        <v>334.7</v>
      </c>
      <c r="F159" s="83">
        <v>327.05</v>
      </c>
      <c r="G159" s="83">
        <v>245207</v>
      </c>
      <c r="H159" s="85">
        <v>-8.9999999999999998E-4</v>
      </c>
      <c r="I159" s="97">
        <v>-1.2999999999999999E-3</v>
      </c>
      <c r="J159" s="97">
        <f t="shared" si="2"/>
        <v>3.9999999999999996E-4</v>
      </c>
    </row>
    <row r="160" spans="2:11">
      <c r="B160" s="84">
        <v>45547</v>
      </c>
      <c r="C160" s="82">
        <v>328.55</v>
      </c>
      <c r="D160" s="83">
        <v>336.65</v>
      </c>
      <c r="E160" s="83">
        <v>337.75</v>
      </c>
      <c r="F160" s="83">
        <v>328</v>
      </c>
      <c r="G160" s="83">
        <v>176209</v>
      </c>
      <c r="H160" s="85">
        <v>-1.9800000000000002E-2</v>
      </c>
      <c r="I160" s="97">
        <v>1.89E-2</v>
      </c>
      <c r="J160" s="97">
        <f t="shared" si="2"/>
        <v>-3.8699999999999998E-2</v>
      </c>
    </row>
    <row r="161" spans="2:10">
      <c r="B161" s="84">
        <v>45546</v>
      </c>
      <c r="C161" s="82">
        <v>335.2</v>
      </c>
      <c r="D161" s="83">
        <v>339.9</v>
      </c>
      <c r="E161" s="83">
        <v>340.9</v>
      </c>
      <c r="F161" s="83">
        <v>333.1</v>
      </c>
      <c r="G161" s="83">
        <v>477343</v>
      </c>
      <c r="H161" s="85">
        <v>-0.01</v>
      </c>
      <c r="I161" s="97">
        <v>-4.8999999999999998E-3</v>
      </c>
      <c r="J161" s="97">
        <f t="shared" si="2"/>
        <v>-5.1000000000000004E-3</v>
      </c>
    </row>
    <row r="162" spans="2:10">
      <c r="B162" s="84">
        <v>45545</v>
      </c>
      <c r="C162" s="82">
        <v>338.6</v>
      </c>
      <c r="D162" s="83">
        <v>322</v>
      </c>
      <c r="E162" s="83">
        <v>341</v>
      </c>
      <c r="F162" s="83">
        <v>322</v>
      </c>
      <c r="G162" s="83">
        <v>1900540</v>
      </c>
      <c r="H162" s="85">
        <v>3.6700000000000003E-2</v>
      </c>
      <c r="I162" s="97">
        <v>4.1999999999999997E-3</v>
      </c>
      <c r="J162" s="97">
        <f t="shared" si="2"/>
        <v>3.2500000000000001E-2</v>
      </c>
    </row>
    <row r="163" spans="2:10">
      <c r="B163" s="84">
        <v>45544</v>
      </c>
      <c r="C163" s="82">
        <v>326.60000000000002</v>
      </c>
      <c r="D163" s="83">
        <v>331.35</v>
      </c>
      <c r="E163" s="83">
        <v>332</v>
      </c>
      <c r="F163" s="83">
        <v>320.64999999999998</v>
      </c>
      <c r="G163" s="83">
        <v>1110663</v>
      </c>
      <c r="H163" s="85">
        <v>-2.9000000000000001E-2</v>
      </c>
      <c r="I163" s="97">
        <v>3.3999999999999998E-3</v>
      </c>
      <c r="J163" s="97">
        <f t="shared" si="2"/>
        <v>-3.2399999999999998E-2</v>
      </c>
    </row>
    <row r="164" spans="2:10">
      <c r="B164" s="84">
        <v>45541</v>
      </c>
      <c r="C164" s="82">
        <v>336.35</v>
      </c>
      <c r="D164" s="83">
        <v>333</v>
      </c>
      <c r="E164" s="83">
        <v>340</v>
      </c>
      <c r="F164" s="83">
        <v>317.05</v>
      </c>
      <c r="G164" s="83">
        <v>3767279</v>
      </c>
      <c r="H164" s="85">
        <v>1.29E-2</v>
      </c>
      <c r="I164" s="97">
        <v>-1.17E-2</v>
      </c>
      <c r="J164" s="97">
        <f t="shared" si="2"/>
        <v>2.46E-2</v>
      </c>
    </row>
    <row r="165" spans="2:10">
      <c r="B165" s="84">
        <v>45540</v>
      </c>
      <c r="C165" s="82">
        <v>332.05</v>
      </c>
      <c r="D165" s="83">
        <v>351</v>
      </c>
      <c r="E165" s="83">
        <v>364.4</v>
      </c>
      <c r="F165" s="83">
        <v>329</v>
      </c>
      <c r="G165" s="83">
        <v>2582229</v>
      </c>
      <c r="H165" s="85">
        <v>-1.3899999999999999E-2</v>
      </c>
      <c r="I165" s="97">
        <v>-2.0999999999999999E-3</v>
      </c>
      <c r="J165" s="97">
        <f t="shared" si="2"/>
        <v>-1.18E-2</v>
      </c>
    </row>
    <row r="166" spans="2:10">
      <c r="B166" s="84">
        <v>45539</v>
      </c>
      <c r="C166" s="82">
        <v>336.74</v>
      </c>
      <c r="D166" s="83">
        <v>331.8</v>
      </c>
      <c r="E166" s="83">
        <v>338.8</v>
      </c>
      <c r="F166" s="83">
        <v>330</v>
      </c>
      <c r="G166" s="83">
        <v>262108</v>
      </c>
      <c r="H166" s="85">
        <v>1.5699999999999999E-2</v>
      </c>
      <c r="I166" s="97">
        <v>-3.2000000000000002E-3</v>
      </c>
      <c r="J166" s="97">
        <f t="shared" si="2"/>
        <v>1.89E-2</v>
      </c>
    </row>
    <row r="167" spans="2:10">
      <c r="B167" s="84">
        <v>45538</v>
      </c>
      <c r="C167" s="82">
        <v>331.52</v>
      </c>
      <c r="D167" s="83">
        <v>334.8</v>
      </c>
      <c r="E167" s="83">
        <v>334.8</v>
      </c>
      <c r="F167" s="83">
        <v>329</v>
      </c>
      <c r="G167" s="83">
        <v>189374</v>
      </c>
      <c r="H167" s="85">
        <v>2E-3</v>
      </c>
      <c r="I167" s="97">
        <v>0</v>
      </c>
      <c r="J167" s="97">
        <f t="shared" si="2"/>
        <v>2E-3</v>
      </c>
    </row>
    <row r="168" spans="2:10">
      <c r="B168" s="84">
        <v>45537</v>
      </c>
      <c r="C168" s="82">
        <v>330.87</v>
      </c>
      <c r="D168" s="83">
        <v>337.98</v>
      </c>
      <c r="E168" s="83">
        <v>338.32</v>
      </c>
      <c r="F168" s="83">
        <v>328.1</v>
      </c>
      <c r="G168" s="83">
        <v>153955</v>
      </c>
      <c r="H168" s="85">
        <v>-8.0000000000000002E-3</v>
      </c>
      <c r="I168" s="97">
        <v>1.6999999999999999E-3</v>
      </c>
      <c r="J168" s="97">
        <f t="shared" si="2"/>
        <v>-9.7000000000000003E-3</v>
      </c>
    </row>
    <row r="169" spans="2:10">
      <c r="B169" s="84">
        <v>45534</v>
      </c>
      <c r="C169" s="82">
        <v>333.53</v>
      </c>
      <c r="D169" s="83">
        <v>322.98</v>
      </c>
      <c r="E169" s="83">
        <v>338.8</v>
      </c>
      <c r="F169" s="83">
        <v>316.74</v>
      </c>
      <c r="G169" s="83">
        <v>342589</v>
      </c>
      <c r="H169" s="85">
        <v>4.2599999999999999E-2</v>
      </c>
      <c r="I169" s="97">
        <v>3.3E-3</v>
      </c>
      <c r="J169" s="97">
        <f t="shared" si="2"/>
        <v>3.9300000000000002E-2</v>
      </c>
    </row>
    <row r="170" spans="2:10">
      <c r="B170" s="84">
        <v>45533</v>
      </c>
      <c r="C170" s="82">
        <v>319.89</v>
      </c>
      <c r="D170" s="83">
        <v>322.39999999999998</v>
      </c>
      <c r="E170" s="83">
        <v>324.22000000000003</v>
      </c>
      <c r="F170" s="83">
        <v>318.01</v>
      </c>
      <c r="G170" s="83">
        <v>74542</v>
      </c>
      <c r="H170" s="85">
        <v>-2.7000000000000001E-3</v>
      </c>
      <c r="I170" s="97">
        <v>4.0000000000000001E-3</v>
      </c>
      <c r="J170" s="97">
        <f t="shared" si="2"/>
        <v>-6.7000000000000002E-3</v>
      </c>
    </row>
    <row r="171" spans="2:10">
      <c r="B171" s="84">
        <v>45532</v>
      </c>
      <c r="C171" s="82">
        <v>320.77</v>
      </c>
      <c r="D171" s="83">
        <v>326.79000000000002</v>
      </c>
      <c r="E171" s="83">
        <v>326.79000000000002</v>
      </c>
      <c r="F171" s="83">
        <v>320.22000000000003</v>
      </c>
      <c r="G171" s="83">
        <v>48716</v>
      </c>
      <c r="H171" s="85">
        <v>-1.0699999999999999E-2</v>
      </c>
      <c r="I171" s="97">
        <v>1.4E-3</v>
      </c>
      <c r="J171" s="97">
        <f t="shared" si="2"/>
        <v>-1.21E-2</v>
      </c>
    </row>
    <row r="172" spans="2:10">
      <c r="B172" s="84">
        <v>45531</v>
      </c>
      <c r="C172" s="82">
        <v>324.24</v>
      </c>
      <c r="D172" s="83">
        <v>325.60000000000002</v>
      </c>
      <c r="E172" s="83">
        <v>328.96</v>
      </c>
      <c r="F172" s="83">
        <v>322.60000000000002</v>
      </c>
      <c r="G172" s="83">
        <v>65263</v>
      </c>
      <c r="H172" s="85">
        <v>4.0000000000000002E-4</v>
      </c>
      <c r="I172" s="97">
        <v>2.9999999999999997E-4</v>
      </c>
      <c r="J172" s="97">
        <f t="shared" si="2"/>
        <v>1.0000000000000005E-4</v>
      </c>
    </row>
    <row r="173" spans="2:10">
      <c r="B173" s="84">
        <v>45530</v>
      </c>
      <c r="C173" s="82">
        <v>324.11</v>
      </c>
      <c r="D173" s="83">
        <v>328.98</v>
      </c>
      <c r="E173" s="83">
        <v>328.98</v>
      </c>
      <c r="F173" s="83">
        <v>323.14</v>
      </c>
      <c r="G173" s="83">
        <v>63164</v>
      </c>
      <c r="H173" s="85">
        <v>-6.1000000000000004E-3</v>
      </c>
      <c r="I173" s="97">
        <v>7.6E-3</v>
      </c>
      <c r="J173" s="97">
        <f t="shared" si="2"/>
        <v>-1.37E-2</v>
      </c>
    </row>
    <row r="174" spans="2:10">
      <c r="B174" s="84">
        <v>45527</v>
      </c>
      <c r="C174" s="82">
        <v>326.08999999999997</v>
      </c>
      <c r="D174" s="83">
        <v>324.82</v>
      </c>
      <c r="E174" s="83">
        <v>327.98</v>
      </c>
      <c r="F174" s="83">
        <v>323</v>
      </c>
      <c r="G174" s="83">
        <v>91565</v>
      </c>
      <c r="H174" s="85">
        <v>1.34E-2</v>
      </c>
      <c r="I174" s="97">
        <v>5.0000000000000001E-4</v>
      </c>
      <c r="J174" s="97">
        <f t="shared" si="2"/>
        <v>1.29E-2</v>
      </c>
    </row>
    <row r="175" spans="2:10">
      <c r="B175" s="84">
        <v>45526</v>
      </c>
      <c r="C175" s="82">
        <v>321.77999999999997</v>
      </c>
      <c r="D175" s="83">
        <v>320</v>
      </c>
      <c r="E175" s="83">
        <v>328.6</v>
      </c>
      <c r="F175" s="83">
        <v>320</v>
      </c>
      <c r="G175" s="83">
        <v>149604</v>
      </c>
      <c r="H175" s="85">
        <v>9.4999999999999998E-3</v>
      </c>
      <c r="I175" s="97">
        <v>1.6999999999999999E-3</v>
      </c>
      <c r="J175" s="97">
        <f t="shared" si="2"/>
        <v>7.7999999999999996E-3</v>
      </c>
    </row>
    <row r="176" spans="2:10">
      <c r="B176" s="84">
        <v>45525</v>
      </c>
      <c r="C176" s="82">
        <v>318.76</v>
      </c>
      <c r="D176" s="83">
        <v>315.98</v>
      </c>
      <c r="E176" s="83">
        <v>322.64</v>
      </c>
      <c r="F176" s="83">
        <v>311.60000000000002</v>
      </c>
      <c r="G176" s="83">
        <v>81688</v>
      </c>
      <c r="H176" s="85">
        <v>1.3100000000000001E-2</v>
      </c>
      <c r="I176" s="97">
        <v>2.8999999999999998E-3</v>
      </c>
      <c r="J176" s="97">
        <f t="shared" si="2"/>
        <v>1.0200000000000001E-2</v>
      </c>
    </row>
    <row r="177" spans="2:10">
      <c r="B177" s="84">
        <v>45524</v>
      </c>
      <c r="C177" s="82">
        <v>314.64999999999998</v>
      </c>
      <c r="D177" s="83">
        <v>322</v>
      </c>
      <c r="E177" s="83">
        <v>327</v>
      </c>
      <c r="F177" s="83">
        <v>310.39999999999998</v>
      </c>
      <c r="G177" s="83">
        <v>103187</v>
      </c>
      <c r="H177" s="85">
        <v>9.9000000000000008E-3</v>
      </c>
      <c r="I177" s="97">
        <v>5.1000000000000004E-3</v>
      </c>
      <c r="J177" s="97">
        <f t="shared" si="2"/>
        <v>4.8000000000000004E-3</v>
      </c>
    </row>
    <row r="178" spans="2:10">
      <c r="B178" s="84">
        <v>45523</v>
      </c>
      <c r="C178" s="82">
        <v>311.56</v>
      </c>
      <c r="D178" s="83">
        <v>315.68</v>
      </c>
      <c r="E178" s="83">
        <v>315.68</v>
      </c>
      <c r="F178" s="83">
        <v>308.83999999999997</v>
      </c>
      <c r="G178" s="83">
        <v>123788</v>
      </c>
      <c r="H178" s="85">
        <v>-3.3E-3</v>
      </c>
      <c r="I178" s="97">
        <v>1.2999999999999999E-3</v>
      </c>
      <c r="J178" s="97">
        <f t="shared" si="2"/>
        <v>-4.5999999999999999E-3</v>
      </c>
    </row>
    <row r="179" spans="2:10">
      <c r="B179" s="84">
        <v>45520</v>
      </c>
      <c r="C179" s="82">
        <v>312.58999999999997</v>
      </c>
      <c r="D179" s="83">
        <v>308.2</v>
      </c>
      <c r="E179" s="83">
        <v>315.39999999999998</v>
      </c>
      <c r="F179" s="83">
        <v>307.8</v>
      </c>
      <c r="G179" s="83">
        <v>60900</v>
      </c>
      <c r="H179" s="85">
        <v>1.7399999999999999E-2</v>
      </c>
      <c r="I179" s="97">
        <v>1.6500000000000001E-2</v>
      </c>
      <c r="J179" s="97">
        <f t="shared" si="2"/>
        <v>8.9999999999999802E-4</v>
      </c>
    </row>
    <row r="180" spans="2:10">
      <c r="B180" s="84">
        <v>45518</v>
      </c>
      <c r="C180" s="82">
        <v>307.24</v>
      </c>
      <c r="D180" s="83">
        <v>310</v>
      </c>
      <c r="E180" s="83">
        <v>311.66000000000003</v>
      </c>
      <c r="F180" s="83">
        <v>303.61</v>
      </c>
      <c r="G180" s="83">
        <v>216261</v>
      </c>
      <c r="H180" s="85">
        <v>-5.1000000000000004E-3</v>
      </c>
      <c r="I180" s="97">
        <v>2.0000000000000001E-4</v>
      </c>
      <c r="J180" s="97">
        <f t="shared" si="2"/>
        <v>-5.3E-3</v>
      </c>
    </row>
    <row r="181" spans="2:10">
      <c r="B181" s="84">
        <v>45517</v>
      </c>
      <c r="C181" s="82">
        <v>308.82</v>
      </c>
      <c r="D181" s="83">
        <v>318.88</v>
      </c>
      <c r="E181" s="83">
        <v>318.88</v>
      </c>
      <c r="F181" s="83">
        <v>307.41000000000003</v>
      </c>
      <c r="G181" s="83">
        <v>167654</v>
      </c>
      <c r="H181" s="85">
        <v>-3.1600000000000003E-2</v>
      </c>
      <c r="I181" s="97">
        <v>-8.5000000000000006E-3</v>
      </c>
      <c r="J181" s="97">
        <f t="shared" si="2"/>
        <v>-2.3100000000000002E-2</v>
      </c>
    </row>
    <row r="182" spans="2:10">
      <c r="B182" s="84">
        <v>45516</v>
      </c>
      <c r="C182" s="82">
        <v>318.89</v>
      </c>
      <c r="D182" s="83">
        <v>315.22000000000003</v>
      </c>
      <c r="E182" s="83">
        <v>322.26</v>
      </c>
      <c r="F182" s="83">
        <v>314.54000000000002</v>
      </c>
      <c r="G182" s="83">
        <v>89199</v>
      </c>
      <c r="H182" s="85">
        <v>2.3999999999999998E-3</v>
      </c>
      <c r="I182" s="97">
        <v>-8.0000000000000004E-4</v>
      </c>
      <c r="J182" s="97">
        <f t="shared" si="2"/>
        <v>3.1999999999999997E-3</v>
      </c>
    </row>
    <row r="183" spans="2:10">
      <c r="B183" s="84">
        <v>45513</v>
      </c>
      <c r="C183" s="82">
        <v>318.12</v>
      </c>
      <c r="D183" s="83">
        <v>323</v>
      </c>
      <c r="E183" s="83">
        <v>324.99</v>
      </c>
      <c r="F183" s="83">
        <v>315</v>
      </c>
      <c r="G183" s="83">
        <v>135986</v>
      </c>
      <c r="H183" s="85">
        <v>-1.2500000000000001E-2</v>
      </c>
      <c r="I183" s="97">
        <v>1.04E-2</v>
      </c>
      <c r="J183" s="97">
        <f t="shared" si="2"/>
        <v>-2.29E-2</v>
      </c>
    </row>
    <row r="184" spans="2:10">
      <c r="B184" s="84">
        <v>45512</v>
      </c>
      <c r="C184" s="82">
        <v>322.16000000000003</v>
      </c>
      <c r="D184" s="83">
        <v>329.6</v>
      </c>
      <c r="E184" s="83">
        <v>330.4</v>
      </c>
      <c r="F184" s="83">
        <v>320.8</v>
      </c>
      <c r="G184" s="83">
        <v>59053</v>
      </c>
      <c r="H184" s="85">
        <v>-1.95E-2</v>
      </c>
      <c r="I184" s="97">
        <v>-7.4000000000000003E-3</v>
      </c>
      <c r="J184" s="97">
        <f t="shared" si="2"/>
        <v>-1.21E-2</v>
      </c>
    </row>
    <row r="185" spans="2:10">
      <c r="B185" s="84">
        <v>45511</v>
      </c>
      <c r="C185" s="82">
        <v>328.58</v>
      </c>
      <c r="D185" s="83">
        <v>332.84</v>
      </c>
      <c r="E185" s="83">
        <v>343</v>
      </c>
      <c r="F185" s="83">
        <v>325.56</v>
      </c>
      <c r="G185" s="83">
        <v>2644848</v>
      </c>
      <c r="H185" s="85">
        <v>-8.0999999999999996E-3</v>
      </c>
      <c r="I185" s="97">
        <v>1.2699999999999999E-2</v>
      </c>
      <c r="J185" s="97">
        <f t="shared" si="2"/>
        <v>-2.0799999999999999E-2</v>
      </c>
    </row>
    <row r="186" spans="2:10">
      <c r="B186" s="84">
        <v>45510</v>
      </c>
      <c r="C186" s="82">
        <v>331.25</v>
      </c>
      <c r="D186" s="83">
        <v>326.29000000000002</v>
      </c>
      <c r="E186" s="83">
        <v>338.37</v>
      </c>
      <c r="F186" s="83">
        <v>326.13</v>
      </c>
      <c r="G186" s="83">
        <v>72168</v>
      </c>
      <c r="H186" s="85">
        <v>1.52E-2</v>
      </c>
      <c r="I186" s="97">
        <v>-2.5999999999999999E-3</v>
      </c>
      <c r="J186" s="97">
        <f t="shared" si="2"/>
        <v>1.78E-2</v>
      </c>
    </row>
    <row r="187" spans="2:10">
      <c r="B187" s="84">
        <v>45509</v>
      </c>
      <c r="C187" s="82">
        <v>326.3</v>
      </c>
      <c r="D187" s="83">
        <v>331.16</v>
      </c>
      <c r="E187" s="83">
        <v>332.67</v>
      </c>
      <c r="F187" s="83">
        <v>322.7</v>
      </c>
      <c r="G187" s="83">
        <v>87283</v>
      </c>
      <c r="H187" s="85">
        <v>-2.7799999999999998E-2</v>
      </c>
      <c r="I187" s="97">
        <v>-2.6800000000000001E-2</v>
      </c>
      <c r="J187" s="97">
        <f t="shared" si="2"/>
        <v>-9.9999999999999742E-4</v>
      </c>
    </row>
    <row r="188" spans="2:10">
      <c r="B188" s="84">
        <v>45506</v>
      </c>
      <c r="C188" s="82">
        <v>335.63</v>
      </c>
      <c r="D188" s="83">
        <v>337.99</v>
      </c>
      <c r="E188" s="83">
        <v>339.6</v>
      </c>
      <c r="F188" s="83">
        <v>333.27</v>
      </c>
      <c r="G188" s="83">
        <v>92942</v>
      </c>
      <c r="H188" s="85">
        <v>-1.0200000000000001E-2</v>
      </c>
      <c r="I188" s="97">
        <v>-1.17E-2</v>
      </c>
      <c r="J188" s="97">
        <f t="shared" si="2"/>
        <v>1.4999999999999996E-3</v>
      </c>
    </row>
    <row r="189" spans="2:10">
      <c r="B189" s="84">
        <v>45505</v>
      </c>
      <c r="C189" s="82">
        <v>339.09</v>
      </c>
      <c r="D189" s="83">
        <v>331.52</v>
      </c>
      <c r="E189" s="83">
        <v>363.44</v>
      </c>
      <c r="F189" s="83">
        <v>330.54</v>
      </c>
      <c r="G189" s="83">
        <v>1011491</v>
      </c>
      <c r="H189" s="85">
        <v>2.64E-2</v>
      </c>
      <c r="I189" s="97">
        <v>2.3999999999999998E-3</v>
      </c>
      <c r="J189" s="97">
        <f t="shared" si="2"/>
        <v>2.4E-2</v>
      </c>
    </row>
    <row r="190" spans="2:10">
      <c r="B190" s="84">
        <v>45504</v>
      </c>
      <c r="C190" s="82">
        <v>330.37</v>
      </c>
      <c r="D190" s="83">
        <v>320.98</v>
      </c>
      <c r="E190" s="83">
        <v>335.2</v>
      </c>
      <c r="F190" s="83">
        <v>316.8</v>
      </c>
      <c r="G190" s="83">
        <v>194904</v>
      </c>
      <c r="H190" s="85">
        <v>2.8899999999999999E-2</v>
      </c>
      <c r="I190" s="97">
        <v>3.8E-3</v>
      </c>
      <c r="J190" s="97">
        <f t="shared" si="2"/>
        <v>2.5099999999999997E-2</v>
      </c>
    </row>
    <row r="191" spans="2:10">
      <c r="B191" s="84">
        <v>45503</v>
      </c>
      <c r="C191" s="82">
        <v>321.08999999999997</v>
      </c>
      <c r="D191" s="83">
        <v>316.2</v>
      </c>
      <c r="E191" s="83">
        <v>323.39999999999998</v>
      </c>
      <c r="F191" s="83">
        <v>312.25</v>
      </c>
      <c r="G191" s="83">
        <v>253529</v>
      </c>
      <c r="H191" s="85">
        <v>1.5599999999999999E-2</v>
      </c>
      <c r="I191" s="97">
        <v>8.9999999999999998E-4</v>
      </c>
      <c r="J191" s="97">
        <f t="shared" si="2"/>
        <v>1.47E-2</v>
      </c>
    </row>
    <row r="192" spans="2:10">
      <c r="B192" s="84">
        <v>45502</v>
      </c>
      <c r="C192" s="82">
        <v>316.14999999999998</v>
      </c>
      <c r="D192" s="83">
        <v>315.8</v>
      </c>
      <c r="E192" s="83">
        <v>317.75</v>
      </c>
      <c r="F192" s="83">
        <v>310.82</v>
      </c>
      <c r="G192" s="83">
        <v>148853</v>
      </c>
      <c r="H192" s="85">
        <v>1.6E-2</v>
      </c>
      <c r="I192" s="97">
        <v>1E-4</v>
      </c>
      <c r="J192" s="97">
        <f t="shared" si="2"/>
        <v>1.5900000000000001E-2</v>
      </c>
    </row>
    <row r="193" spans="2:10">
      <c r="B193" s="84">
        <v>45499</v>
      </c>
      <c r="C193" s="82">
        <v>311.16000000000003</v>
      </c>
      <c r="D193" s="83">
        <v>319.8</v>
      </c>
      <c r="E193" s="83">
        <v>319.8</v>
      </c>
      <c r="F193" s="83">
        <v>310</v>
      </c>
      <c r="G193" s="83">
        <v>21838</v>
      </c>
      <c r="H193" s="85">
        <v>-1.4999999999999999E-2</v>
      </c>
      <c r="I193" s="97">
        <v>1.7600000000000001E-2</v>
      </c>
      <c r="J193" s="97">
        <f t="shared" si="2"/>
        <v>-3.2600000000000004E-2</v>
      </c>
    </row>
    <row r="194" spans="2:10">
      <c r="B194" s="84">
        <v>45498</v>
      </c>
      <c r="C194" s="82">
        <v>315.91000000000003</v>
      </c>
      <c r="D194" s="83">
        <v>321.77999999999997</v>
      </c>
      <c r="E194" s="83">
        <v>321.77999999999997</v>
      </c>
      <c r="F194" s="83">
        <v>313</v>
      </c>
      <c r="G194" s="83">
        <v>140208</v>
      </c>
      <c r="H194" s="85">
        <v>-2.8199999999999999E-2</v>
      </c>
      <c r="I194" s="97">
        <v>-2.9999999999999997E-4</v>
      </c>
      <c r="J194" s="97">
        <f t="shared" si="2"/>
        <v>-2.7899999999999998E-2</v>
      </c>
    </row>
    <row r="195" spans="2:10">
      <c r="B195" s="84">
        <v>45497</v>
      </c>
      <c r="C195" s="82">
        <v>325.08</v>
      </c>
      <c r="D195" s="83">
        <v>312.44</v>
      </c>
      <c r="E195" s="83">
        <v>327.2</v>
      </c>
      <c r="F195" s="83">
        <v>310.61</v>
      </c>
      <c r="G195" s="83">
        <v>126205</v>
      </c>
      <c r="H195" s="85">
        <v>4.0500000000000001E-2</v>
      </c>
      <c r="I195" s="97">
        <v>-2.7000000000000001E-3</v>
      </c>
      <c r="J195" s="97">
        <f t="shared" si="2"/>
        <v>4.3200000000000002E-2</v>
      </c>
    </row>
    <row r="196" spans="2:10">
      <c r="B196" s="84">
        <v>45496</v>
      </c>
      <c r="C196" s="82">
        <v>312.44</v>
      </c>
      <c r="D196" s="83">
        <v>309.8</v>
      </c>
      <c r="E196" s="83">
        <v>313.39</v>
      </c>
      <c r="F196" s="83">
        <v>297</v>
      </c>
      <c r="G196" s="83">
        <v>107324</v>
      </c>
      <c r="H196" s="85">
        <v>2.1899999999999999E-2</v>
      </c>
      <c r="I196" s="97">
        <v>-1.1999999999999999E-3</v>
      </c>
      <c r="J196" s="97">
        <f t="shared" si="2"/>
        <v>2.3099999999999999E-2</v>
      </c>
    </row>
    <row r="197" spans="2:10">
      <c r="B197" s="84">
        <v>45495</v>
      </c>
      <c r="C197" s="82">
        <v>305.74</v>
      </c>
      <c r="D197" s="83">
        <v>301.01</v>
      </c>
      <c r="E197" s="83">
        <v>310</v>
      </c>
      <c r="F197" s="83">
        <v>298.08999999999997</v>
      </c>
      <c r="G197" s="83">
        <v>89715</v>
      </c>
      <c r="H197" s="85">
        <v>1.6000000000000001E-3</v>
      </c>
      <c r="I197" s="97">
        <v>-8.9999999999999998E-4</v>
      </c>
      <c r="J197" s="97">
        <f t="shared" si="2"/>
        <v>2.5000000000000001E-3</v>
      </c>
    </row>
    <row r="198" spans="2:10">
      <c r="B198" s="84">
        <v>45492</v>
      </c>
      <c r="C198" s="82">
        <v>305.25</v>
      </c>
      <c r="D198" s="83">
        <v>309.83</v>
      </c>
      <c r="E198" s="83">
        <v>311.35000000000002</v>
      </c>
      <c r="F198" s="83">
        <v>302.74</v>
      </c>
      <c r="G198" s="83">
        <v>148871</v>
      </c>
      <c r="H198" s="85">
        <v>-1.4800000000000001E-2</v>
      </c>
      <c r="I198" s="97">
        <v>-1.09E-2</v>
      </c>
      <c r="J198" s="97">
        <f t="shared" si="2"/>
        <v>-3.9000000000000007E-3</v>
      </c>
    </row>
    <row r="199" spans="2:10">
      <c r="B199" s="84">
        <v>45491</v>
      </c>
      <c r="C199" s="82">
        <v>309.83</v>
      </c>
      <c r="D199" s="83">
        <v>310.99</v>
      </c>
      <c r="E199" s="83">
        <v>311.39999999999998</v>
      </c>
      <c r="F199" s="83">
        <v>306.18</v>
      </c>
      <c r="G199" s="83">
        <v>206146</v>
      </c>
      <c r="H199" s="85">
        <v>-8.0000000000000004E-4</v>
      </c>
      <c r="I199" s="97">
        <v>7.6E-3</v>
      </c>
      <c r="J199" s="97">
        <f t="shared" si="2"/>
        <v>-8.3999999999999995E-3</v>
      </c>
    </row>
    <row r="200" spans="2:10">
      <c r="B200" s="84">
        <v>45489</v>
      </c>
      <c r="C200" s="82">
        <v>310.08</v>
      </c>
      <c r="D200" s="83">
        <v>312.18</v>
      </c>
      <c r="E200" s="83">
        <v>312.18</v>
      </c>
      <c r="F200" s="83">
        <v>306.2</v>
      </c>
      <c r="G200" s="83">
        <v>36486</v>
      </c>
      <c r="H200" s="85">
        <v>-3.7000000000000002E-3</v>
      </c>
      <c r="I200" s="97">
        <v>1.1000000000000001E-3</v>
      </c>
      <c r="J200" s="97">
        <f t="shared" si="2"/>
        <v>-4.8000000000000004E-3</v>
      </c>
    </row>
    <row r="201" spans="2:10">
      <c r="B201" s="84">
        <v>45488</v>
      </c>
      <c r="C201" s="82">
        <v>311.23</v>
      </c>
      <c r="D201" s="83">
        <v>310.39999999999998</v>
      </c>
      <c r="E201" s="83">
        <v>314.19</v>
      </c>
      <c r="F201" s="83">
        <v>308</v>
      </c>
      <c r="G201" s="83">
        <v>130300</v>
      </c>
      <c r="H201" s="85">
        <v>2.8999999999999998E-3</v>
      </c>
      <c r="I201" s="97">
        <v>3.5000000000000001E-3</v>
      </c>
      <c r="J201" s="97">
        <f t="shared" si="2"/>
        <v>-6.0000000000000027E-4</v>
      </c>
    </row>
    <row r="202" spans="2:10">
      <c r="B202" s="84">
        <v>45485</v>
      </c>
      <c r="C202" s="82">
        <v>310.33</v>
      </c>
      <c r="D202" s="83">
        <v>311.99</v>
      </c>
      <c r="E202" s="83">
        <v>313.99</v>
      </c>
      <c r="F202" s="83">
        <v>309</v>
      </c>
      <c r="G202" s="83">
        <v>72637</v>
      </c>
      <c r="H202" s="85">
        <v>-1.6000000000000001E-3</v>
      </c>
      <c r="I202" s="97">
        <v>7.7000000000000002E-3</v>
      </c>
      <c r="J202" s="97">
        <f t="shared" ref="J202:J265" si="3">H202-I202</f>
        <v>-9.300000000000001E-3</v>
      </c>
    </row>
    <row r="203" spans="2:10">
      <c r="B203" s="84">
        <v>45484</v>
      </c>
      <c r="C203" s="82">
        <v>310.83</v>
      </c>
      <c r="D203" s="83">
        <v>309.06</v>
      </c>
      <c r="E203" s="83">
        <v>314.69</v>
      </c>
      <c r="F203" s="83">
        <v>308.08</v>
      </c>
      <c r="G203" s="83">
        <v>404694</v>
      </c>
      <c r="H203" s="85">
        <v>-8.0000000000000004E-4</v>
      </c>
      <c r="I203" s="97">
        <v>-2.9999999999999997E-4</v>
      </c>
      <c r="J203" s="97">
        <f t="shared" si="3"/>
        <v>-5.0000000000000001E-4</v>
      </c>
    </row>
    <row r="204" spans="2:10">
      <c r="B204" s="84">
        <v>45483</v>
      </c>
      <c r="C204" s="82">
        <v>311.07</v>
      </c>
      <c r="D204" s="83">
        <v>315.13</v>
      </c>
      <c r="E204" s="83">
        <v>315.13</v>
      </c>
      <c r="F204" s="83">
        <v>303.45999999999998</v>
      </c>
      <c r="G204" s="83">
        <v>33166</v>
      </c>
      <c r="H204" s="85">
        <v>-3.3999999999999998E-3</v>
      </c>
      <c r="I204" s="97">
        <v>-4.4999999999999997E-3</v>
      </c>
      <c r="J204" s="97">
        <f t="shared" si="3"/>
        <v>1.0999999999999998E-3</v>
      </c>
    </row>
    <row r="205" spans="2:10">
      <c r="B205" s="84">
        <v>45482</v>
      </c>
      <c r="C205" s="82">
        <v>312.12</v>
      </c>
      <c r="D205" s="83">
        <v>317.58</v>
      </c>
      <c r="E205" s="83">
        <v>324</v>
      </c>
      <c r="F205" s="83">
        <v>311.05</v>
      </c>
      <c r="G205" s="83">
        <v>87154</v>
      </c>
      <c r="H205" s="85">
        <v>1E-4</v>
      </c>
      <c r="I205" s="97">
        <v>4.5999999999999999E-3</v>
      </c>
      <c r="J205" s="97">
        <f t="shared" si="3"/>
        <v>-4.4999999999999997E-3</v>
      </c>
    </row>
    <row r="206" spans="2:10">
      <c r="B206" s="84">
        <v>45481</v>
      </c>
      <c r="C206" s="82">
        <v>312.08</v>
      </c>
      <c r="D206" s="83">
        <v>318.07</v>
      </c>
      <c r="E206" s="83">
        <v>319.19</v>
      </c>
      <c r="F206" s="83">
        <v>309.23</v>
      </c>
      <c r="G206" s="83">
        <v>50276</v>
      </c>
      <c r="H206" s="85">
        <v>-1.3899999999999999E-2</v>
      </c>
      <c r="I206" s="97">
        <v>-1E-4</v>
      </c>
      <c r="J206" s="97">
        <f t="shared" si="3"/>
        <v>-1.38E-2</v>
      </c>
    </row>
    <row r="207" spans="2:10">
      <c r="B207" s="84">
        <v>45478</v>
      </c>
      <c r="C207" s="82">
        <v>316.48</v>
      </c>
      <c r="D207" s="83">
        <v>317.60000000000002</v>
      </c>
      <c r="E207" s="83">
        <v>324.2</v>
      </c>
      <c r="F207" s="83">
        <v>315</v>
      </c>
      <c r="G207" s="83">
        <v>75963</v>
      </c>
      <c r="H207" s="85">
        <v>-4.7999999999999996E-3</v>
      </c>
      <c r="I207" s="97">
        <v>8.9999999999999998E-4</v>
      </c>
      <c r="J207" s="97">
        <f t="shared" si="3"/>
        <v>-5.6999999999999993E-3</v>
      </c>
    </row>
    <row r="208" spans="2:10">
      <c r="B208" s="84">
        <v>45477</v>
      </c>
      <c r="C208" s="82">
        <v>318.01</v>
      </c>
      <c r="D208" s="83">
        <v>317.2</v>
      </c>
      <c r="E208" s="83">
        <v>320.64</v>
      </c>
      <c r="F208" s="83">
        <v>315.02</v>
      </c>
      <c r="G208" s="83">
        <v>47740</v>
      </c>
      <c r="H208" s="85">
        <v>2.3999999999999998E-3</v>
      </c>
      <c r="I208" s="97">
        <v>5.9999999999999995E-4</v>
      </c>
      <c r="J208" s="97">
        <f t="shared" si="3"/>
        <v>1.8E-3</v>
      </c>
    </row>
    <row r="209" spans="2:10">
      <c r="B209" s="84">
        <v>45476</v>
      </c>
      <c r="C209" s="82">
        <v>317.25</v>
      </c>
      <c r="D209" s="83">
        <v>310.2</v>
      </c>
      <c r="E209" s="83">
        <v>318.8</v>
      </c>
      <c r="F209" s="83">
        <v>310.02</v>
      </c>
      <c r="G209" s="83">
        <v>74975</v>
      </c>
      <c r="H209" s="85">
        <v>1.61E-2</v>
      </c>
      <c r="I209" s="97">
        <v>6.7000000000000002E-3</v>
      </c>
      <c r="J209" s="97">
        <f t="shared" si="3"/>
        <v>9.3999999999999986E-3</v>
      </c>
    </row>
    <row r="210" spans="2:10">
      <c r="B210" s="84">
        <v>45475</v>
      </c>
      <c r="C210" s="82">
        <v>312.23</v>
      </c>
      <c r="D210" s="83">
        <v>314.22000000000003</v>
      </c>
      <c r="E210" s="83">
        <v>316.38</v>
      </c>
      <c r="F210" s="83">
        <v>310.85000000000002</v>
      </c>
      <c r="G210" s="83">
        <v>55951</v>
      </c>
      <c r="H210" s="85">
        <v>-6.3E-3</v>
      </c>
      <c r="I210" s="97">
        <v>-6.9999999999999999E-4</v>
      </c>
      <c r="J210" s="97">
        <f t="shared" si="3"/>
        <v>-5.5999999999999999E-3</v>
      </c>
    </row>
    <row r="211" spans="2:10">
      <c r="B211" s="84">
        <v>45474</v>
      </c>
      <c r="C211" s="82">
        <v>314.22000000000003</v>
      </c>
      <c r="D211" s="83">
        <v>315.8</v>
      </c>
      <c r="E211" s="83">
        <v>316.99</v>
      </c>
      <c r="F211" s="83">
        <v>303</v>
      </c>
      <c r="G211" s="83">
        <v>73325</v>
      </c>
      <c r="H211" s="85">
        <v>2.3999999999999998E-3</v>
      </c>
      <c r="I211" s="97">
        <v>5.4999999999999997E-3</v>
      </c>
      <c r="J211" s="97">
        <f t="shared" si="3"/>
        <v>-3.0999999999999999E-3</v>
      </c>
    </row>
    <row r="212" spans="2:10">
      <c r="B212" s="84">
        <v>45471</v>
      </c>
      <c r="C212" s="82">
        <v>313.45999999999998</v>
      </c>
      <c r="D212" s="83">
        <v>310</v>
      </c>
      <c r="E212" s="83">
        <v>316.79000000000002</v>
      </c>
      <c r="F212" s="83">
        <v>308.98</v>
      </c>
      <c r="G212" s="83">
        <v>104835</v>
      </c>
      <c r="H212" s="85">
        <v>8.8999999999999999E-3</v>
      </c>
      <c r="I212" s="97">
        <v>-1.4E-3</v>
      </c>
      <c r="J212" s="97">
        <f t="shared" si="3"/>
        <v>1.03E-2</v>
      </c>
    </row>
    <row r="213" spans="2:10">
      <c r="B213" s="84">
        <v>45470</v>
      </c>
      <c r="C213" s="82">
        <v>310.7</v>
      </c>
      <c r="D213" s="83">
        <v>312.8</v>
      </c>
      <c r="E213" s="83">
        <v>315.23</v>
      </c>
      <c r="F213" s="83">
        <v>304.2</v>
      </c>
      <c r="G213" s="83">
        <v>117614</v>
      </c>
      <c r="H213" s="85">
        <v>1E-4</v>
      </c>
      <c r="I213" s="97">
        <v>7.4000000000000003E-3</v>
      </c>
      <c r="J213" s="97">
        <f t="shared" si="3"/>
        <v>-7.3000000000000001E-3</v>
      </c>
    </row>
    <row r="214" spans="2:10">
      <c r="B214" s="84">
        <v>45469</v>
      </c>
      <c r="C214" s="82">
        <v>310.66000000000003</v>
      </c>
      <c r="D214" s="83">
        <v>315</v>
      </c>
      <c r="E214" s="83">
        <v>315</v>
      </c>
      <c r="F214" s="83">
        <v>309.01</v>
      </c>
      <c r="G214" s="83">
        <v>107716</v>
      </c>
      <c r="H214" s="85">
        <v>-1.3899999999999999E-2</v>
      </c>
      <c r="I214" s="97">
        <v>6.1999999999999998E-3</v>
      </c>
      <c r="J214" s="97">
        <f t="shared" si="3"/>
        <v>-2.01E-2</v>
      </c>
    </row>
    <row r="215" spans="2:10">
      <c r="B215" s="84">
        <v>45468</v>
      </c>
      <c r="C215" s="82">
        <v>315.02999999999997</v>
      </c>
      <c r="D215" s="83">
        <v>319.8</v>
      </c>
      <c r="E215" s="83">
        <v>322.19</v>
      </c>
      <c r="F215" s="83">
        <v>314.02</v>
      </c>
      <c r="G215" s="83">
        <v>129818</v>
      </c>
      <c r="H215" s="85">
        <v>-5.7999999999999996E-3</v>
      </c>
      <c r="I215" s="97">
        <v>7.7999999999999996E-3</v>
      </c>
      <c r="J215" s="97">
        <f t="shared" si="3"/>
        <v>-1.3599999999999999E-2</v>
      </c>
    </row>
    <row r="216" spans="2:10">
      <c r="B216" s="84">
        <v>45467</v>
      </c>
      <c r="C216" s="82">
        <v>316.87</v>
      </c>
      <c r="D216" s="83">
        <v>318.04000000000002</v>
      </c>
      <c r="E216" s="83">
        <v>320.92</v>
      </c>
      <c r="F216" s="83">
        <v>313.41000000000003</v>
      </c>
      <c r="G216" s="83">
        <v>167738</v>
      </c>
      <c r="H216" s="85">
        <v>-3.7000000000000002E-3</v>
      </c>
      <c r="I216" s="97">
        <v>1.6000000000000001E-3</v>
      </c>
      <c r="J216" s="97">
        <f t="shared" si="3"/>
        <v>-5.3E-3</v>
      </c>
    </row>
    <row r="217" spans="2:10">
      <c r="B217" s="84">
        <v>45464</v>
      </c>
      <c r="C217" s="82">
        <v>318.04000000000002</v>
      </c>
      <c r="D217" s="83">
        <v>315.83999999999997</v>
      </c>
      <c r="E217" s="83">
        <v>322.07</v>
      </c>
      <c r="F217" s="83">
        <v>311.68</v>
      </c>
      <c r="G217" s="83">
        <v>159882</v>
      </c>
      <c r="H217" s="85">
        <v>8.8000000000000005E-3</v>
      </c>
      <c r="I217" s="97">
        <v>-2.8E-3</v>
      </c>
      <c r="J217" s="97">
        <f t="shared" si="3"/>
        <v>1.1600000000000001E-2</v>
      </c>
    </row>
    <row r="218" spans="2:10">
      <c r="B218" s="84">
        <v>45463</v>
      </c>
      <c r="C218" s="82">
        <v>315.26</v>
      </c>
      <c r="D218" s="83">
        <v>322.39999999999998</v>
      </c>
      <c r="E218" s="83">
        <v>334.2</v>
      </c>
      <c r="F218" s="83">
        <v>312.05</v>
      </c>
      <c r="G218" s="83">
        <v>1151000</v>
      </c>
      <c r="H218" s="85">
        <v>1.09E-2</v>
      </c>
      <c r="I218" s="97">
        <v>2.2000000000000001E-3</v>
      </c>
      <c r="J218" s="97">
        <f t="shared" si="3"/>
        <v>8.6999999999999994E-3</v>
      </c>
    </row>
    <row r="219" spans="2:10">
      <c r="B219" s="84">
        <v>45462</v>
      </c>
      <c r="C219" s="82">
        <v>311.86</v>
      </c>
      <c r="D219" s="83">
        <v>306</v>
      </c>
      <c r="E219" s="83">
        <v>319.79000000000002</v>
      </c>
      <c r="F219" s="83">
        <v>304.45</v>
      </c>
      <c r="G219" s="83">
        <v>214892</v>
      </c>
      <c r="H219" s="85">
        <v>2.75E-2</v>
      </c>
      <c r="I219" s="97">
        <v>-1.8E-3</v>
      </c>
      <c r="J219" s="97">
        <f t="shared" si="3"/>
        <v>2.93E-2</v>
      </c>
    </row>
    <row r="220" spans="2:10">
      <c r="B220" s="84">
        <v>45461</v>
      </c>
      <c r="C220" s="82">
        <v>303.5</v>
      </c>
      <c r="D220" s="83">
        <v>308</v>
      </c>
      <c r="E220" s="83">
        <v>308</v>
      </c>
      <c r="F220" s="83">
        <v>297.05</v>
      </c>
      <c r="G220" s="83">
        <v>129858</v>
      </c>
      <c r="H220" s="85">
        <v>9.1000000000000004E-3</v>
      </c>
      <c r="I220" s="97">
        <v>3.8999999999999998E-3</v>
      </c>
      <c r="J220" s="97">
        <f t="shared" si="3"/>
        <v>5.2000000000000006E-3</v>
      </c>
    </row>
    <row r="221" spans="2:10">
      <c r="B221" s="84">
        <v>45457</v>
      </c>
      <c r="C221" s="82">
        <v>300.75</v>
      </c>
      <c r="D221" s="83">
        <v>302.10000000000002</v>
      </c>
      <c r="E221" s="83">
        <v>302.99</v>
      </c>
      <c r="F221" s="83">
        <v>298.54000000000002</v>
      </c>
      <c r="G221" s="83">
        <v>20576</v>
      </c>
      <c r="H221" s="85">
        <v>-2.8999999999999998E-3</v>
      </c>
      <c r="I221" s="97">
        <v>2.8999999999999998E-3</v>
      </c>
      <c r="J221" s="97">
        <f t="shared" si="3"/>
        <v>-5.7999999999999996E-3</v>
      </c>
    </row>
    <row r="222" spans="2:10">
      <c r="B222" s="84">
        <v>45456</v>
      </c>
      <c r="C222" s="82">
        <v>301.63</v>
      </c>
      <c r="D222" s="83">
        <v>298.85000000000002</v>
      </c>
      <c r="E222" s="83">
        <v>302.99</v>
      </c>
      <c r="F222" s="83">
        <v>298.85000000000002</v>
      </c>
      <c r="G222" s="83">
        <v>19994</v>
      </c>
      <c r="H222" s="85">
        <v>8.3000000000000001E-3</v>
      </c>
      <c r="I222" s="97">
        <v>3.3E-3</v>
      </c>
      <c r="J222" s="97">
        <f t="shared" si="3"/>
        <v>5.0000000000000001E-3</v>
      </c>
    </row>
    <row r="223" spans="2:10">
      <c r="B223" s="84">
        <v>45455</v>
      </c>
      <c r="C223" s="82">
        <v>299.14</v>
      </c>
      <c r="D223" s="83">
        <v>302.3</v>
      </c>
      <c r="E223" s="83">
        <v>303</v>
      </c>
      <c r="F223" s="83">
        <v>295.3</v>
      </c>
      <c r="G223" s="83">
        <v>70431</v>
      </c>
      <c r="H223" s="85">
        <v>-6.0000000000000001E-3</v>
      </c>
      <c r="I223" s="97">
        <v>2.5000000000000001E-3</v>
      </c>
      <c r="J223" s="97">
        <f t="shared" si="3"/>
        <v>-8.5000000000000006E-3</v>
      </c>
    </row>
    <row r="224" spans="2:10">
      <c r="B224" s="84">
        <v>45454</v>
      </c>
      <c r="C224" s="82">
        <v>300.94</v>
      </c>
      <c r="D224" s="83">
        <v>298.8</v>
      </c>
      <c r="E224" s="83">
        <v>302.79000000000002</v>
      </c>
      <c r="F224" s="83">
        <v>297.95999999999998</v>
      </c>
      <c r="G224" s="83">
        <v>39121</v>
      </c>
      <c r="H224" s="85">
        <v>3.0000000000000001E-3</v>
      </c>
      <c r="I224" s="97">
        <v>2.0000000000000001E-4</v>
      </c>
      <c r="J224" s="97">
        <f t="shared" si="3"/>
        <v>2.8E-3</v>
      </c>
    </row>
    <row r="225" spans="2:11">
      <c r="B225" s="84">
        <v>45453</v>
      </c>
      <c r="C225" s="82">
        <v>300.04000000000002</v>
      </c>
      <c r="D225" s="83">
        <v>301.99</v>
      </c>
      <c r="E225" s="83">
        <v>305.07</v>
      </c>
      <c r="F225" s="83">
        <v>295.62</v>
      </c>
      <c r="G225" s="83">
        <v>70355</v>
      </c>
      <c r="H225" s="85">
        <v>1.2500000000000001E-2</v>
      </c>
      <c r="I225" s="97">
        <v>-1.2999999999999999E-3</v>
      </c>
      <c r="J225" s="97">
        <f t="shared" si="3"/>
        <v>1.38E-2</v>
      </c>
    </row>
    <row r="226" spans="2:11">
      <c r="B226" s="84">
        <v>45450</v>
      </c>
      <c r="C226" s="82">
        <v>296.35000000000002</v>
      </c>
      <c r="D226" s="83">
        <v>291</v>
      </c>
      <c r="E226" s="83">
        <v>302.39</v>
      </c>
      <c r="F226" s="83">
        <v>289.64999999999998</v>
      </c>
      <c r="G226" s="83">
        <v>61907</v>
      </c>
      <c r="H226" s="85">
        <v>1.6400000000000001E-2</v>
      </c>
      <c r="I226" s="97">
        <v>2.0500000000000001E-2</v>
      </c>
      <c r="J226" s="97">
        <f t="shared" si="3"/>
        <v>-4.0999999999999995E-3</v>
      </c>
    </row>
    <row r="227" spans="2:11">
      <c r="B227" s="84">
        <v>45449</v>
      </c>
      <c r="C227" s="82">
        <v>291.58</v>
      </c>
      <c r="D227" s="83">
        <v>293.73</v>
      </c>
      <c r="E227" s="83">
        <v>294.99</v>
      </c>
      <c r="F227" s="83">
        <v>287</v>
      </c>
      <c r="G227" s="83">
        <v>70626</v>
      </c>
      <c r="H227" s="85">
        <v>2.5000000000000001E-3</v>
      </c>
      <c r="I227" s="97">
        <v>8.8999999999999999E-3</v>
      </c>
      <c r="J227" s="97">
        <f t="shared" si="3"/>
        <v>-6.3999999999999994E-3</v>
      </c>
    </row>
    <row r="228" spans="2:11">
      <c r="B228" s="84">
        <v>45448</v>
      </c>
      <c r="C228" s="82">
        <v>290.86</v>
      </c>
      <c r="D228" s="83">
        <v>288.95</v>
      </c>
      <c r="E228" s="83">
        <v>297</v>
      </c>
      <c r="F228" s="83">
        <v>276.37</v>
      </c>
      <c r="G228" s="83">
        <v>64702</v>
      </c>
      <c r="H228" s="85">
        <v>2.7300000000000001E-2</v>
      </c>
      <c r="I228" s="97">
        <v>3.3599999999999998E-2</v>
      </c>
      <c r="J228" s="97">
        <f t="shared" si="3"/>
        <v>-6.2999999999999966E-3</v>
      </c>
    </row>
    <row r="229" spans="2:11">
      <c r="B229" s="84">
        <v>45447</v>
      </c>
      <c r="C229" s="82">
        <v>283.14</v>
      </c>
      <c r="D229" s="83">
        <v>290</v>
      </c>
      <c r="E229" s="83">
        <v>303.39999999999998</v>
      </c>
      <c r="F229" s="83">
        <v>276</v>
      </c>
      <c r="G229" s="83">
        <v>567477</v>
      </c>
      <c r="H229" s="85">
        <v>-5.0000000000000001E-3</v>
      </c>
      <c r="I229" s="97">
        <v>-5.9299999999999999E-2</v>
      </c>
      <c r="J229" s="97">
        <f t="shared" si="3"/>
        <v>5.4300000000000001E-2</v>
      </c>
      <c r="K229" s="87"/>
    </row>
    <row r="230" spans="2:11">
      <c r="B230" s="84">
        <v>45446</v>
      </c>
      <c r="C230" s="82">
        <v>284.55</v>
      </c>
      <c r="D230" s="83">
        <v>292.23</v>
      </c>
      <c r="E230" s="83">
        <v>293.58</v>
      </c>
      <c r="F230" s="83">
        <v>282.8</v>
      </c>
      <c r="G230" s="83">
        <v>53561</v>
      </c>
      <c r="H230" s="85">
        <v>-1.9800000000000002E-2</v>
      </c>
      <c r="I230" s="97">
        <v>3.2500000000000001E-2</v>
      </c>
      <c r="J230" s="97">
        <f t="shared" si="3"/>
        <v>-5.2299999999999999E-2</v>
      </c>
      <c r="K230" s="87"/>
    </row>
    <row r="231" spans="2:11">
      <c r="B231" s="84">
        <v>45443</v>
      </c>
      <c r="C231" s="82">
        <v>290.29000000000002</v>
      </c>
      <c r="D231" s="83">
        <v>285.99</v>
      </c>
      <c r="E231" s="83">
        <v>299.2</v>
      </c>
      <c r="F231" s="83">
        <v>278.85000000000002</v>
      </c>
      <c r="G231" s="83">
        <v>272693</v>
      </c>
      <c r="H231" s="85">
        <v>1.9199999999999998E-2</v>
      </c>
      <c r="I231" s="97">
        <v>1.9E-3</v>
      </c>
      <c r="J231" s="97">
        <f t="shared" si="3"/>
        <v>1.7299999999999999E-2</v>
      </c>
    </row>
    <row r="232" spans="2:11">
      <c r="B232" s="84">
        <v>45442</v>
      </c>
      <c r="C232" s="82">
        <v>284.83</v>
      </c>
      <c r="D232" s="83">
        <v>283.8</v>
      </c>
      <c r="E232" s="83">
        <v>285.99</v>
      </c>
      <c r="F232" s="83">
        <v>281.73</v>
      </c>
      <c r="G232" s="83">
        <v>42973</v>
      </c>
      <c r="H232" s="85">
        <v>7.9000000000000008E-3</v>
      </c>
      <c r="I232" s="97">
        <v>-9.4999999999999998E-3</v>
      </c>
      <c r="J232" s="97">
        <f t="shared" si="3"/>
        <v>1.7399999999999999E-2</v>
      </c>
    </row>
    <row r="233" spans="2:11">
      <c r="B233" s="84">
        <v>45441</v>
      </c>
      <c r="C233" s="82">
        <v>282.61</v>
      </c>
      <c r="D233" s="83">
        <v>281.83</v>
      </c>
      <c r="E233" s="83">
        <v>288.39999999999998</v>
      </c>
      <c r="F233" s="83">
        <v>280.29000000000002</v>
      </c>
      <c r="G233" s="83">
        <v>36871</v>
      </c>
      <c r="H233" s="85">
        <v>6.7999999999999996E-3</v>
      </c>
      <c r="I233" s="97">
        <v>-8.0000000000000002E-3</v>
      </c>
      <c r="J233" s="97">
        <f t="shared" si="3"/>
        <v>1.4800000000000001E-2</v>
      </c>
    </row>
    <row r="234" spans="2:11">
      <c r="B234" s="84">
        <v>45440</v>
      </c>
      <c r="C234" s="82">
        <v>280.7</v>
      </c>
      <c r="D234" s="83">
        <v>280.24</v>
      </c>
      <c r="E234" s="83">
        <v>283.39</v>
      </c>
      <c r="F234" s="83">
        <v>278.41000000000003</v>
      </c>
      <c r="G234" s="83">
        <v>113741</v>
      </c>
      <c r="H234" s="85">
        <v>1.6000000000000001E-3</v>
      </c>
      <c r="I234" s="97">
        <v>-1.9E-3</v>
      </c>
      <c r="J234" s="97">
        <f t="shared" si="3"/>
        <v>3.5000000000000001E-3</v>
      </c>
    </row>
    <row r="235" spans="2:11">
      <c r="B235" s="84">
        <v>45439</v>
      </c>
      <c r="C235" s="82">
        <v>280.24</v>
      </c>
      <c r="D235" s="83">
        <v>279.60000000000002</v>
      </c>
      <c r="E235" s="83">
        <v>282.37</v>
      </c>
      <c r="F235" s="83">
        <v>274.66000000000003</v>
      </c>
      <c r="G235" s="83">
        <v>143075</v>
      </c>
      <c r="H235" s="85">
        <v>7.1999999999999998E-3</v>
      </c>
      <c r="I235" s="97">
        <v>-1.1000000000000001E-3</v>
      </c>
      <c r="J235" s="97">
        <f t="shared" si="3"/>
        <v>8.3000000000000001E-3</v>
      </c>
    </row>
    <row r="236" spans="2:11">
      <c r="B236" s="84">
        <v>45436</v>
      </c>
      <c r="C236" s="82">
        <v>278.25</v>
      </c>
      <c r="D236" s="83">
        <v>282.5</v>
      </c>
      <c r="E236" s="83">
        <v>286.43</v>
      </c>
      <c r="F236" s="83">
        <v>277.41000000000003</v>
      </c>
      <c r="G236" s="83">
        <v>55282</v>
      </c>
      <c r="H236" s="85">
        <v>-1.4999999999999999E-2</v>
      </c>
      <c r="I236" s="97">
        <v>-5.0000000000000001E-4</v>
      </c>
      <c r="J236" s="97">
        <f t="shared" si="3"/>
        <v>-1.4499999999999999E-2</v>
      </c>
    </row>
    <row r="237" spans="2:11">
      <c r="B237" s="84">
        <v>45435</v>
      </c>
      <c r="C237" s="82">
        <v>282.5</v>
      </c>
      <c r="D237" s="83">
        <v>286.2</v>
      </c>
      <c r="E237" s="83">
        <v>287</v>
      </c>
      <c r="F237" s="83">
        <v>278.39999999999998</v>
      </c>
      <c r="G237" s="83">
        <v>90770</v>
      </c>
      <c r="H237" s="85">
        <v>-6.4000000000000003E-3</v>
      </c>
      <c r="I237" s="97">
        <v>1.6400000000000001E-2</v>
      </c>
      <c r="J237" s="97">
        <f t="shared" si="3"/>
        <v>-2.2800000000000001E-2</v>
      </c>
    </row>
    <row r="238" spans="2:11">
      <c r="B238" s="84">
        <v>45434</v>
      </c>
      <c r="C238" s="82">
        <v>284.31</v>
      </c>
      <c r="D238" s="83">
        <v>286.33</v>
      </c>
      <c r="E238" s="83">
        <v>286.33</v>
      </c>
      <c r="F238" s="83">
        <v>280.39999999999998</v>
      </c>
      <c r="G238" s="83">
        <v>21376</v>
      </c>
      <c r="H238" s="85">
        <v>2.8999999999999998E-3</v>
      </c>
      <c r="I238" s="97">
        <v>3.0999999999999999E-3</v>
      </c>
      <c r="J238" s="97">
        <f t="shared" si="3"/>
        <v>-2.0000000000000009E-4</v>
      </c>
    </row>
    <row r="239" spans="2:11">
      <c r="B239" s="84">
        <v>45433</v>
      </c>
      <c r="C239" s="82">
        <v>283.5</v>
      </c>
      <c r="D239" s="83">
        <v>276.76</v>
      </c>
      <c r="E239" s="83">
        <v>285</v>
      </c>
      <c r="F239" s="83">
        <v>276.76</v>
      </c>
      <c r="G239" s="83">
        <v>82823</v>
      </c>
      <c r="H239" s="85">
        <v>2.4400000000000002E-2</v>
      </c>
      <c r="I239" s="97">
        <v>1.1999999999999999E-3</v>
      </c>
      <c r="J239" s="97">
        <f t="shared" si="3"/>
        <v>2.3200000000000002E-2</v>
      </c>
    </row>
    <row r="240" spans="2:11">
      <c r="B240" s="84">
        <v>45430</v>
      </c>
      <c r="C240" s="82">
        <v>276.76</v>
      </c>
      <c r="D240" s="83">
        <v>276.45999999999998</v>
      </c>
      <c r="E240" s="83">
        <v>279.35000000000002</v>
      </c>
      <c r="F240" s="83">
        <v>275.3</v>
      </c>
      <c r="G240" s="83">
        <v>2943</v>
      </c>
      <c r="H240" s="85">
        <v>-5.1000000000000004E-3</v>
      </c>
      <c r="I240" s="97">
        <v>1.6000000000000001E-3</v>
      </c>
      <c r="J240" s="97">
        <f t="shared" si="3"/>
        <v>-6.7000000000000002E-3</v>
      </c>
    </row>
    <row r="241" spans="2:11">
      <c r="B241" s="84">
        <v>45429</v>
      </c>
      <c r="C241" s="82">
        <v>278.19</v>
      </c>
      <c r="D241" s="83">
        <v>277.29000000000002</v>
      </c>
      <c r="E241" s="83">
        <v>280.45999999999998</v>
      </c>
      <c r="F241" s="83">
        <v>274</v>
      </c>
      <c r="G241" s="83">
        <v>97645</v>
      </c>
      <c r="H241" s="85">
        <v>3.3E-3</v>
      </c>
      <c r="I241" s="97">
        <v>2.8E-3</v>
      </c>
      <c r="J241" s="97">
        <f t="shared" si="3"/>
        <v>5.0000000000000001E-4</v>
      </c>
    </row>
    <row r="242" spans="2:11">
      <c r="B242" s="84">
        <v>45428</v>
      </c>
      <c r="C242" s="82">
        <v>277.27999999999997</v>
      </c>
      <c r="D242" s="83">
        <v>275.11</v>
      </c>
      <c r="E242" s="83">
        <v>279.60000000000002</v>
      </c>
      <c r="F242" s="83">
        <v>274.38</v>
      </c>
      <c r="G242" s="83">
        <v>20485</v>
      </c>
      <c r="H242" s="85">
        <v>8.6999999999999994E-3</v>
      </c>
      <c r="I242" s="97">
        <v>9.1999999999999998E-3</v>
      </c>
      <c r="J242" s="97">
        <f t="shared" si="3"/>
        <v>-5.0000000000000044E-4</v>
      </c>
    </row>
    <row r="243" spans="2:11">
      <c r="B243" s="84">
        <v>45427</v>
      </c>
      <c r="C243" s="82">
        <v>274.89</v>
      </c>
      <c r="D243" s="83">
        <v>277.60000000000002</v>
      </c>
      <c r="E243" s="83">
        <v>281</v>
      </c>
      <c r="F243" s="83">
        <v>271.8</v>
      </c>
      <c r="G243" s="83">
        <v>220442</v>
      </c>
      <c r="H243" s="85">
        <v>-7.1999999999999998E-3</v>
      </c>
      <c r="I243" s="97">
        <v>-8.0000000000000004E-4</v>
      </c>
      <c r="J243" s="97">
        <f t="shared" si="3"/>
        <v>-6.3999999999999994E-3</v>
      </c>
    </row>
    <row r="244" spans="2:11">
      <c r="B244" s="84">
        <v>45426</v>
      </c>
      <c r="C244" s="82">
        <v>276.88</v>
      </c>
      <c r="D244" s="83">
        <v>275.33</v>
      </c>
      <c r="E244" s="83">
        <v>278.02</v>
      </c>
      <c r="F244" s="83">
        <v>274.88</v>
      </c>
      <c r="G244" s="83">
        <v>31616</v>
      </c>
      <c r="H244" s="85">
        <v>6.1999999999999998E-3</v>
      </c>
      <c r="I244" s="97">
        <v>5.1000000000000004E-3</v>
      </c>
      <c r="J244" s="97">
        <f t="shared" si="3"/>
        <v>1.0999999999999994E-3</v>
      </c>
    </row>
    <row r="245" spans="2:11">
      <c r="B245" s="84">
        <v>45425</v>
      </c>
      <c r="C245" s="82">
        <v>275.17</v>
      </c>
      <c r="D245" s="83">
        <v>277.06</v>
      </c>
      <c r="E245" s="83">
        <v>281.39999999999998</v>
      </c>
      <c r="F245" s="83">
        <v>270.02</v>
      </c>
      <c r="G245" s="83">
        <v>251930</v>
      </c>
      <c r="H245" s="85">
        <v>-2.9100000000000001E-2</v>
      </c>
      <c r="I245" s="97">
        <v>2.2000000000000001E-3</v>
      </c>
      <c r="J245" s="97">
        <f t="shared" si="3"/>
        <v>-3.1300000000000001E-2</v>
      </c>
    </row>
    <row r="246" spans="2:11">
      <c r="B246" s="84">
        <v>45422</v>
      </c>
      <c r="C246" s="82">
        <v>283.43</v>
      </c>
      <c r="D246" s="83">
        <v>275.58999999999997</v>
      </c>
      <c r="E246" s="83">
        <v>287.13</v>
      </c>
      <c r="F246" s="83">
        <v>264.8</v>
      </c>
      <c r="G246" s="83">
        <v>209200</v>
      </c>
      <c r="H246" s="85">
        <v>3.5200000000000002E-2</v>
      </c>
      <c r="I246" s="97">
        <v>4.4000000000000003E-3</v>
      </c>
      <c r="J246" s="97">
        <f t="shared" si="3"/>
        <v>3.0800000000000001E-2</v>
      </c>
    </row>
    <row r="247" spans="2:11">
      <c r="B247" s="84">
        <v>45421</v>
      </c>
      <c r="C247" s="82">
        <v>273.77999999999997</v>
      </c>
      <c r="D247" s="83">
        <v>281.58999999999997</v>
      </c>
      <c r="E247" s="83">
        <v>281.58999999999997</v>
      </c>
      <c r="F247" s="83">
        <v>272.01</v>
      </c>
      <c r="G247" s="83">
        <v>220799</v>
      </c>
      <c r="H247" s="85">
        <v>-2.6499999999999999E-2</v>
      </c>
      <c r="I247" s="97">
        <v>-1.55E-2</v>
      </c>
      <c r="J247" s="97">
        <f t="shared" si="3"/>
        <v>-1.0999999999999999E-2</v>
      </c>
    </row>
    <row r="248" spans="2:11">
      <c r="B248" s="84">
        <v>45420</v>
      </c>
      <c r="C248" s="82">
        <v>281.23</v>
      </c>
      <c r="D248" s="83">
        <v>282.55</v>
      </c>
      <c r="E248" s="83">
        <v>284.2</v>
      </c>
      <c r="F248" s="83">
        <v>278</v>
      </c>
      <c r="G248" s="83">
        <v>43369</v>
      </c>
      <c r="H248" s="85">
        <v>-4.7000000000000002E-3</v>
      </c>
      <c r="I248" s="97">
        <v>0</v>
      </c>
      <c r="J248" s="97">
        <f t="shared" si="3"/>
        <v>-4.7000000000000002E-3</v>
      </c>
    </row>
    <row r="249" spans="2:11">
      <c r="B249" s="84">
        <v>45419</v>
      </c>
      <c r="C249" s="82">
        <v>282.55</v>
      </c>
      <c r="D249" s="83">
        <v>279.19</v>
      </c>
      <c r="E249" s="83">
        <v>284.75</v>
      </c>
      <c r="F249" s="83">
        <v>277.14999999999998</v>
      </c>
      <c r="G249" s="83">
        <v>35711</v>
      </c>
      <c r="H249" s="85">
        <v>1.23E-2</v>
      </c>
      <c r="I249" s="97">
        <v>-6.1999999999999998E-3</v>
      </c>
      <c r="J249" s="97">
        <f t="shared" si="3"/>
        <v>1.8499999999999999E-2</v>
      </c>
    </row>
    <row r="250" spans="2:11">
      <c r="B250" s="84">
        <v>45418</v>
      </c>
      <c r="C250" s="82">
        <v>279.11</v>
      </c>
      <c r="D250" s="83">
        <v>282.97000000000003</v>
      </c>
      <c r="E250" s="83">
        <v>283.19</v>
      </c>
      <c r="F250" s="83">
        <v>276.98</v>
      </c>
      <c r="G250" s="83">
        <v>36566</v>
      </c>
      <c r="H250" s="85">
        <v>-1.3100000000000001E-2</v>
      </c>
      <c r="I250" s="97">
        <v>-1.5E-3</v>
      </c>
      <c r="J250" s="97">
        <f t="shared" si="3"/>
        <v>-1.1600000000000001E-2</v>
      </c>
    </row>
    <row r="251" spans="2:11">
      <c r="B251" s="84">
        <v>45415</v>
      </c>
      <c r="C251" s="82">
        <v>282.82</v>
      </c>
      <c r="D251" s="83">
        <v>281.26</v>
      </c>
      <c r="E251" s="83">
        <v>284.77</v>
      </c>
      <c r="F251" s="83">
        <v>277.2</v>
      </c>
      <c r="G251" s="83">
        <v>99927</v>
      </c>
      <c r="H251" s="85">
        <v>3.5999999999999999E-3</v>
      </c>
      <c r="I251" s="97">
        <v>-7.6E-3</v>
      </c>
      <c r="J251" s="97">
        <f t="shared" si="3"/>
        <v>1.12E-2</v>
      </c>
    </row>
    <row r="252" spans="2:11">
      <c r="B252" s="84">
        <v>45414</v>
      </c>
      <c r="C252" s="82">
        <v>281.8</v>
      </c>
      <c r="D252" s="83">
        <v>284.95999999999998</v>
      </c>
      <c r="E252" s="83">
        <v>285.02</v>
      </c>
      <c r="F252" s="83">
        <v>278.81</v>
      </c>
      <c r="G252" s="83">
        <v>54876</v>
      </c>
      <c r="H252" s="85">
        <v>-9.7000000000000003E-3</v>
      </c>
      <c r="I252" s="97">
        <v>1.9E-3</v>
      </c>
      <c r="J252" s="97">
        <f t="shared" si="3"/>
        <v>-1.1600000000000001E-2</v>
      </c>
    </row>
    <row r="253" spans="2:11">
      <c r="B253" s="84">
        <v>45412</v>
      </c>
      <c r="C253" s="82">
        <v>284.56</v>
      </c>
      <c r="D253" s="83">
        <v>273.60000000000002</v>
      </c>
      <c r="E253" s="83">
        <v>287.12</v>
      </c>
      <c r="F253" s="83">
        <v>273.02</v>
      </c>
      <c r="G253" s="83">
        <v>236309</v>
      </c>
      <c r="H253" s="85">
        <v>5.0500000000000003E-2</v>
      </c>
      <c r="I253" s="97">
        <v>-1.6999999999999999E-3</v>
      </c>
      <c r="J253" s="97">
        <f t="shared" si="3"/>
        <v>5.2200000000000003E-2</v>
      </c>
      <c r="K253" s="87"/>
    </row>
    <row r="254" spans="2:11">
      <c r="B254" s="84">
        <v>45411</v>
      </c>
      <c r="C254" s="82">
        <v>270.89</v>
      </c>
      <c r="D254" s="83">
        <v>268.02</v>
      </c>
      <c r="E254" s="83">
        <v>275.77</v>
      </c>
      <c r="F254" s="83">
        <v>259.31</v>
      </c>
      <c r="G254" s="83">
        <v>491594</v>
      </c>
      <c r="H254" s="85">
        <v>-1.5E-3</v>
      </c>
      <c r="I254" s="97">
        <v>0.01</v>
      </c>
      <c r="J254" s="97">
        <f t="shared" si="3"/>
        <v>-1.15E-2</v>
      </c>
    </row>
    <row r="255" spans="2:11">
      <c r="B255" s="84">
        <v>45408</v>
      </c>
      <c r="C255" s="82">
        <v>271.3</v>
      </c>
      <c r="D255" s="83">
        <v>275.81</v>
      </c>
      <c r="E255" s="83">
        <v>282.2</v>
      </c>
      <c r="F255" s="83">
        <v>269.93</v>
      </c>
      <c r="G255" s="83">
        <v>149837</v>
      </c>
      <c r="H255" s="85">
        <v>-1.6299999999999999E-2</v>
      </c>
      <c r="I255" s="97">
        <v>-6.7000000000000002E-3</v>
      </c>
      <c r="J255" s="97">
        <f t="shared" si="3"/>
        <v>-9.5999999999999974E-3</v>
      </c>
    </row>
    <row r="256" spans="2:11">
      <c r="B256" s="84">
        <v>45407</v>
      </c>
      <c r="C256" s="82">
        <v>275.8</v>
      </c>
      <c r="D256" s="83">
        <v>279.99</v>
      </c>
      <c r="E256" s="83">
        <v>281.95999999999998</v>
      </c>
      <c r="F256" s="83">
        <v>274.48</v>
      </c>
      <c r="G256" s="83">
        <v>129049</v>
      </c>
      <c r="H256" s="85">
        <v>-1.43E-2</v>
      </c>
      <c r="I256" s="97">
        <v>7.4999999999999997E-3</v>
      </c>
      <c r="J256" s="97">
        <f t="shared" si="3"/>
        <v>-2.18E-2</v>
      </c>
    </row>
    <row r="257" spans="2:10">
      <c r="B257" s="84">
        <v>45406</v>
      </c>
      <c r="C257" s="82">
        <v>279.81</v>
      </c>
      <c r="D257" s="83">
        <v>282</v>
      </c>
      <c r="E257" s="83">
        <v>284</v>
      </c>
      <c r="F257" s="83">
        <v>277.95</v>
      </c>
      <c r="G257" s="83">
        <v>102276</v>
      </c>
      <c r="H257" s="85">
        <v>-9.1999999999999998E-3</v>
      </c>
      <c r="I257" s="97">
        <v>1.5E-3</v>
      </c>
      <c r="J257" s="97">
        <f t="shared" si="3"/>
        <v>-1.0699999999999999E-2</v>
      </c>
    </row>
    <row r="258" spans="2:10">
      <c r="B258" s="84">
        <v>45405</v>
      </c>
      <c r="C258" s="82">
        <v>282.39999999999998</v>
      </c>
      <c r="D258" s="83">
        <v>294.77999999999997</v>
      </c>
      <c r="E258" s="83">
        <v>295.43</v>
      </c>
      <c r="F258" s="83">
        <v>280.8</v>
      </c>
      <c r="G258" s="83">
        <v>137389</v>
      </c>
      <c r="H258" s="85">
        <v>-4.1399999999999999E-2</v>
      </c>
      <c r="I258" s="97">
        <v>1.4E-3</v>
      </c>
      <c r="J258" s="97">
        <f t="shared" si="3"/>
        <v>-4.2799999999999998E-2</v>
      </c>
    </row>
    <row r="259" spans="2:10">
      <c r="B259" s="84">
        <v>45404</v>
      </c>
      <c r="C259" s="82">
        <v>294.61</v>
      </c>
      <c r="D259" s="83">
        <v>298.2</v>
      </c>
      <c r="E259" s="83">
        <v>299.79000000000002</v>
      </c>
      <c r="F259" s="83">
        <v>292.76</v>
      </c>
      <c r="G259" s="83">
        <v>226002</v>
      </c>
      <c r="H259" s="85">
        <v>-3.8999999999999998E-3</v>
      </c>
      <c r="I259" s="97">
        <v>8.6E-3</v>
      </c>
      <c r="J259" s="97">
        <f t="shared" si="3"/>
        <v>-1.2500000000000001E-2</v>
      </c>
    </row>
    <row r="260" spans="2:10">
      <c r="B260" s="84">
        <v>45401</v>
      </c>
      <c r="C260" s="82">
        <v>295.75</v>
      </c>
      <c r="D260" s="83">
        <v>296</v>
      </c>
      <c r="E260" s="83">
        <v>298.2</v>
      </c>
      <c r="F260" s="83">
        <v>291</v>
      </c>
      <c r="G260" s="83">
        <v>48245</v>
      </c>
      <c r="H260" s="85">
        <v>-1.5100000000000001E-2</v>
      </c>
      <c r="I260" s="97">
        <v>6.8999999999999999E-3</v>
      </c>
      <c r="J260" s="97">
        <f t="shared" si="3"/>
        <v>-2.1999999999999999E-2</v>
      </c>
    </row>
    <row r="261" spans="2:10">
      <c r="B261" s="84">
        <v>45400</v>
      </c>
      <c r="C261" s="82">
        <v>300.29000000000002</v>
      </c>
      <c r="D261" s="83">
        <v>302</v>
      </c>
      <c r="E261" s="83">
        <v>308.8</v>
      </c>
      <c r="F261" s="83">
        <v>292.60000000000002</v>
      </c>
      <c r="G261" s="83">
        <v>227770</v>
      </c>
      <c r="H261" s="85">
        <v>1.8E-3</v>
      </c>
      <c r="I261" s="97">
        <v>-6.8999999999999999E-3</v>
      </c>
      <c r="J261" s="97">
        <f t="shared" si="3"/>
        <v>8.6999999999999994E-3</v>
      </c>
    </row>
    <row r="262" spans="2:10">
      <c r="B262" s="84">
        <v>45398</v>
      </c>
      <c r="C262" s="82">
        <v>299.76</v>
      </c>
      <c r="D262" s="83">
        <v>299.89</v>
      </c>
      <c r="E262" s="83">
        <v>306.55</v>
      </c>
      <c r="F262" s="83">
        <v>298.63</v>
      </c>
      <c r="G262" s="83">
        <v>224282</v>
      </c>
      <c r="H262" s="85">
        <v>-4.0000000000000002E-4</v>
      </c>
      <c r="I262" s="97">
        <v>-5.5999999999999999E-3</v>
      </c>
      <c r="J262" s="97">
        <f t="shared" si="3"/>
        <v>5.1999999999999998E-3</v>
      </c>
    </row>
    <row r="263" spans="2:10">
      <c r="B263" s="84">
        <v>45397</v>
      </c>
      <c r="C263" s="82">
        <v>299.89</v>
      </c>
      <c r="D263" s="83">
        <v>309.54000000000002</v>
      </c>
      <c r="E263" s="83">
        <v>312.89</v>
      </c>
      <c r="F263" s="83">
        <v>293.23</v>
      </c>
      <c r="G263" s="83">
        <v>358598</v>
      </c>
      <c r="H263" s="85">
        <v>-4.1000000000000002E-2</v>
      </c>
      <c r="I263" s="97">
        <v>-1.0999999999999999E-2</v>
      </c>
      <c r="J263" s="97">
        <f t="shared" si="3"/>
        <v>-3.0000000000000002E-2</v>
      </c>
    </row>
    <row r="264" spans="2:10">
      <c r="B264" s="84">
        <v>45394</v>
      </c>
      <c r="C264" s="82">
        <v>312.70999999999998</v>
      </c>
      <c r="D264" s="83">
        <v>304.74</v>
      </c>
      <c r="E264" s="83">
        <v>316.33</v>
      </c>
      <c r="F264" s="83">
        <v>302.88</v>
      </c>
      <c r="G264" s="83">
        <v>234958</v>
      </c>
      <c r="H264" s="85">
        <v>3.2500000000000001E-2</v>
      </c>
      <c r="I264" s="97">
        <v>-1.03E-2</v>
      </c>
      <c r="J264" s="97">
        <f t="shared" si="3"/>
        <v>4.2800000000000005E-2</v>
      </c>
    </row>
    <row r="265" spans="2:10">
      <c r="B265" s="84">
        <v>45392</v>
      </c>
      <c r="C265" s="82">
        <v>302.88</v>
      </c>
      <c r="D265" s="83">
        <v>308</v>
      </c>
      <c r="E265" s="83">
        <v>309.60000000000002</v>
      </c>
      <c r="F265" s="83">
        <v>302</v>
      </c>
      <c r="G265" s="83">
        <v>236737</v>
      </c>
      <c r="H265" s="85">
        <v>-9.1000000000000004E-3</v>
      </c>
      <c r="I265" s="97">
        <v>4.8999999999999998E-3</v>
      </c>
      <c r="J265" s="97">
        <f t="shared" si="3"/>
        <v>-1.4E-2</v>
      </c>
    </row>
    <row r="266" spans="2:10">
      <c r="B266" s="84">
        <v>45391</v>
      </c>
      <c r="C266" s="82">
        <v>305.64999999999998</v>
      </c>
      <c r="D266" s="83">
        <v>303.60000000000002</v>
      </c>
      <c r="E266" s="83">
        <v>309.98</v>
      </c>
      <c r="F266" s="83">
        <v>302.62</v>
      </c>
      <c r="G266" s="83">
        <v>160165</v>
      </c>
      <c r="H266" s="85">
        <v>1.21E-2</v>
      </c>
      <c r="I266" s="97">
        <v>-1E-3</v>
      </c>
      <c r="J266" s="97">
        <f t="shared" ref="J266:J329" si="4">H266-I266</f>
        <v>1.3100000000000001E-2</v>
      </c>
    </row>
    <row r="267" spans="2:10">
      <c r="B267" s="84">
        <v>45390</v>
      </c>
      <c r="C267" s="82">
        <v>302.01</v>
      </c>
      <c r="D267" s="83">
        <v>303</v>
      </c>
      <c r="E267" s="83">
        <v>308.5</v>
      </c>
      <c r="F267" s="83">
        <v>300.45</v>
      </c>
      <c r="G267" s="83">
        <v>36278</v>
      </c>
      <c r="H267" s="85">
        <v>-1.01E-2</v>
      </c>
      <c r="I267" s="97">
        <v>6.7999999999999996E-3</v>
      </c>
      <c r="J267" s="97">
        <f t="shared" si="4"/>
        <v>-1.6899999999999998E-2</v>
      </c>
    </row>
    <row r="268" spans="2:10">
      <c r="B268" s="84">
        <v>45387</v>
      </c>
      <c r="C268" s="82">
        <v>305.10000000000002</v>
      </c>
      <c r="D268" s="83">
        <v>299.58999999999997</v>
      </c>
      <c r="E268" s="83">
        <v>309.17</v>
      </c>
      <c r="F268" s="83">
        <v>299.58999999999997</v>
      </c>
      <c r="G268" s="83">
        <v>113926</v>
      </c>
      <c r="H268" s="85">
        <v>0.02</v>
      </c>
      <c r="I268" s="97">
        <v>0</v>
      </c>
      <c r="J268" s="97">
        <f t="shared" si="4"/>
        <v>0.02</v>
      </c>
    </row>
    <row r="269" spans="2:10">
      <c r="B269" s="84">
        <v>45386</v>
      </c>
      <c r="C269" s="82">
        <v>299.13</v>
      </c>
      <c r="D269" s="83">
        <v>302.81</v>
      </c>
      <c r="E269" s="83">
        <v>308</v>
      </c>
      <c r="F269" s="83">
        <v>292.67</v>
      </c>
      <c r="G269" s="83">
        <v>112207</v>
      </c>
      <c r="H269" s="85">
        <v>-1.0200000000000001E-2</v>
      </c>
      <c r="I269" s="97">
        <v>3.5999999999999999E-3</v>
      </c>
      <c r="J269" s="97">
        <f t="shared" si="4"/>
        <v>-1.38E-2</v>
      </c>
    </row>
    <row r="270" spans="2:10">
      <c r="B270" s="84">
        <v>45385</v>
      </c>
      <c r="C270" s="82">
        <v>302.2</v>
      </c>
      <c r="D270" s="83">
        <v>311.77999999999997</v>
      </c>
      <c r="E270" s="83">
        <v>313</v>
      </c>
      <c r="F270" s="83">
        <v>301.19</v>
      </c>
      <c r="G270" s="83">
        <v>235877</v>
      </c>
      <c r="H270" s="85">
        <v>-2.8899999999999999E-2</v>
      </c>
      <c r="I270" s="97">
        <v>-8.0000000000000004E-4</v>
      </c>
      <c r="J270" s="97">
        <f t="shared" si="4"/>
        <v>-2.81E-2</v>
      </c>
    </row>
    <row r="271" spans="2:10">
      <c r="B271" s="84">
        <v>45384</v>
      </c>
      <c r="C271" s="82">
        <v>311.19</v>
      </c>
      <c r="D271" s="83">
        <v>322</v>
      </c>
      <c r="E271" s="83">
        <v>322.2</v>
      </c>
      <c r="F271" s="83">
        <v>310.10000000000002</v>
      </c>
      <c r="G271" s="83">
        <v>81033</v>
      </c>
      <c r="H271" s="85">
        <v>-2.7400000000000001E-2</v>
      </c>
      <c r="I271" s="97">
        <v>-4.0000000000000002E-4</v>
      </c>
      <c r="J271" s="97">
        <f t="shared" si="4"/>
        <v>-2.7E-2</v>
      </c>
    </row>
    <row r="272" spans="2:10">
      <c r="B272" s="84">
        <v>45383</v>
      </c>
      <c r="C272" s="82">
        <v>319.95999999999998</v>
      </c>
      <c r="D272" s="83">
        <v>316.52</v>
      </c>
      <c r="E272" s="83">
        <v>327.64999999999998</v>
      </c>
      <c r="F272" s="83">
        <v>316.39999999999998</v>
      </c>
      <c r="G272" s="83">
        <v>112193</v>
      </c>
      <c r="H272" s="85">
        <v>1.9699999999999999E-2</v>
      </c>
      <c r="I272" s="97">
        <v>6.1000000000000004E-3</v>
      </c>
      <c r="J272" s="97">
        <f t="shared" si="4"/>
        <v>1.3599999999999998E-2</v>
      </c>
    </row>
    <row r="273" spans="2:11">
      <c r="B273" s="84">
        <v>45379</v>
      </c>
      <c r="C273" s="82">
        <v>313.79000000000002</v>
      </c>
      <c r="D273" s="83">
        <v>318.45</v>
      </c>
      <c r="E273" s="83">
        <v>327</v>
      </c>
      <c r="F273" s="83">
        <v>310.82</v>
      </c>
      <c r="G273" s="83">
        <v>150293</v>
      </c>
      <c r="H273" s="85">
        <v>-2.1299999999999999E-2</v>
      </c>
      <c r="I273" s="97">
        <v>9.1999999999999998E-3</v>
      </c>
      <c r="J273" s="97">
        <f t="shared" si="4"/>
        <v>-3.0499999999999999E-2</v>
      </c>
    </row>
    <row r="274" spans="2:11">
      <c r="B274" s="84">
        <v>45378</v>
      </c>
      <c r="C274" s="82">
        <v>320.63</v>
      </c>
      <c r="D274" s="83">
        <v>318.2</v>
      </c>
      <c r="E274" s="83">
        <v>324.51</v>
      </c>
      <c r="F274" s="83">
        <v>306.37</v>
      </c>
      <c r="G274" s="83">
        <v>289262</v>
      </c>
      <c r="H274" s="85">
        <v>9.7000000000000003E-3</v>
      </c>
      <c r="I274" s="97">
        <v>5.4000000000000003E-3</v>
      </c>
      <c r="J274" s="97">
        <f t="shared" si="4"/>
        <v>4.3E-3</v>
      </c>
    </row>
    <row r="275" spans="2:11">
      <c r="B275" s="84">
        <v>45377</v>
      </c>
      <c r="C275" s="82">
        <v>317.55</v>
      </c>
      <c r="D275" s="83">
        <v>321.77999999999997</v>
      </c>
      <c r="E275" s="83">
        <v>327.93</v>
      </c>
      <c r="F275" s="83">
        <v>315.82</v>
      </c>
      <c r="G275" s="83">
        <v>274134</v>
      </c>
      <c r="H275" s="85">
        <v>-5.0000000000000001E-4</v>
      </c>
      <c r="I275" s="97">
        <v>-4.1999999999999997E-3</v>
      </c>
      <c r="J275" s="97">
        <f t="shared" si="4"/>
        <v>3.6999999999999997E-3</v>
      </c>
    </row>
    <row r="276" spans="2:11">
      <c r="B276" s="84">
        <v>45373</v>
      </c>
      <c r="C276" s="82">
        <v>317.7</v>
      </c>
      <c r="D276" s="83">
        <v>318</v>
      </c>
      <c r="E276" s="83">
        <v>336</v>
      </c>
      <c r="F276" s="83">
        <v>314.7</v>
      </c>
      <c r="G276" s="83">
        <v>751630</v>
      </c>
      <c r="H276" s="85">
        <v>3.3E-3</v>
      </c>
      <c r="I276" s="97">
        <v>3.8999999999999998E-3</v>
      </c>
      <c r="J276" s="97">
        <f t="shared" si="4"/>
        <v>-5.9999999999999984E-4</v>
      </c>
    </row>
    <row r="277" spans="2:11">
      <c r="B277" s="84">
        <v>45372</v>
      </c>
      <c r="C277" s="82">
        <v>316.64</v>
      </c>
      <c r="D277" s="83">
        <v>315.8</v>
      </c>
      <c r="E277" s="83">
        <v>323</v>
      </c>
      <c r="F277" s="83">
        <v>312.02999999999997</v>
      </c>
      <c r="G277" s="83">
        <v>276750</v>
      </c>
      <c r="H277" s="85">
        <v>1.9300000000000001E-2</v>
      </c>
      <c r="I277" s="97">
        <v>7.9000000000000008E-3</v>
      </c>
      <c r="J277" s="97">
        <f t="shared" si="4"/>
        <v>1.14E-2</v>
      </c>
    </row>
    <row r="278" spans="2:11">
      <c r="B278" s="84">
        <v>45371</v>
      </c>
      <c r="C278" s="82">
        <v>310.64999999999998</v>
      </c>
      <c r="D278" s="83">
        <v>303.60000000000002</v>
      </c>
      <c r="E278" s="83">
        <v>323.32</v>
      </c>
      <c r="F278" s="83">
        <v>303.60000000000002</v>
      </c>
      <c r="G278" s="83">
        <v>1240600</v>
      </c>
      <c r="H278" s="85">
        <v>2.2599999999999999E-2</v>
      </c>
      <c r="I278" s="97">
        <v>1E-3</v>
      </c>
      <c r="J278" s="97">
        <f t="shared" si="4"/>
        <v>2.1599999999999998E-2</v>
      </c>
    </row>
    <row r="279" spans="2:11">
      <c r="B279" s="84">
        <v>45370</v>
      </c>
      <c r="C279" s="82">
        <v>303.77</v>
      </c>
      <c r="D279" s="83">
        <v>291</v>
      </c>
      <c r="E279" s="83">
        <v>306</v>
      </c>
      <c r="F279" s="83">
        <v>290.64</v>
      </c>
      <c r="G279" s="83">
        <v>397939</v>
      </c>
      <c r="H279" s="85">
        <v>3.7400000000000003E-2</v>
      </c>
      <c r="I279" s="97">
        <v>-1.0800000000000001E-2</v>
      </c>
      <c r="J279" s="97">
        <f t="shared" si="4"/>
        <v>4.8200000000000007E-2</v>
      </c>
    </row>
    <row r="280" spans="2:11">
      <c r="B280" s="84">
        <v>45369</v>
      </c>
      <c r="C280" s="82">
        <v>292.81</v>
      </c>
      <c r="D280" s="83">
        <v>289.99</v>
      </c>
      <c r="E280" s="83">
        <v>297.83</v>
      </c>
      <c r="F280" s="83">
        <v>289.75</v>
      </c>
      <c r="G280" s="83">
        <v>74199</v>
      </c>
      <c r="H280" s="85">
        <v>1.6500000000000001E-2</v>
      </c>
      <c r="I280" s="97">
        <v>1.5E-3</v>
      </c>
      <c r="J280" s="97">
        <f t="shared" si="4"/>
        <v>1.5000000000000001E-2</v>
      </c>
    </row>
    <row r="281" spans="2:11">
      <c r="B281" s="84">
        <v>45366</v>
      </c>
      <c r="C281" s="82">
        <v>288.06</v>
      </c>
      <c r="D281" s="83">
        <v>275.86</v>
      </c>
      <c r="E281" s="83">
        <v>299.56</v>
      </c>
      <c r="F281" s="83">
        <v>271.49</v>
      </c>
      <c r="G281" s="83">
        <v>726422</v>
      </c>
      <c r="H281" s="85">
        <v>5.2299999999999999E-2</v>
      </c>
      <c r="I281" s="97">
        <v>-5.5999999999999999E-3</v>
      </c>
      <c r="J281" s="97">
        <f t="shared" si="4"/>
        <v>5.79E-2</v>
      </c>
      <c r="K281" s="87"/>
    </row>
    <row r="282" spans="2:11">
      <c r="B282" s="84">
        <v>45365</v>
      </c>
      <c r="C282" s="82">
        <v>273.75</v>
      </c>
      <c r="D282" s="83">
        <v>273.56</v>
      </c>
      <c r="E282" s="83">
        <v>280</v>
      </c>
      <c r="F282" s="83">
        <v>271.14</v>
      </c>
      <c r="G282" s="83">
        <v>123933</v>
      </c>
      <c r="H282" s="85">
        <v>-1.5900000000000001E-2</v>
      </c>
      <c r="I282" s="97">
        <v>6.7999999999999996E-3</v>
      </c>
      <c r="J282" s="97">
        <f t="shared" si="4"/>
        <v>-2.2700000000000001E-2</v>
      </c>
    </row>
    <row r="283" spans="2:11">
      <c r="B283" s="84">
        <v>45364</v>
      </c>
      <c r="C283" s="82">
        <v>278.18</v>
      </c>
      <c r="D283" s="83">
        <v>288.10000000000002</v>
      </c>
      <c r="E283" s="83">
        <v>298.08</v>
      </c>
      <c r="F283" s="83">
        <v>274.02999999999997</v>
      </c>
      <c r="G283" s="83">
        <v>217842</v>
      </c>
      <c r="H283" s="85">
        <v>-3.4099999999999998E-2</v>
      </c>
      <c r="I283" s="97">
        <v>-1.5100000000000001E-2</v>
      </c>
      <c r="J283" s="97">
        <f t="shared" si="4"/>
        <v>-1.8999999999999996E-2</v>
      </c>
    </row>
    <row r="284" spans="2:11">
      <c r="B284" s="84">
        <v>45363</v>
      </c>
      <c r="C284" s="82">
        <v>288.01</v>
      </c>
      <c r="D284" s="83">
        <v>296.3</v>
      </c>
      <c r="E284" s="83">
        <v>302.74</v>
      </c>
      <c r="F284" s="83">
        <v>285.04000000000002</v>
      </c>
      <c r="G284" s="83">
        <v>130918</v>
      </c>
      <c r="H284" s="85">
        <v>-3.2599999999999997E-2</v>
      </c>
      <c r="I284" s="97">
        <v>1E-4</v>
      </c>
      <c r="J284" s="97">
        <f t="shared" si="4"/>
        <v>-3.27E-2</v>
      </c>
    </row>
    <row r="285" spans="2:11">
      <c r="B285" s="84">
        <v>45362</v>
      </c>
      <c r="C285" s="82">
        <v>297.70999999999998</v>
      </c>
      <c r="D285" s="83">
        <v>304.67</v>
      </c>
      <c r="E285" s="83">
        <v>305</v>
      </c>
      <c r="F285" s="83">
        <v>292</v>
      </c>
      <c r="G285" s="83">
        <v>86683</v>
      </c>
      <c r="H285" s="85">
        <v>-8.2000000000000007E-3</v>
      </c>
      <c r="I285" s="97">
        <v>-7.1999999999999998E-3</v>
      </c>
      <c r="J285" s="97">
        <f t="shared" si="4"/>
        <v>-1.0000000000000009E-3</v>
      </c>
    </row>
    <row r="286" spans="2:11">
      <c r="B286" s="84">
        <v>45358</v>
      </c>
      <c r="C286" s="82">
        <v>300.18</v>
      </c>
      <c r="D286" s="83">
        <v>302.85000000000002</v>
      </c>
      <c r="E286" s="83">
        <v>305.5</v>
      </c>
      <c r="F286" s="83">
        <v>298.5</v>
      </c>
      <c r="G286" s="83">
        <v>430686</v>
      </c>
      <c r="H286" s="85">
        <v>1.1000000000000001E-3</v>
      </c>
      <c r="I286" s="97">
        <v>8.9999999999999998E-4</v>
      </c>
      <c r="J286" s="97">
        <f t="shared" si="4"/>
        <v>2.0000000000000009E-4</v>
      </c>
    </row>
    <row r="287" spans="2:11">
      <c r="B287" s="84">
        <v>45357</v>
      </c>
      <c r="C287" s="82">
        <v>299.83999999999997</v>
      </c>
      <c r="D287" s="83">
        <v>299.45999999999998</v>
      </c>
      <c r="E287" s="83">
        <v>305.04000000000002</v>
      </c>
      <c r="F287" s="83">
        <v>296</v>
      </c>
      <c r="G287" s="83">
        <v>147173</v>
      </c>
      <c r="H287" s="85">
        <v>1.2999999999999999E-3</v>
      </c>
      <c r="I287" s="97">
        <v>5.3E-3</v>
      </c>
      <c r="J287" s="97">
        <f t="shared" si="4"/>
        <v>-4.0000000000000001E-3</v>
      </c>
    </row>
    <row r="288" spans="2:11">
      <c r="B288" s="84">
        <v>45356</v>
      </c>
      <c r="C288" s="82">
        <v>299.45999999999998</v>
      </c>
      <c r="D288" s="83">
        <v>303.70999999999998</v>
      </c>
      <c r="E288" s="83">
        <v>304</v>
      </c>
      <c r="F288" s="83">
        <v>297.86</v>
      </c>
      <c r="G288" s="83">
        <v>30939</v>
      </c>
      <c r="H288" s="85">
        <v>-8.9999999999999993E-3</v>
      </c>
      <c r="I288" s="97">
        <v>-2.2000000000000001E-3</v>
      </c>
      <c r="J288" s="97">
        <f t="shared" si="4"/>
        <v>-6.7999999999999988E-3</v>
      </c>
    </row>
    <row r="289" spans="2:10">
      <c r="B289" s="84">
        <v>45355</v>
      </c>
      <c r="C289" s="82">
        <v>302.19</v>
      </c>
      <c r="D289" s="83">
        <v>303.2</v>
      </c>
      <c r="E289" s="83">
        <v>309.02999999999997</v>
      </c>
      <c r="F289" s="83">
        <v>299.47000000000003</v>
      </c>
      <c r="G289" s="83">
        <v>57959</v>
      </c>
      <c r="H289" s="85">
        <v>-5.0000000000000001E-4</v>
      </c>
      <c r="I289" s="97">
        <v>1.1999999999999999E-3</v>
      </c>
      <c r="J289" s="97">
        <f t="shared" si="4"/>
        <v>-1.6999999999999999E-3</v>
      </c>
    </row>
    <row r="290" spans="2:10">
      <c r="B290" s="84">
        <v>45353</v>
      </c>
      <c r="C290" s="82">
        <v>302.33</v>
      </c>
      <c r="D290" s="83">
        <v>301</v>
      </c>
      <c r="E290" s="83">
        <v>305.58999999999997</v>
      </c>
      <c r="F290" s="83">
        <v>300</v>
      </c>
      <c r="G290" s="83">
        <v>4696</v>
      </c>
      <c r="H290" s="85">
        <v>6.4000000000000003E-3</v>
      </c>
      <c r="I290" s="97">
        <v>1.8E-3</v>
      </c>
      <c r="J290" s="97">
        <f t="shared" si="4"/>
        <v>4.5999999999999999E-3</v>
      </c>
    </row>
    <row r="291" spans="2:10">
      <c r="B291" s="84">
        <v>45352</v>
      </c>
      <c r="C291" s="82">
        <v>300.41000000000003</v>
      </c>
      <c r="D291" s="83">
        <v>300.43</v>
      </c>
      <c r="E291" s="83">
        <v>306</v>
      </c>
      <c r="F291" s="83">
        <v>295.39999999999998</v>
      </c>
      <c r="G291" s="83">
        <v>186730</v>
      </c>
      <c r="H291" s="85">
        <v>-1E-4</v>
      </c>
      <c r="I291" s="97">
        <v>1.6199999999999999E-2</v>
      </c>
      <c r="J291" s="97">
        <f t="shared" si="4"/>
        <v>-1.6299999999999999E-2</v>
      </c>
    </row>
    <row r="292" spans="2:10">
      <c r="B292" s="84">
        <v>45351</v>
      </c>
      <c r="C292" s="82">
        <v>300.43</v>
      </c>
      <c r="D292" s="83">
        <v>298.89</v>
      </c>
      <c r="E292" s="83">
        <v>304.58999999999997</v>
      </c>
      <c r="F292" s="83">
        <v>292.39999999999998</v>
      </c>
      <c r="G292" s="83">
        <v>126328</v>
      </c>
      <c r="H292" s="85">
        <v>8.9999999999999998E-4</v>
      </c>
      <c r="I292" s="97">
        <v>1.4E-3</v>
      </c>
      <c r="J292" s="97">
        <f t="shared" si="4"/>
        <v>-5.0000000000000001E-4</v>
      </c>
    </row>
    <row r="293" spans="2:10">
      <c r="B293" s="84">
        <v>45350</v>
      </c>
      <c r="C293" s="82">
        <v>300.16000000000003</v>
      </c>
      <c r="D293" s="83">
        <v>302.67</v>
      </c>
      <c r="E293" s="83">
        <v>309.60000000000002</v>
      </c>
      <c r="F293" s="83">
        <v>297.04000000000002</v>
      </c>
      <c r="G293" s="83">
        <v>123304</v>
      </c>
      <c r="H293" s="85">
        <v>1.6000000000000001E-3</v>
      </c>
      <c r="I293" s="97">
        <v>-1.11E-2</v>
      </c>
      <c r="J293" s="97">
        <f t="shared" si="4"/>
        <v>1.2700000000000001E-2</v>
      </c>
    </row>
    <row r="294" spans="2:10">
      <c r="B294" s="84">
        <v>45349</v>
      </c>
      <c r="C294" s="82">
        <v>299.67</v>
      </c>
      <c r="D294" s="83">
        <v>297.01</v>
      </c>
      <c r="E294" s="83">
        <v>302.99</v>
      </c>
      <c r="F294" s="83">
        <v>297.01</v>
      </c>
      <c r="G294" s="83">
        <v>404174</v>
      </c>
      <c r="H294" s="85">
        <v>9.7999999999999997E-3</v>
      </c>
      <c r="I294" s="97">
        <v>3.3999999999999998E-3</v>
      </c>
      <c r="J294" s="97">
        <f t="shared" si="4"/>
        <v>6.3999999999999994E-3</v>
      </c>
    </row>
    <row r="295" spans="2:10">
      <c r="B295" s="84">
        <v>45348</v>
      </c>
      <c r="C295" s="82">
        <v>296.76</v>
      </c>
      <c r="D295" s="83">
        <v>302.01</v>
      </c>
      <c r="E295" s="83">
        <v>306.39999999999998</v>
      </c>
      <c r="F295" s="83">
        <v>295</v>
      </c>
      <c r="G295" s="83">
        <v>81821</v>
      </c>
      <c r="H295" s="85">
        <v>-1.54E-2</v>
      </c>
      <c r="I295" s="97">
        <v>-4.1000000000000003E-3</v>
      </c>
      <c r="J295" s="97">
        <f t="shared" si="4"/>
        <v>-1.1300000000000001E-2</v>
      </c>
    </row>
    <row r="296" spans="2:10">
      <c r="B296" s="84">
        <v>45345</v>
      </c>
      <c r="C296" s="82">
        <v>301.39999999999998</v>
      </c>
      <c r="D296" s="83">
        <v>290</v>
      </c>
      <c r="E296" s="83">
        <v>307.60000000000002</v>
      </c>
      <c r="F296" s="83">
        <v>288.77</v>
      </c>
      <c r="G296" s="83">
        <v>338139</v>
      </c>
      <c r="H296" s="85">
        <v>3.95E-2</v>
      </c>
      <c r="I296" s="97">
        <v>-2.0000000000000001E-4</v>
      </c>
      <c r="J296" s="97">
        <f t="shared" si="4"/>
        <v>3.9699999999999999E-2</v>
      </c>
    </row>
    <row r="297" spans="2:10">
      <c r="B297" s="84">
        <v>45344</v>
      </c>
      <c r="C297" s="82">
        <v>289.94</v>
      </c>
      <c r="D297" s="83">
        <v>290.91000000000003</v>
      </c>
      <c r="E297" s="83">
        <v>292.39999999999998</v>
      </c>
      <c r="F297" s="83">
        <v>279.44</v>
      </c>
      <c r="G297" s="83">
        <v>146771</v>
      </c>
      <c r="H297" s="85">
        <v>5.9999999999999995E-4</v>
      </c>
      <c r="I297" s="97">
        <v>7.4000000000000003E-3</v>
      </c>
      <c r="J297" s="97">
        <f t="shared" si="4"/>
        <v>-6.8000000000000005E-3</v>
      </c>
    </row>
    <row r="298" spans="2:10">
      <c r="B298" s="84">
        <v>45343</v>
      </c>
      <c r="C298" s="82">
        <v>289.77999999999997</v>
      </c>
      <c r="D298" s="83">
        <v>281</v>
      </c>
      <c r="E298" s="83">
        <v>291</v>
      </c>
      <c r="F298" s="83">
        <v>281</v>
      </c>
      <c r="G298" s="83">
        <v>119515</v>
      </c>
      <c r="H298" s="85">
        <v>2.9000000000000001E-2</v>
      </c>
      <c r="I298" s="97">
        <v>-6.4000000000000003E-3</v>
      </c>
      <c r="J298" s="97">
        <f t="shared" si="4"/>
        <v>3.5400000000000001E-2</v>
      </c>
    </row>
    <row r="299" spans="2:10">
      <c r="B299" s="84">
        <v>45342</v>
      </c>
      <c r="C299" s="82">
        <v>281.60000000000002</v>
      </c>
      <c r="D299" s="83">
        <v>273.33999999999997</v>
      </c>
      <c r="E299" s="83">
        <v>284.52999999999997</v>
      </c>
      <c r="F299" s="83">
        <v>272</v>
      </c>
      <c r="G299" s="83">
        <v>139836</v>
      </c>
      <c r="H299" s="85">
        <v>3.5299999999999998E-2</v>
      </c>
      <c r="I299" s="97">
        <v>3.3999999999999998E-3</v>
      </c>
      <c r="J299" s="97">
        <f t="shared" si="4"/>
        <v>3.1899999999999998E-2</v>
      </c>
    </row>
    <row r="300" spans="2:10">
      <c r="B300" s="84">
        <v>45341</v>
      </c>
      <c r="C300" s="82">
        <v>272</v>
      </c>
      <c r="D300" s="83">
        <v>274.99</v>
      </c>
      <c r="E300" s="83">
        <v>274.99</v>
      </c>
      <c r="F300" s="83">
        <v>270.16000000000003</v>
      </c>
      <c r="G300" s="83">
        <v>38844</v>
      </c>
      <c r="H300" s="85">
        <v>-7.4000000000000003E-3</v>
      </c>
      <c r="I300" s="97">
        <v>3.7000000000000002E-3</v>
      </c>
      <c r="J300" s="97">
        <f t="shared" si="4"/>
        <v>-1.11E-2</v>
      </c>
    </row>
    <row r="301" spans="2:10">
      <c r="B301" s="84">
        <v>45338</v>
      </c>
      <c r="C301" s="82">
        <v>274.02</v>
      </c>
      <c r="D301" s="83">
        <v>266.81</v>
      </c>
      <c r="E301" s="83">
        <v>275.76</v>
      </c>
      <c r="F301" s="83">
        <v>266.81</v>
      </c>
      <c r="G301" s="83">
        <v>79085</v>
      </c>
      <c r="H301" s="85">
        <v>2.2499999999999999E-2</v>
      </c>
      <c r="I301" s="97">
        <v>5.8999999999999999E-3</v>
      </c>
      <c r="J301" s="97">
        <f t="shared" si="4"/>
        <v>1.66E-2</v>
      </c>
    </row>
    <row r="302" spans="2:10">
      <c r="B302" s="84">
        <v>45337</v>
      </c>
      <c r="C302" s="82">
        <v>267.99</v>
      </c>
      <c r="D302" s="83">
        <v>271.60000000000002</v>
      </c>
      <c r="E302" s="83">
        <v>271.60000000000002</v>
      </c>
      <c r="F302" s="83">
        <v>265.8</v>
      </c>
      <c r="G302" s="83">
        <v>94777</v>
      </c>
      <c r="H302" s="85">
        <v>-1.3599999999999999E-2</v>
      </c>
      <c r="I302" s="97">
        <v>3.2000000000000002E-3</v>
      </c>
      <c r="J302" s="97">
        <f t="shared" si="4"/>
        <v>-1.6799999999999999E-2</v>
      </c>
    </row>
    <row r="303" spans="2:10">
      <c r="B303" s="84">
        <v>45336</v>
      </c>
      <c r="C303" s="82">
        <v>271.68</v>
      </c>
      <c r="D303" s="83">
        <v>272.81</v>
      </c>
      <c r="E303" s="83">
        <v>275.79000000000002</v>
      </c>
      <c r="F303" s="83">
        <v>265.87</v>
      </c>
      <c r="G303" s="83">
        <v>209631</v>
      </c>
      <c r="H303" s="85">
        <v>-2.8E-3</v>
      </c>
      <c r="I303" s="97">
        <v>4.4999999999999997E-3</v>
      </c>
      <c r="J303" s="97">
        <f t="shared" si="4"/>
        <v>-7.2999999999999992E-3</v>
      </c>
    </row>
    <row r="304" spans="2:10">
      <c r="B304" s="84">
        <v>45335</v>
      </c>
      <c r="C304" s="82">
        <v>272.45</v>
      </c>
      <c r="D304" s="83">
        <v>275.27</v>
      </c>
      <c r="E304" s="83">
        <v>275.27</v>
      </c>
      <c r="F304" s="83">
        <v>267.95999999999998</v>
      </c>
      <c r="G304" s="83">
        <v>556962</v>
      </c>
      <c r="H304" s="85">
        <v>-1.0200000000000001E-2</v>
      </c>
      <c r="I304" s="97">
        <v>5.8999999999999999E-3</v>
      </c>
      <c r="J304" s="97">
        <f t="shared" si="4"/>
        <v>-1.61E-2</v>
      </c>
    </row>
    <row r="305" spans="2:10">
      <c r="B305" s="84">
        <v>45334</v>
      </c>
      <c r="C305" s="82">
        <v>275.27</v>
      </c>
      <c r="D305" s="83">
        <v>276</v>
      </c>
      <c r="E305" s="83">
        <v>277.66000000000003</v>
      </c>
      <c r="F305" s="83">
        <v>270.58999999999997</v>
      </c>
      <c r="G305" s="83">
        <v>28830</v>
      </c>
      <c r="H305" s="85">
        <v>-2.2000000000000001E-3</v>
      </c>
      <c r="I305" s="97">
        <v>-7.6E-3</v>
      </c>
      <c r="J305" s="97">
        <f t="shared" si="4"/>
        <v>5.4000000000000003E-3</v>
      </c>
    </row>
    <row r="306" spans="2:10">
      <c r="B306" s="84">
        <v>45331</v>
      </c>
      <c r="C306" s="82">
        <v>275.89</v>
      </c>
      <c r="D306" s="83">
        <v>274.01</v>
      </c>
      <c r="E306" s="83">
        <v>283.16000000000003</v>
      </c>
      <c r="F306" s="83">
        <v>270.2</v>
      </c>
      <c r="G306" s="83">
        <v>261600</v>
      </c>
      <c r="H306" s="85">
        <v>0.01</v>
      </c>
      <c r="I306" s="97">
        <v>3.0000000000000001E-3</v>
      </c>
      <c r="J306" s="97">
        <f t="shared" si="4"/>
        <v>7.0000000000000001E-3</v>
      </c>
    </row>
    <row r="307" spans="2:10">
      <c r="B307" s="84">
        <v>45330</v>
      </c>
      <c r="C307" s="82">
        <v>273.17</v>
      </c>
      <c r="D307" s="83">
        <v>273.82</v>
      </c>
      <c r="E307" s="83">
        <v>276.60000000000002</v>
      </c>
      <c r="F307" s="83">
        <v>270.39999999999998</v>
      </c>
      <c r="G307" s="83">
        <v>207947</v>
      </c>
      <c r="H307" s="85">
        <v>-7.1999999999999998E-3</v>
      </c>
      <c r="I307" s="97">
        <v>-9.7000000000000003E-3</v>
      </c>
      <c r="J307" s="97">
        <f t="shared" si="4"/>
        <v>2.5000000000000005E-3</v>
      </c>
    </row>
    <row r="308" spans="2:10">
      <c r="B308" s="84">
        <v>45329</v>
      </c>
      <c r="C308" s="82">
        <v>275.16000000000003</v>
      </c>
      <c r="D308" s="83">
        <v>283.99</v>
      </c>
      <c r="E308" s="83">
        <v>285.75</v>
      </c>
      <c r="F308" s="83">
        <v>273.01</v>
      </c>
      <c r="G308" s="83">
        <v>144391</v>
      </c>
      <c r="H308" s="85">
        <v>-2.35E-2</v>
      </c>
      <c r="I308" s="97">
        <v>1E-4</v>
      </c>
      <c r="J308" s="97">
        <f t="shared" si="4"/>
        <v>-2.3599999999999999E-2</v>
      </c>
    </row>
    <row r="309" spans="2:10">
      <c r="B309" s="84">
        <v>45328</v>
      </c>
      <c r="C309" s="82">
        <v>281.79000000000002</v>
      </c>
      <c r="D309" s="83">
        <v>282</v>
      </c>
      <c r="E309" s="83">
        <v>288.8</v>
      </c>
      <c r="F309" s="83">
        <v>279.08</v>
      </c>
      <c r="G309" s="83">
        <v>186817</v>
      </c>
      <c r="H309" s="85">
        <v>5.5999999999999999E-3</v>
      </c>
      <c r="I309" s="97">
        <v>7.1999999999999998E-3</v>
      </c>
      <c r="J309" s="97">
        <f t="shared" si="4"/>
        <v>-1.5999999999999999E-3</v>
      </c>
    </row>
    <row r="310" spans="2:10">
      <c r="B310" s="84">
        <v>45327</v>
      </c>
      <c r="C310" s="82">
        <v>280.23</v>
      </c>
      <c r="D310" s="83">
        <v>284.07</v>
      </c>
      <c r="E310" s="83">
        <v>284.07</v>
      </c>
      <c r="F310" s="83">
        <v>277.58999999999997</v>
      </c>
      <c r="G310" s="83">
        <v>114736</v>
      </c>
      <c r="H310" s="85">
        <v>-8.8000000000000005E-3</v>
      </c>
      <c r="I310" s="97">
        <v>-3.8E-3</v>
      </c>
      <c r="J310" s="97">
        <f t="shared" si="4"/>
        <v>-5.000000000000001E-3</v>
      </c>
    </row>
    <row r="311" spans="2:10">
      <c r="B311" s="84">
        <v>45324</v>
      </c>
      <c r="C311" s="82">
        <v>282.72000000000003</v>
      </c>
      <c r="D311" s="83">
        <v>288.11</v>
      </c>
      <c r="E311" s="83">
        <v>295</v>
      </c>
      <c r="F311" s="83">
        <v>281.52</v>
      </c>
      <c r="G311" s="83">
        <v>30624</v>
      </c>
      <c r="H311" s="85">
        <v>-1.9599999999999999E-2</v>
      </c>
      <c r="I311" s="97">
        <v>7.1999999999999998E-3</v>
      </c>
      <c r="J311" s="97">
        <f t="shared" si="4"/>
        <v>-2.6799999999999997E-2</v>
      </c>
    </row>
    <row r="312" spans="2:10">
      <c r="B312" s="84">
        <v>45323</v>
      </c>
      <c r="C312" s="82">
        <v>288.36</v>
      </c>
      <c r="D312" s="83">
        <v>290.11</v>
      </c>
      <c r="E312" s="83">
        <v>295</v>
      </c>
      <c r="F312" s="83">
        <v>285.97000000000003</v>
      </c>
      <c r="G312" s="83">
        <v>34583</v>
      </c>
      <c r="H312" s="85">
        <v>-6.0000000000000001E-3</v>
      </c>
      <c r="I312" s="97">
        <v>-1.2999999999999999E-3</v>
      </c>
      <c r="J312" s="97">
        <f t="shared" si="4"/>
        <v>-4.7000000000000002E-3</v>
      </c>
    </row>
    <row r="313" spans="2:10">
      <c r="B313" s="84">
        <v>45322</v>
      </c>
      <c r="C313" s="82">
        <v>290.11</v>
      </c>
      <c r="D313" s="83">
        <v>287.33999999999997</v>
      </c>
      <c r="E313" s="83">
        <v>295</v>
      </c>
      <c r="F313" s="83">
        <v>287.33999999999997</v>
      </c>
      <c r="G313" s="83">
        <v>65515</v>
      </c>
      <c r="H313" s="85">
        <v>1.1299999999999999E-2</v>
      </c>
      <c r="I313" s="97">
        <v>9.4999999999999998E-3</v>
      </c>
      <c r="J313" s="97">
        <f t="shared" si="4"/>
        <v>1.7999999999999995E-3</v>
      </c>
    </row>
    <row r="314" spans="2:10">
      <c r="B314" s="84">
        <v>45321</v>
      </c>
      <c r="C314" s="82">
        <v>286.87</v>
      </c>
      <c r="D314" s="83">
        <v>285.60000000000002</v>
      </c>
      <c r="E314" s="83">
        <v>290.92</v>
      </c>
      <c r="F314" s="83">
        <v>282.39999999999998</v>
      </c>
      <c r="G314" s="83">
        <v>131605</v>
      </c>
      <c r="H314" s="85">
        <v>5.7999999999999996E-3</v>
      </c>
      <c r="I314" s="97">
        <v>-9.9000000000000008E-3</v>
      </c>
      <c r="J314" s="97">
        <f t="shared" si="4"/>
        <v>1.5699999999999999E-2</v>
      </c>
    </row>
    <row r="315" spans="2:10">
      <c r="B315" s="84">
        <v>45320</v>
      </c>
      <c r="C315" s="82">
        <v>285.22000000000003</v>
      </c>
      <c r="D315" s="83">
        <v>286.39999999999998</v>
      </c>
      <c r="E315" s="83">
        <v>287.02999999999997</v>
      </c>
      <c r="F315" s="83">
        <v>284.02</v>
      </c>
      <c r="G315" s="83">
        <v>54113</v>
      </c>
      <c r="H315" s="85">
        <v>8.9999999999999998E-4</v>
      </c>
      <c r="I315" s="97">
        <v>1.7999999999999999E-2</v>
      </c>
      <c r="J315" s="97">
        <f t="shared" si="4"/>
        <v>-1.7099999999999997E-2</v>
      </c>
    </row>
    <row r="316" spans="2:10">
      <c r="B316" s="84">
        <v>45316</v>
      </c>
      <c r="C316" s="82">
        <v>284.97000000000003</v>
      </c>
      <c r="D316" s="83">
        <v>287.60000000000002</v>
      </c>
      <c r="E316" s="83">
        <v>288.97000000000003</v>
      </c>
      <c r="F316" s="83">
        <v>284</v>
      </c>
      <c r="G316" s="83">
        <v>26167</v>
      </c>
      <c r="H316" s="85">
        <v>-9.7999999999999997E-3</v>
      </c>
      <c r="I316" s="97">
        <v>-4.7000000000000002E-3</v>
      </c>
      <c r="J316" s="97">
        <f t="shared" si="4"/>
        <v>-5.0999999999999995E-3</v>
      </c>
    </row>
    <row r="317" spans="2:10">
      <c r="B317" s="84">
        <v>45315</v>
      </c>
      <c r="C317" s="82">
        <v>287.77999999999997</v>
      </c>
      <c r="D317" s="83">
        <v>285.31</v>
      </c>
      <c r="E317" s="83">
        <v>295</v>
      </c>
      <c r="F317" s="83">
        <v>281.06</v>
      </c>
      <c r="G317" s="83">
        <v>85007</v>
      </c>
      <c r="H317" s="85">
        <v>8.6999999999999994E-3</v>
      </c>
      <c r="I317" s="97">
        <v>1.01E-2</v>
      </c>
      <c r="J317" s="97">
        <f t="shared" si="4"/>
        <v>-1.4000000000000002E-3</v>
      </c>
    </row>
    <row r="318" spans="2:10">
      <c r="B318" s="84">
        <v>45314</v>
      </c>
      <c r="C318" s="82">
        <v>285.31</v>
      </c>
      <c r="D318" s="83">
        <v>294.39</v>
      </c>
      <c r="E318" s="83">
        <v>301.99</v>
      </c>
      <c r="F318" s="83">
        <v>282.16000000000003</v>
      </c>
      <c r="G318" s="83">
        <v>92507</v>
      </c>
      <c r="H318" s="85">
        <v>-3.0800000000000001E-2</v>
      </c>
      <c r="I318" s="97">
        <v>-1.54E-2</v>
      </c>
      <c r="J318" s="97">
        <f t="shared" si="4"/>
        <v>-1.54E-2</v>
      </c>
    </row>
    <row r="319" spans="2:10">
      <c r="B319" s="84">
        <v>45311</v>
      </c>
      <c r="C319" s="82">
        <v>294.38</v>
      </c>
      <c r="D319" s="83">
        <v>286.52999999999997</v>
      </c>
      <c r="E319" s="83">
        <v>299.7</v>
      </c>
      <c r="F319" s="83">
        <v>284.39999999999998</v>
      </c>
      <c r="G319" s="83">
        <v>114954</v>
      </c>
      <c r="H319" s="85">
        <v>3.3599999999999998E-2</v>
      </c>
      <c r="I319" s="97">
        <v>-2.3E-3</v>
      </c>
      <c r="J319" s="97">
        <f t="shared" si="4"/>
        <v>3.5900000000000001E-2</v>
      </c>
    </row>
    <row r="320" spans="2:10">
      <c r="B320" s="84">
        <v>45310</v>
      </c>
      <c r="C320" s="82">
        <v>284.81</v>
      </c>
      <c r="D320" s="83">
        <v>284.2</v>
      </c>
      <c r="E320" s="83">
        <v>285.56</v>
      </c>
      <c r="F320" s="83">
        <v>283</v>
      </c>
      <c r="G320" s="83">
        <v>12001</v>
      </c>
      <c r="H320" s="85">
        <v>1.17E-2</v>
      </c>
      <c r="I320" s="97">
        <v>7.4999999999999997E-3</v>
      </c>
      <c r="J320" s="97">
        <f t="shared" si="4"/>
        <v>4.2000000000000006E-3</v>
      </c>
    </row>
    <row r="321" spans="2:10">
      <c r="B321" s="84">
        <v>45309</v>
      </c>
      <c r="C321" s="82">
        <v>281.52999999999997</v>
      </c>
      <c r="D321" s="83">
        <v>282.2</v>
      </c>
      <c r="E321" s="83">
        <v>284.83999999999997</v>
      </c>
      <c r="F321" s="83">
        <v>280.39999999999998</v>
      </c>
      <c r="G321" s="83">
        <v>34669</v>
      </c>
      <c r="H321" s="85">
        <v>-5.1999999999999998E-3</v>
      </c>
      <c r="I321" s="97">
        <v>-5.1000000000000004E-3</v>
      </c>
      <c r="J321" s="97">
        <f t="shared" si="4"/>
        <v>-9.9999999999999395E-5</v>
      </c>
    </row>
    <row r="322" spans="2:10">
      <c r="B322" s="84">
        <v>45308</v>
      </c>
      <c r="C322" s="82">
        <v>282.99</v>
      </c>
      <c r="D322" s="83">
        <v>282.2</v>
      </c>
      <c r="E322" s="83">
        <v>284.39999999999998</v>
      </c>
      <c r="F322" s="83">
        <v>281.95</v>
      </c>
      <c r="G322" s="83">
        <v>23887</v>
      </c>
      <c r="H322" s="85">
        <v>-6.7000000000000002E-3</v>
      </c>
      <c r="I322" s="97">
        <v>-2.0899999999999998E-2</v>
      </c>
      <c r="J322" s="97">
        <f t="shared" si="4"/>
        <v>1.4199999999999997E-2</v>
      </c>
    </row>
    <row r="323" spans="2:10">
      <c r="B323" s="84">
        <v>45307</v>
      </c>
      <c r="C323" s="82">
        <v>284.89999999999998</v>
      </c>
      <c r="D323" s="83">
        <v>284.13</v>
      </c>
      <c r="E323" s="83">
        <v>287.77999999999997</v>
      </c>
      <c r="F323" s="83">
        <v>280.68</v>
      </c>
      <c r="G323" s="83">
        <v>47439</v>
      </c>
      <c r="H323" s="85">
        <v>2.7000000000000001E-3</v>
      </c>
      <c r="I323" s="97">
        <v>-2.8999999999999998E-3</v>
      </c>
      <c r="J323" s="97">
        <f t="shared" si="4"/>
        <v>5.5999999999999999E-3</v>
      </c>
    </row>
    <row r="324" spans="2:10">
      <c r="B324" s="84">
        <v>45306</v>
      </c>
      <c r="C324" s="82">
        <v>284.13</v>
      </c>
      <c r="D324" s="83">
        <v>291.60000000000002</v>
      </c>
      <c r="E324" s="83">
        <v>294</v>
      </c>
      <c r="F324" s="83">
        <v>275.13</v>
      </c>
      <c r="G324" s="83">
        <v>126090</v>
      </c>
      <c r="H324" s="85">
        <v>-1.5599999999999999E-2</v>
      </c>
      <c r="I324" s="97">
        <v>9.2999999999999992E-3</v>
      </c>
      <c r="J324" s="97">
        <f t="shared" si="4"/>
        <v>-2.4899999999999999E-2</v>
      </c>
    </row>
    <row r="325" spans="2:10">
      <c r="B325" s="84">
        <v>45303</v>
      </c>
      <c r="C325" s="82">
        <v>288.63</v>
      </c>
      <c r="D325" s="83">
        <v>284</v>
      </c>
      <c r="E325" s="83">
        <v>291.2</v>
      </c>
      <c r="F325" s="83">
        <v>281.27</v>
      </c>
      <c r="G325" s="83">
        <v>94683</v>
      </c>
      <c r="H325" s="85">
        <v>1.8800000000000001E-2</v>
      </c>
      <c r="I325" s="97">
        <v>1.14E-2</v>
      </c>
      <c r="J325" s="97">
        <f t="shared" si="4"/>
        <v>7.4000000000000003E-3</v>
      </c>
    </row>
    <row r="326" spans="2:10">
      <c r="B326" s="84">
        <v>45302</v>
      </c>
      <c r="C326" s="82">
        <v>283.29000000000002</v>
      </c>
      <c r="D326" s="83">
        <v>288.2</v>
      </c>
      <c r="E326" s="83">
        <v>288.60000000000002</v>
      </c>
      <c r="F326" s="83">
        <v>282.01</v>
      </c>
      <c r="G326" s="83">
        <v>216351</v>
      </c>
      <c r="H326" s="85">
        <v>-1.6E-2</v>
      </c>
      <c r="I326" s="97">
        <v>1.2999999999999999E-3</v>
      </c>
      <c r="J326" s="97">
        <f t="shared" si="4"/>
        <v>-1.7299999999999999E-2</v>
      </c>
    </row>
    <row r="327" spans="2:10">
      <c r="B327" s="84">
        <v>45301</v>
      </c>
      <c r="C327" s="82">
        <v>287.89</v>
      </c>
      <c r="D327" s="83">
        <v>279.8</v>
      </c>
      <c r="E327" s="83">
        <v>288.79000000000002</v>
      </c>
      <c r="F327" s="83">
        <v>277.58999999999997</v>
      </c>
      <c r="G327" s="83">
        <v>508674</v>
      </c>
      <c r="H327" s="85">
        <v>4.0599999999999997E-2</v>
      </c>
      <c r="I327" s="97">
        <v>3.3999999999999998E-3</v>
      </c>
      <c r="J327" s="97">
        <f t="shared" si="4"/>
        <v>3.7199999999999997E-2</v>
      </c>
    </row>
    <row r="328" spans="2:10">
      <c r="B328" s="84">
        <v>45300</v>
      </c>
      <c r="C328" s="82">
        <v>276.66000000000003</v>
      </c>
      <c r="D328" s="83">
        <v>282.55</v>
      </c>
      <c r="E328" s="83">
        <v>282.98</v>
      </c>
      <c r="F328" s="83">
        <v>275.8</v>
      </c>
      <c r="G328" s="83">
        <v>32433</v>
      </c>
      <c r="H328" s="85">
        <v>-1.17E-2</v>
      </c>
      <c r="I328" s="97">
        <v>1.5E-3</v>
      </c>
      <c r="J328" s="97">
        <f t="shared" si="4"/>
        <v>-1.32E-2</v>
      </c>
    </row>
    <row r="329" spans="2:10">
      <c r="B329" s="84">
        <v>45299</v>
      </c>
      <c r="C329" s="82">
        <v>279.93</v>
      </c>
      <c r="D329" s="83">
        <v>284.61</v>
      </c>
      <c r="E329" s="83">
        <v>285.48</v>
      </c>
      <c r="F329" s="83">
        <v>279.11</v>
      </c>
      <c r="G329" s="83">
        <v>94534</v>
      </c>
      <c r="H329" s="85">
        <v>-1.6400000000000001E-2</v>
      </c>
      <c r="I329" s="97">
        <v>-9.1000000000000004E-3</v>
      </c>
      <c r="J329" s="97">
        <f t="shared" si="4"/>
        <v>-7.3000000000000009E-3</v>
      </c>
    </row>
    <row r="330" spans="2:10">
      <c r="B330" s="84">
        <v>45296</v>
      </c>
      <c r="C330" s="82">
        <v>284.61</v>
      </c>
      <c r="D330" s="83">
        <v>287.60000000000002</v>
      </c>
      <c r="E330" s="83">
        <v>288</v>
      </c>
      <c r="F330" s="83">
        <v>281.43</v>
      </c>
      <c r="G330" s="83">
        <v>221236</v>
      </c>
      <c r="H330" s="85">
        <v>-5.7999999999999996E-3</v>
      </c>
      <c r="I330" s="97">
        <v>2.3999999999999998E-3</v>
      </c>
      <c r="J330" s="97">
        <f t="shared" ref="J330:J393" si="5">H330-I330</f>
        <v>-8.199999999999999E-3</v>
      </c>
    </row>
    <row r="331" spans="2:10">
      <c r="B331" s="84">
        <v>45295</v>
      </c>
      <c r="C331" s="82">
        <v>286.27999999999997</v>
      </c>
      <c r="D331" s="83">
        <v>281.76</v>
      </c>
      <c r="E331" s="83">
        <v>287.8</v>
      </c>
      <c r="F331" s="83">
        <v>280.60000000000002</v>
      </c>
      <c r="G331" s="83">
        <v>270557</v>
      </c>
      <c r="H331" s="85">
        <v>1.6E-2</v>
      </c>
      <c r="I331" s="97">
        <v>6.6E-3</v>
      </c>
      <c r="J331" s="97">
        <f t="shared" si="5"/>
        <v>9.4000000000000004E-3</v>
      </c>
    </row>
    <row r="332" spans="2:10">
      <c r="B332" s="84">
        <v>45294</v>
      </c>
      <c r="C332" s="82">
        <v>281.76</v>
      </c>
      <c r="D332" s="83">
        <v>281.22000000000003</v>
      </c>
      <c r="E332" s="83">
        <v>282.98</v>
      </c>
      <c r="F332" s="83">
        <v>279.81</v>
      </c>
      <c r="G332" s="83">
        <v>25418</v>
      </c>
      <c r="H332" s="85">
        <v>1.9E-3</v>
      </c>
      <c r="I332" s="97">
        <v>-6.8999999999999999E-3</v>
      </c>
      <c r="J332" s="97">
        <f t="shared" si="5"/>
        <v>8.8000000000000005E-3</v>
      </c>
    </row>
    <row r="333" spans="2:10">
      <c r="B333" s="84">
        <v>45293</v>
      </c>
      <c r="C333" s="82">
        <v>281.22000000000003</v>
      </c>
      <c r="D333" s="83">
        <v>281.85000000000002</v>
      </c>
      <c r="E333" s="83">
        <v>283.44</v>
      </c>
      <c r="F333" s="83">
        <v>279.2</v>
      </c>
      <c r="G333" s="83">
        <v>13864</v>
      </c>
      <c r="H333" s="85">
        <v>-2.2000000000000001E-3</v>
      </c>
      <c r="I333" s="97">
        <v>-3.5000000000000001E-3</v>
      </c>
      <c r="J333" s="97">
        <f t="shared" si="5"/>
        <v>1.2999999999999999E-3</v>
      </c>
    </row>
    <row r="334" spans="2:10">
      <c r="B334" s="84">
        <v>45292</v>
      </c>
      <c r="C334" s="82">
        <v>281.85000000000002</v>
      </c>
      <c r="D334" s="83">
        <v>282.43</v>
      </c>
      <c r="E334" s="83">
        <v>285.67</v>
      </c>
      <c r="F334" s="83">
        <v>280.02</v>
      </c>
      <c r="G334" s="83">
        <v>19605</v>
      </c>
      <c r="H334" s="85">
        <v>-8.3000000000000001E-3</v>
      </c>
      <c r="I334" s="97">
        <v>5.0000000000000001E-4</v>
      </c>
      <c r="J334" s="97">
        <f t="shared" si="5"/>
        <v>-8.8000000000000005E-3</v>
      </c>
    </row>
    <row r="335" spans="2:10">
      <c r="B335" s="84">
        <v>45289</v>
      </c>
      <c r="C335" s="82">
        <v>284.22000000000003</v>
      </c>
      <c r="D335" s="83">
        <v>283.39999999999998</v>
      </c>
      <c r="E335" s="83">
        <v>286.8</v>
      </c>
      <c r="F335" s="83">
        <v>279.39999999999998</v>
      </c>
      <c r="G335" s="83">
        <v>94652</v>
      </c>
      <c r="H335" s="85">
        <v>1.0999999999999999E-2</v>
      </c>
      <c r="I335" s="97">
        <v>-2.2000000000000001E-3</v>
      </c>
      <c r="J335" s="97">
        <f t="shared" si="5"/>
        <v>1.32E-2</v>
      </c>
    </row>
    <row r="336" spans="2:10">
      <c r="B336" s="84">
        <v>45288</v>
      </c>
      <c r="C336" s="82">
        <v>281.13</v>
      </c>
      <c r="D336" s="83">
        <v>281.86</v>
      </c>
      <c r="E336" s="83">
        <v>282.76</v>
      </c>
      <c r="F336" s="83">
        <v>277.27999999999997</v>
      </c>
      <c r="G336" s="83">
        <v>40017</v>
      </c>
      <c r="H336" s="85">
        <v>-2.5999999999999999E-3</v>
      </c>
      <c r="I336" s="97">
        <v>5.7000000000000002E-3</v>
      </c>
      <c r="J336" s="97">
        <f t="shared" si="5"/>
        <v>-8.3000000000000001E-3</v>
      </c>
    </row>
    <row r="337" spans="2:10">
      <c r="B337" s="84">
        <v>45287</v>
      </c>
      <c r="C337" s="82">
        <v>281.86</v>
      </c>
      <c r="D337" s="83">
        <v>287.97000000000003</v>
      </c>
      <c r="E337" s="83">
        <v>289.5</v>
      </c>
      <c r="F337" s="83">
        <v>281.01</v>
      </c>
      <c r="G337" s="83">
        <v>32415</v>
      </c>
      <c r="H337" s="85">
        <v>-1.8499999999999999E-2</v>
      </c>
      <c r="I337" s="97">
        <v>0.01</v>
      </c>
      <c r="J337" s="97">
        <f t="shared" si="5"/>
        <v>-2.8499999999999998E-2</v>
      </c>
    </row>
    <row r="338" spans="2:10">
      <c r="B338" s="84">
        <v>45286</v>
      </c>
      <c r="C338" s="82">
        <v>287.17</v>
      </c>
      <c r="D338" s="83">
        <v>284.8</v>
      </c>
      <c r="E338" s="83">
        <v>288.60000000000002</v>
      </c>
      <c r="F338" s="83">
        <v>283.14999999999998</v>
      </c>
      <c r="G338" s="83">
        <v>42206</v>
      </c>
      <c r="H338" s="85">
        <v>1.4200000000000001E-2</v>
      </c>
      <c r="I338" s="97">
        <v>4.3E-3</v>
      </c>
      <c r="J338" s="97">
        <f t="shared" si="5"/>
        <v>9.9000000000000008E-3</v>
      </c>
    </row>
    <row r="339" spans="2:10">
      <c r="B339" s="84">
        <v>45282</v>
      </c>
      <c r="C339" s="82">
        <v>283.14999999999998</v>
      </c>
      <c r="D339" s="83">
        <v>282.8</v>
      </c>
      <c r="E339" s="83">
        <v>285</v>
      </c>
      <c r="F339" s="83">
        <v>278.58999999999997</v>
      </c>
      <c r="G339" s="83">
        <v>147034</v>
      </c>
      <c r="H339" s="85">
        <v>1.09E-2</v>
      </c>
      <c r="I339" s="97">
        <v>4.4000000000000003E-3</v>
      </c>
      <c r="J339" s="97">
        <f t="shared" si="5"/>
        <v>6.4999999999999997E-3</v>
      </c>
    </row>
    <row r="340" spans="2:10">
      <c r="B340" s="84">
        <v>45281</v>
      </c>
      <c r="C340" s="82">
        <v>280.11</v>
      </c>
      <c r="D340" s="83">
        <v>282</v>
      </c>
      <c r="E340" s="83">
        <v>285</v>
      </c>
      <c r="F340" s="83">
        <v>276.82</v>
      </c>
      <c r="G340" s="83">
        <v>116416</v>
      </c>
      <c r="H340" s="85">
        <v>-7.9000000000000008E-3</v>
      </c>
      <c r="I340" s="97">
        <v>5.0000000000000001E-3</v>
      </c>
      <c r="J340" s="97">
        <f t="shared" si="5"/>
        <v>-1.2900000000000002E-2</v>
      </c>
    </row>
    <row r="341" spans="2:10">
      <c r="B341" s="84">
        <v>45280</v>
      </c>
      <c r="C341" s="82">
        <v>282.33999999999997</v>
      </c>
      <c r="D341" s="83">
        <v>283</v>
      </c>
      <c r="E341" s="83">
        <v>288.8</v>
      </c>
      <c r="F341" s="83">
        <v>276.17</v>
      </c>
      <c r="G341" s="83">
        <v>435062</v>
      </c>
      <c r="H341" s="85">
        <v>1.9E-3</v>
      </c>
      <c r="I341" s="97">
        <v>-1.41E-2</v>
      </c>
      <c r="J341" s="97">
        <f t="shared" si="5"/>
        <v>1.6E-2</v>
      </c>
    </row>
    <row r="342" spans="2:10">
      <c r="B342" s="84">
        <v>45279</v>
      </c>
      <c r="C342" s="82">
        <v>281.8</v>
      </c>
      <c r="D342" s="83">
        <v>284.74</v>
      </c>
      <c r="E342" s="83">
        <v>284.94</v>
      </c>
      <c r="F342" s="83">
        <v>279.49</v>
      </c>
      <c r="G342" s="83">
        <v>234337</v>
      </c>
      <c r="H342" s="85">
        <v>2.8999999999999998E-3</v>
      </c>
      <c r="I342" s="97">
        <v>1.6000000000000001E-3</v>
      </c>
      <c r="J342" s="97">
        <f t="shared" si="5"/>
        <v>1.2999999999999997E-3</v>
      </c>
    </row>
    <row r="343" spans="2:10">
      <c r="B343" s="84">
        <v>45278</v>
      </c>
      <c r="C343" s="82">
        <v>280.98</v>
      </c>
      <c r="D343" s="83">
        <v>281.83</v>
      </c>
      <c r="E343" s="83">
        <v>284.8</v>
      </c>
      <c r="F343" s="83">
        <v>278.75</v>
      </c>
      <c r="G343" s="83">
        <v>92596</v>
      </c>
      <c r="H343" s="85">
        <v>-3.0000000000000001E-3</v>
      </c>
      <c r="I343" s="97">
        <v>-1.8E-3</v>
      </c>
      <c r="J343" s="97">
        <f t="shared" si="5"/>
        <v>-1.2000000000000001E-3</v>
      </c>
    </row>
    <row r="344" spans="2:10">
      <c r="B344" s="84">
        <v>45275</v>
      </c>
      <c r="C344" s="82">
        <v>281.83</v>
      </c>
      <c r="D344" s="83">
        <v>285</v>
      </c>
      <c r="E344" s="83">
        <v>285</v>
      </c>
      <c r="F344" s="83">
        <v>281</v>
      </c>
      <c r="G344" s="83">
        <v>36862</v>
      </c>
      <c r="H344" s="85">
        <v>-5.1999999999999998E-3</v>
      </c>
      <c r="I344" s="97">
        <v>1.29E-2</v>
      </c>
      <c r="J344" s="97">
        <f t="shared" si="5"/>
        <v>-1.8099999999999998E-2</v>
      </c>
    </row>
    <row r="345" spans="2:10">
      <c r="B345" s="84">
        <v>45274</v>
      </c>
      <c r="C345" s="82">
        <v>283.3</v>
      </c>
      <c r="D345" s="83">
        <v>283.75</v>
      </c>
      <c r="E345" s="83">
        <v>284.89999999999998</v>
      </c>
      <c r="F345" s="83">
        <v>281.01</v>
      </c>
      <c r="G345" s="83">
        <v>124528</v>
      </c>
      <c r="H345" s="85">
        <v>2.3999999999999998E-3</v>
      </c>
      <c r="I345" s="97">
        <v>1.23E-2</v>
      </c>
      <c r="J345" s="97">
        <f t="shared" si="5"/>
        <v>-9.9000000000000008E-3</v>
      </c>
    </row>
    <row r="346" spans="2:10">
      <c r="B346" s="84">
        <v>45273</v>
      </c>
      <c r="C346" s="82">
        <v>282.61</v>
      </c>
      <c r="D346" s="83">
        <v>282.39999999999998</v>
      </c>
      <c r="E346" s="83">
        <v>284.99</v>
      </c>
      <c r="F346" s="83">
        <v>278</v>
      </c>
      <c r="G346" s="83">
        <v>21788</v>
      </c>
      <c r="H346" s="85">
        <v>1.6000000000000001E-3</v>
      </c>
      <c r="I346" s="97">
        <v>1E-3</v>
      </c>
      <c r="J346" s="97">
        <f t="shared" si="5"/>
        <v>6.0000000000000006E-4</v>
      </c>
    </row>
    <row r="347" spans="2:10">
      <c r="B347" s="84">
        <v>45272</v>
      </c>
      <c r="C347" s="82">
        <v>282.17</v>
      </c>
      <c r="D347" s="83">
        <v>284.52</v>
      </c>
      <c r="E347" s="83">
        <v>285.60000000000002</v>
      </c>
      <c r="F347" s="83">
        <v>278.39999999999998</v>
      </c>
      <c r="G347" s="83">
        <v>52741</v>
      </c>
      <c r="H347" s="85">
        <v>-8.3000000000000001E-3</v>
      </c>
      <c r="I347" s="97">
        <v>-4.3E-3</v>
      </c>
      <c r="J347" s="97">
        <f t="shared" si="5"/>
        <v>-4.0000000000000001E-3</v>
      </c>
    </row>
    <row r="348" spans="2:10">
      <c r="B348" s="84">
        <v>45271</v>
      </c>
      <c r="C348" s="82">
        <v>284.52</v>
      </c>
      <c r="D348" s="83">
        <v>288</v>
      </c>
      <c r="E348" s="83">
        <v>288</v>
      </c>
      <c r="F348" s="83">
        <v>281.83</v>
      </c>
      <c r="G348" s="83">
        <v>29251</v>
      </c>
      <c r="H348" s="85">
        <v>-6.7999999999999996E-3</v>
      </c>
      <c r="I348" s="97">
        <v>1.2999999999999999E-3</v>
      </c>
      <c r="J348" s="97">
        <f t="shared" si="5"/>
        <v>-8.0999999999999996E-3</v>
      </c>
    </row>
    <row r="349" spans="2:10">
      <c r="B349" s="84">
        <v>45268</v>
      </c>
      <c r="C349" s="82">
        <v>286.48</v>
      </c>
      <c r="D349" s="83">
        <v>288.36</v>
      </c>
      <c r="E349" s="83">
        <v>290.8</v>
      </c>
      <c r="F349" s="83">
        <v>285.01</v>
      </c>
      <c r="G349" s="83">
        <v>32335</v>
      </c>
      <c r="H349" s="85">
        <v>-3.2000000000000002E-3</v>
      </c>
      <c r="I349" s="97">
        <v>3.3E-3</v>
      </c>
      <c r="J349" s="97">
        <f t="shared" si="5"/>
        <v>-6.5000000000000006E-3</v>
      </c>
    </row>
    <row r="350" spans="2:10">
      <c r="B350" s="84">
        <v>45267</v>
      </c>
      <c r="C350" s="82">
        <v>287.41000000000003</v>
      </c>
      <c r="D350" s="83">
        <v>283.95</v>
      </c>
      <c r="E350" s="83">
        <v>287.8</v>
      </c>
      <c r="F350" s="83">
        <v>281.64</v>
      </c>
      <c r="G350" s="83">
        <v>49604</v>
      </c>
      <c r="H350" s="85">
        <v>1.6400000000000001E-2</v>
      </c>
      <c r="I350" s="97">
        <v>-1.6999999999999999E-3</v>
      </c>
      <c r="J350" s="97">
        <f t="shared" si="5"/>
        <v>1.8100000000000002E-2</v>
      </c>
    </row>
    <row r="351" spans="2:10">
      <c r="B351" s="84">
        <v>45266</v>
      </c>
      <c r="C351" s="82">
        <v>282.77999999999997</v>
      </c>
      <c r="D351" s="83">
        <v>283.05</v>
      </c>
      <c r="E351" s="83">
        <v>286.36</v>
      </c>
      <c r="F351" s="83">
        <v>280.2</v>
      </c>
      <c r="G351" s="83">
        <v>69357</v>
      </c>
      <c r="H351" s="85">
        <v>-5.4999999999999997E-3</v>
      </c>
      <c r="I351" s="97">
        <v>4.0000000000000001E-3</v>
      </c>
      <c r="J351" s="97">
        <f t="shared" si="5"/>
        <v>-9.4999999999999998E-3</v>
      </c>
    </row>
    <row r="352" spans="2:10">
      <c r="B352" s="84">
        <v>45265</v>
      </c>
      <c r="C352" s="82">
        <v>284.33999999999997</v>
      </c>
      <c r="D352" s="83">
        <v>291.2</v>
      </c>
      <c r="E352" s="83">
        <v>295</v>
      </c>
      <c r="F352" s="83">
        <v>274.75</v>
      </c>
      <c r="G352" s="83">
        <v>473317</v>
      </c>
      <c r="H352" s="85">
        <v>-1.7600000000000001E-2</v>
      </c>
      <c r="I352" s="97">
        <v>8.0999999999999996E-3</v>
      </c>
      <c r="J352" s="97">
        <f t="shared" si="5"/>
        <v>-2.5700000000000001E-2</v>
      </c>
    </row>
    <row r="353" spans="2:10">
      <c r="B353" s="84">
        <v>45264</v>
      </c>
      <c r="C353" s="82">
        <v>289.43</v>
      </c>
      <c r="D353" s="83">
        <v>284.8</v>
      </c>
      <c r="E353" s="83">
        <v>293.89999999999998</v>
      </c>
      <c r="F353" s="83">
        <v>283.07</v>
      </c>
      <c r="G353" s="83">
        <v>115657</v>
      </c>
      <c r="H353" s="85">
        <v>2.2499999999999999E-2</v>
      </c>
      <c r="I353" s="97">
        <v>2.07E-2</v>
      </c>
      <c r="J353" s="97">
        <f t="shared" si="5"/>
        <v>1.7999999999999995E-3</v>
      </c>
    </row>
    <row r="354" spans="2:10">
      <c r="B354" s="84">
        <v>45261</v>
      </c>
      <c r="C354" s="82">
        <v>283.07</v>
      </c>
      <c r="D354" s="83">
        <v>279.98</v>
      </c>
      <c r="E354" s="83">
        <v>283.5</v>
      </c>
      <c r="F354" s="83">
        <v>277.8</v>
      </c>
      <c r="G354" s="83">
        <v>27366</v>
      </c>
      <c r="H354" s="85">
        <v>1.7600000000000001E-2</v>
      </c>
      <c r="I354" s="97">
        <v>6.7000000000000002E-3</v>
      </c>
      <c r="J354" s="97">
        <f t="shared" si="5"/>
        <v>1.09E-2</v>
      </c>
    </row>
    <row r="355" spans="2:10">
      <c r="B355" s="84">
        <v>45260</v>
      </c>
      <c r="C355" s="82">
        <v>278.18</v>
      </c>
      <c r="D355" s="83">
        <v>280.12</v>
      </c>
      <c r="E355" s="83">
        <v>283.60000000000002</v>
      </c>
      <c r="F355" s="83">
        <v>276</v>
      </c>
      <c r="G355" s="83">
        <v>96848</v>
      </c>
      <c r="H355" s="85">
        <v>-7.0000000000000001E-3</v>
      </c>
      <c r="I355" s="97">
        <v>1.8E-3</v>
      </c>
      <c r="J355" s="97">
        <f t="shared" si="5"/>
        <v>-8.8000000000000005E-3</v>
      </c>
    </row>
    <row r="356" spans="2:10">
      <c r="B356" s="84">
        <v>45259</v>
      </c>
      <c r="C356" s="82">
        <v>280.14</v>
      </c>
      <c r="D356" s="83">
        <v>279.95</v>
      </c>
      <c r="E356" s="83">
        <v>280.76</v>
      </c>
      <c r="F356" s="83">
        <v>277.8</v>
      </c>
      <c r="G356" s="83">
        <v>16888</v>
      </c>
      <c r="H356" s="85">
        <v>6.9999999999999999E-4</v>
      </c>
      <c r="I356" s="97">
        <v>1.04E-2</v>
      </c>
      <c r="J356" s="97">
        <f t="shared" si="5"/>
        <v>-9.7000000000000003E-3</v>
      </c>
    </row>
    <row r="357" spans="2:10">
      <c r="B357" s="84">
        <v>45258</v>
      </c>
      <c r="C357" s="82">
        <v>279.95</v>
      </c>
      <c r="D357" s="83">
        <v>281.60000000000002</v>
      </c>
      <c r="E357" s="83">
        <v>284.94</v>
      </c>
      <c r="F357" s="83">
        <v>278.49</v>
      </c>
      <c r="G357" s="83">
        <v>27946</v>
      </c>
      <c r="H357" s="85">
        <v>-3.7000000000000002E-3</v>
      </c>
      <c r="I357" s="97">
        <v>4.7999999999999996E-3</v>
      </c>
      <c r="J357" s="97">
        <f t="shared" si="5"/>
        <v>-8.5000000000000006E-3</v>
      </c>
    </row>
    <row r="358" spans="2:10">
      <c r="B358" s="84">
        <v>45254</v>
      </c>
      <c r="C358" s="82">
        <v>281</v>
      </c>
      <c r="D358" s="83">
        <v>281.60000000000002</v>
      </c>
      <c r="E358" s="83">
        <v>285.82</v>
      </c>
      <c r="F358" s="83">
        <v>278.41000000000003</v>
      </c>
      <c r="G358" s="83">
        <v>65230</v>
      </c>
      <c r="H358" s="85">
        <v>1.5E-3</v>
      </c>
      <c r="I358" s="97">
        <v>-4.0000000000000002E-4</v>
      </c>
      <c r="J358" s="97">
        <f t="shared" si="5"/>
        <v>1.9E-3</v>
      </c>
    </row>
    <row r="359" spans="2:10">
      <c r="B359" s="84">
        <v>45253</v>
      </c>
      <c r="C359" s="82">
        <v>280.57</v>
      </c>
      <c r="D359" s="83">
        <v>277.8</v>
      </c>
      <c r="E359" s="83">
        <v>281.3</v>
      </c>
      <c r="F359" s="83">
        <v>276.2</v>
      </c>
      <c r="G359" s="83">
        <v>64430</v>
      </c>
      <c r="H359" s="85">
        <v>9.4000000000000004E-3</v>
      </c>
      <c r="I359" s="97">
        <v>-5.0000000000000001E-4</v>
      </c>
      <c r="J359" s="97">
        <f t="shared" si="5"/>
        <v>9.9000000000000008E-3</v>
      </c>
    </row>
    <row r="360" spans="2:10">
      <c r="B360" s="84">
        <v>45252</v>
      </c>
      <c r="C360" s="82">
        <v>277.97000000000003</v>
      </c>
      <c r="D360" s="83">
        <v>278.24</v>
      </c>
      <c r="E360" s="83">
        <v>280.60000000000002</v>
      </c>
      <c r="F360" s="83">
        <v>275.02</v>
      </c>
      <c r="G360" s="83">
        <v>71964</v>
      </c>
      <c r="H360" s="85">
        <v>5.5999999999999999E-3</v>
      </c>
      <c r="I360" s="97">
        <v>1.4E-3</v>
      </c>
      <c r="J360" s="97">
        <f t="shared" si="5"/>
        <v>4.1999999999999997E-3</v>
      </c>
    </row>
    <row r="361" spans="2:10">
      <c r="B361" s="84">
        <v>45251</v>
      </c>
      <c r="C361" s="82">
        <v>276.41000000000003</v>
      </c>
      <c r="D361" s="83">
        <v>279.23</v>
      </c>
      <c r="E361" s="83">
        <v>279.48</v>
      </c>
      <c r="F361" s="83">
        <v>274</v>
      </c>
      <c r="G361" s="83">
        <v>33683</v>
      </c>
      <c r="H361" s="85">
        <v>-1.01E-2</v>
      </c>
      <c r="I361" s="97">
        <v>4.4999999999999997E-3</v>
      </c>
      <c r="J361" s="97">
        <f t="shared" si="5"/>
        <v>-1.4599999999999998E-2</v>
      </c>
    </row>
    <row r="362" spans="2:10">
      <c r="B362" s="84">
        <v>45250</v>
      </c>
      <c r="C362" s="82">
        <v>279.23</v>
      </c>
      <c r="D362" s="83">
        <v>279.99</v>
      </c>
      <c r="E362" s="83">
        <v>280.39999999999998</v>
      </c>
      <c r="F362" s="83">
        <v>276</v>
      </c>
      <c r="G362" s="83">
        <v>46634</v>
      </c>
      <c r="H362" s="85">
        <v>-1E-4</v>
      </c>
      <c r="I362" s="97">
        <v>-1.9E-3</v>
      </c>
      <c r="J362" s="97">
        <f t="shared" si="5"/>
        <v>1.8E-3</v>
      </c>
    </row>
    <row r="363" spans="2:10">
      <c r="B363" s="84">
        <v>45247</v>
      </c>
      <c r="C363" s="82">
        <v>279.26</v>
      </c>
      <c r="D363" s="83">
        <v>273.39999999999998</v>
      </c>
      <c r="E363" s="83">
        <v>281</v>
      </c>
      <c r="F363" s="83">
        <v>271.2</v>
      </c>
      <c r="G363" s="83">
        <v>42358</v>
      </c>
      <c r="H363" s="85">
        <v>2.1100000000000001E-2</v>
      </c>
      <c r="I363" s="97">
        <v>-1.6999999999999999E-3</v>
      </c>
      <c r="J363" s="97">
        <f t="shared" si="5"/>
        <v>2.2800000000000001E-2</v>
      </c>
    </row>
    <row r="364" spans="2:10">
      <c r="B364" s="84">
        <v>45246</v>
      </c>
      <c r="C364" s="82">
        <v>273.48</v>
      </c>
      <c r="D364" s="83">
        <v>271.60000000000002</v>
      </c>
      <c r="E364" s="83">
        <v>281.8</v>
      </c>
      <c r="F364" s="83">
        <v>271.31</v>
      </c>
      <c r="G364" s="83">
        <v>114212</v>
      </c>
      <c r="H364" s="85">
        <v>6.8999999999999999E-3</v>
      </c>
      <c r="I364" s="97">
        <v>4.5999999999999999E-3</v>
      </c>
      <c r="J364" s="97">
        <f t="shared" si="5"/>
        <v>2.3E-3</v>
      </c>
    </row>
    <row r="365" spans="2:10">
      <c r="B365" s="84">
        <v>45245</v>
      </c>
      <c r="C365" s="82">
        <v>271.60000000000002</v>
      </c>
      <c r="D365" s="83">
        <v>266.45</v>
      </c>
      <c r="E365" s="83">
        <v>276</v>
      </c>
      <c r="F365" s="83">
        <v>265.97000000000003</v>
      </c>
      <c r="G365" s="83">
        <v>125978</v>
      </c>
      <c r="H365" s="85">
        <v>2.8199999999999999E-2</v>
      </c>
      <c r="I365" s="97">
        <v>1.1900000000000001E-2</v>
      </c>
      <c r="J365" s="97">
        <f t="shared" si="5"/>
        <v>1.6299999999999999E-2</v>
      </c>
    </row>
    <row r="366" spans="2:10">
      <c r="B366" s="84">
        <v>45243</v>
      </c>
      <c r="C366" s="82">
        <v>264.14</v>
      </c>
      <c r="D366" s="83">
        <v>263.14999999999998</v>
      </c>
      <c r="E366" s="83">
        <v>265.60000000000002</v>
      </c>
      <c r="F366" s="83">
        <v>260.62</v>
      </c>
      <c r="G366" s="83">
        <v>231970</v>
      </c>
      <c r="H366" s="85">
        <v>3.0000000000000001E-3</v>
      </c>
      <c r="I366" s="97">
        <v>-4.1999999999999997E-3</v>
      </c>
      <c r="J366" s="97">
        <f t="shared" si="5"/>
        <v>7.1999999999999998E-3</v>
      </c>
    </row>
    <row r="367" spans="2:10">
      <c r="B367" s="84">
        <v>45242</v>
      </c>
      <c r="C367" s="82">
        <v>263.35000000000002</v>
      </c>
      <c r="D367" s="83">
        <v>265.89999999999998</v>
      </c>
      <c r="E367" s="83">
        <v>265.89999999999998</v>
      </c>
      <c r="F367" s="83">
        <v>260.97000000000003</v>
      </c>
      <c r="G367" s="83">
        <v>5098</v>
      </c>
      <c r="H367" s="85">
        <v>1.26E-2</v>
      </c>
      <c r="I367" s="97">
        <v>5.1999999999999998E-3</v>
      </c>
      <c r="J367" s="97">
        <f t="shared" si="5"/>
        <v>7.4000000000000003E-3</v>
      </c>
    </row>
    <row r="368" spans="2:10">
      <c r="B368" s="84">
        <v>45240</v>
      </c>
      <c r="C368" s="82">
        <v>260.08</v>
      </c>
      <c r="D368" s="83">
        <v>260.01</v>
      </c>
      <c r="E368" s="83">
        <v>262.77</v>
      </c>
      <c r="F368" s="83">
        <v>258</v>
      </c>
      <c r="G368" s="83">
        <v>146237</v>
      </c>
      <c r="H368" s="85">
        <v>1.1000000000000001E-3</v>
      </c>
      <c r="I368" s="97">
        <v>1.5E-3</v>
      </c>
      <c r="J368" s="97">
        <f t="shared" si="5"/>
        <v>-3.9999999999999996E-4</v>
      </c>
    </row>
    <row r="369" spans="2:11">
      <c r="B369" s="84">
        <v>45239</v>
      </c>
      <c r="C369" s="82">
        <v>259.79000000000002</v>
      </c>
      <c r="D369" s="83">
        <v>260.39999999999998</v>
      </c>
      <c r="E369" s="83">
        <v>264</v>
      </c>
      <c r="F369" s="83">
        <v>258.02999999999997</v>
      </c>
      <c r="G369" s="83">
        <v>63880</v>
      </c>
      <c r="H369" s="85">
        <v>-2.0000000000000001E-4</v>
      </c>
      <c r="I369" s="97">
        <v>-2.5000000000000001E-3</v>
      </c>
      <c r="J369" s="97">
        <f t="shared" si="5"/>
        <v>2.3E-3</v>
      </c>
    </row>
    <row r="370" spans="2:11">
      <c r="B370" s="84">
        <v>45238</v>
      </c>
      <c r="C370" s="82">
        <v>259.85000000000002</v>
      </c>
      <c r="D370" s="83">
        <v>261.14</v>
      </c>
      <c r="E370" s="83">
        <v>267.58999999999997</v>
      </c>
      <c r="F370" s="83">
        <v>258.39999999999998</v>
      </c>
      <c r="G370" s="83">
        <v>63533</v>
      </c>
      <c r="H370" s="85">
        <v>-1.8E-3</v>
      </c>
      <c r="I370" s="97">
        <v>1.9E-3</v>
      </c>
      <c r="J370" s="97">
        <f t="shared" si="5"/>
        <v>-3.7000000000000002E-3</v>
      </c>
    </row>
    <row r="371" spans="2:11">
      <c r="B371" s="84">
        <v>45237</v>
      </c>
      <c r="C371" s="82">
        <v>260.33</v>
      </c>
      <c r="D371" s="83">
        <v>262</v>
      </c>
      <c r="E371" s="83">
        <v>264.25</v>
      </c>
      <c r="F371" s="83">
        <v>258.39999999999998</v>
      </c>
      <c r="G371" s="83">
        <v>51163</v>
      </c>
      <c r="H371" s="85">
        <v>-8.3999999999999995E-3</v>
      </c>
      <c r="I371" s="97">
        <v>-2.9999999999999997E-4</v>
      </c>
      <c r="J371" s="97">
        <f t="shared" si="5"/>
        <v>-8.0999999999999996E-3</v>
      </c>
    </row>
    <row r="372" spans="2:11">
      <c r="B372" s="84">
        <v>45236</v>
      </c>
      <c r="C372" s="82">
        <v>262.54000000000002</v>
      </c>
      <c r="D372" s="83">
        <v>261.82</v>
      </c>
      <c r="E372" s="83">
        <v>264.88</v>
      </c>
      <c r="F372" s="83">
        <v>260.24</v>
      </c>
      <c r="G372" s="83">
        <v>122036</v>
      </c>
      <c r="H372" s="85">
        <v>4.1999999999999997E-3</v>
      </c>
      <c r="I372" s="97">
        <v>9.4000000000000004E-3</v>
      </c>
      <c r="J372" s="97">
        <f t="shared" si="5"/>
        <v>-5.2000000000000006E-3</v>
      </c>
    </row>
    <row r="373" spans="2:11">
      <c r="B373" s="84">
        <v>45233</v>
      </c>
      <c r="C373" s="82">
        <v>261.43</v>
      </c>
      <c r="D373" s="83">
        <v>259.42</v>
      </c>
      <c r="E373" s="83">
        <v>265.79000000000002</v>
      </c>
      <c r="F373" s="83">
        <v>259.42</v>
      </c>
      <c r="G373" s="83">
        <v>65040</v>
      </c>
      <c r="H373" s="85">
        <v>-8.6999999999999994E-3</v>
      </c>
      <c r="I373" s="97">
        <v>5.1000000000000004E-3</v>
      </c>
      <c r="J373" s="97">
        <f t="shared" si="5"/>
        <v>-1.38E-2</v>
      </c>
    </row>
    <row r="374" spans="2:11">
      <c r="B374" s="84">
        <v>45232</v>
      </c>
      <c r="C374" s="82">
        <v>263.73</v>
      </c>
      <c r="D374" s="83">
        <v>267.99</v>
      </c>
      <c r="E374" s="83">
        <v>269</v>
      </c>
      <c r="F374" s="83">
        <v>242.6</v>
      </c>
      <c r="G374" s="83">
        <v>108301</v>
      </c>
      <c r="H374" s="85">
        <v>-8.0999999999999996E-3</v>
      </c>
      <c r="I374" s="97">
        <v>7.6E-3</v>
      </c>
      <c r="J374" s="97">
        <f t="shared" si="5"/>
        <v>-1.5699999999999999E-2</v>
      </c>
    </row>
    <row r="375" spans="2:11">
      <c r="B375" s="84">
        <v>45231</v>
      </c>
      <c r="C375" s="82">
        <v>265.89</v>
      </c>
      <c r="D375" s="83">
        <v>261.58</v>
      </c>
      <c r="E375" s="83">
        <v>267.94</v>
      </c>
      <c r="F375" s="83">
        <v>259.41000000000003</v>
      </c>
      <c r="G375" s="83">
        <v>95588</v>
      </c>
      <c r="H375" s="85">
        <v>2.6200000000000001E-2</v>
      </c>
      <c r="I375" s="97">
        <v>-4.7000000000000002E-3</v>
      </c>
      <c r="J375" s="97">
        <f t="shared" si="5"/>
        <v>3.09E-2</v>
      </c>
    </row>
    <row r="376" spans="2:11">
      <c r="B376" s="84">
        <v>45230</v>
      </c>
      <c r="C376" s="82">
        <v>259.08999999999997</v>
      </c>
      <c r="D376" s="83">
        <v>256.99</v>
      </c>
      <c r="E376" s="83">
        <v>262.39</v>
      </c>
      <c r="F376" s="83">
        <v>256.10000000000002</v>
      </c>
      <c r="G376" s="83">
        <v>193248</v>
      </c>
      <c r="H376" s="85">
        <v>9.2999999999999992E-3</v>
      </c>
      <c r="I376" s="97">
        <v>-3.2000000000000002E-3</v>
      </c>
      <c r="J376" s="97">
        <f t="shared" si="5"/>
        <v>1.2499999999999999E-2</v>
      </c>
    </row>
    <row r="377" spans="2:11">
      <c r="B377" s="84">
        <v>45229</v>
      </c>
      <c r="C377" s="82">
        <v>256.70999999999998</v>
      </c>
      <c r="D377" s="83">
        <v>252</v>
      </c>
      <c r="E377" s="83">
        <v>257.8</v>
      </c>
      <c r="F377" s="83">
        <v>251.65</v>
      </c>
      <c r="G377" s="83">
        <v>323104</v>
      </c>
      <c r="H377" s="85">
        <v>-6.1000000000000004E-3</v>
      </c>
      <c r="I377" s="97">
        <v>4.8999999999999998E-3</v>
      </c>
      <c r="J377" s="97">
        <f t="shared" si="5"/>
        <v>-1.0999999999999999E-2</v>
      </c>
    </row>
    <row r="378" spans="2:11">
      <c r="B378" s="84">
        <v>45226</v>
      </c>
      <c r="C378" s="82">
        <v>258.27999999999997</v>
      </c>
      <c r="D378" s="83">
        <v>270.58999999999997</v>
      </c>
      <c r="E378" s="83">
        <v>273.73</v>
      </c>
      <c r="F378" s="83">
        <v>256.8</v>
      </c>
      <c r="G378" s="83">
        <v>95550</v>
      </c>
      <c r="H378" s="85">
        <v>-4.2599999999999999E-2</v>
      </c>
      <c r="I378" s="97">
        <v>1.01E-2</v>
      </c>
      <c r="J378" s="97">
        <f t="shared" si="5"/>
        <v>-5.2699999999999997E-2</v>
      </c>
      <c r="K378" s="87"/>
    </row>
    <row r="379" spans="2:11">
      <c r="B379" s="84">
        <v>45225</v>
      </c>
      <c r="C379" s="82">
        <v>269.77</v>
      </c>
      <c r="D379" s="83">
        <v>271.92</v>
      </c>
      <c r="E379" s="83">
        <v>275</v>
      </c>
      <c r="F379" s="83">
        <v>257.56</v>
      </c>
      <c r="G379" s="83">
        <v>128520</v>
      </c>
      <c r="H379" s="85">
        <v>-8.9999999999999998E-4</v>
      </c>
      <c r="I379" s="97">
        <v>-1.3899999999999999E-2</v>
      </c>
      <c r="J379" s="97">
        <f t="shared" si="5"/>
        <v>1.2999999999999999E-2</v>
      </c>
    </row>
    <row r="380" spans="2:11">
      <c r="B380" s="84">
        <v>45224</v>
      </c>
      <c r="C380" s="82">
        <v>270.02</v>
      </c>
      <c r="D380" s="83">
        <v>267.60000000000002</v>
      </c>
      <c r="E380" s="83">
        <v>272.60000000000002</v>
      </c>
      <c r="F380" s="83">
        <v>266.79000000000002</v>
      </c>
      <c r="G380" s="83">
        <v>81917</v>
      </c>
      <c r="H380" s="85">
        <v>5.3E-3</v>
      </c>
      <c r="I380" s="97">
        <v>-8.3000000000000001E-3</v>
      </c>
      <c r="J380" s="97">
        <f t="shared" si="5"/>
        <v>1.3600000000000001E-2</v>
      </c>
    </row>
    <row r="381" spans="2:11">
      <c r="B381" s="84">
        <v>45222</v>
      </c>
      <c r="C381" s="82">
        <v>268.60000000000002</v>
      </c>
      <c r="D381" s="83">
        <v>280</v>
      </c>
      <c r="E381" s="83">
        <v>283.04000000000002</v>
      </c>
      <c r="F381" s="83">
        <v>263.52</v>
      </c>
      <c r="G381" s="83">
        <v>46300</v>
      </c>
      <c r="H381" s="85">
        <v>-4.6300000000000001E-2</v>
      </c>
      <c r="I381" s="97">
        <v>-1.34E-2</v>
      </c>
      <c r="J381" s="97">
        <f t="shared" si="5"/>
        <v>-3.2899999999999999E-2</v>
      </c>
    </row>
    <row r="382" spans="2:11">
      <c r="B382" s="84">
        <v>45219</v>
      </c>
      <c r="C382" s="82">
        <v>281.63</v>
      </c>
      <c r="D382" s="83">
        <v>282</v>
      </c>
      <c r="E382" s="83">
        <v>287</v>
      </c>
      <c r="F382" s="83">
        <v>280.39999999999998</v>
      </c>
      <c r="G382" s="83">
        <v>62354</v>
      </c>
      <c r="H382" s="85">
        <v>-2.7000000000000001E-3</v>
      </c>
      <c r="I382" s="97">
        <v>-4.1999999999999997E-3</v>
      </c>
      <c r="J382" s="97">
        <f t="shared" si="5"/>
        <v>1.4999999999999996E-3</v>
      </c>
    </row>
    <row r="383" spans="2:11">
      <c r="B383" s="84">
        <v>45218</v>
      </c>
      <c r="C383" s="82">
        <v>282.39999999999998</v>
      </c>
      <c r="D383" s="83">
        <v>285.8</v>
      </c>
      <c r="E383" s="83">
        <v>285.8</v>
      </c>
      <c r="F383" s="83">
        <v>280.08</v>
      </c>
      <c r="G383" s="83">
        <v>17612</v>
      </c>
      <c r="H383" s="85">
        <v>-3.7000000000000002E-3</v>
      </c>
      <c r="I383" s="97">
        <v>-2.3999999999999998E-3</v>
      </c>
      <c r="J383" s="97">
        <f t="shared" si="5"/>
        <v>-1.3000000000000004E-3</v>
      </c>
    </row>
    <row r="384" spans="2:11">
      <c r="B384" s="84">
        <v>45217</v>
      </c>
      <c r="C384" s="82">
        <v>283.45999999999998</v>
      </c>
      <c r="D384" s="83">
        <v>286.77999999999997</v>
      </c>
      <c r="E384" s="83">
        <v>286.77999999999997</v>
      </c>
      <c r="F384" s="83">
        <v>279.95</v>
      </c>
      <c r="G384" s="83">
        <v>36112</v>
      </c>
      <c r="H384" s="85">
        <v>-4.1000000000000003E-3</v>
      </c>
      <c r="I384" s="97">
        <v>-7.1000000000000004E-3</v>
      </c>
      <c r="J384" s="97">
        <f t="shared" si="5"/>
        <v>3.0000000000000001E-3</v>
      </c>
    </row>
    <row r="385" spans="2:10">
      <c r="B385" s="84">
        <v>45216</v>
      </c>
      <c r="C385" s="82">
        <v>284.63</v>
      </c>
      <c r="D385" s="83">
        <v>289.76</v>
      </c>
      <c r="E385" s="83">
        <v>289.76</v>
      </c>
      <c r="F385" s="83">
        <v>283.01</v>
      </c>
      <c r="G385" s="83">
        <v>91594</v>
      </c>
      <c r="H385" s="85">
        <v>-7.7999999999999996E-3</v>
      </c>
      <c r="I385" s="97">
        <v>4.0000000000000001E-3</v>
      </c>
      <c r="J385" s="97">
        <f t="shared" si="5"/>
        <v>-1.18E-2</v>
      </c>
    </row>
    <row r="386" spans="2:10">
      <c r="B386" s="84">
        <v>45215</v>
      </c>
      <c r="C386" s="82">
        <v>286.87</v>
      </c>
      <c r="D386" s="83">
        <v>289.68</v>
      </c>
      <c r="E386" s="83">
        <v>293.44</v>
      </c>
      <c r="F386" s="83">
        <v>284.39999999999998</v>
      </c>
      <c r="G386" s="83">
        <v>97148</v>
      </c>
      <c r="H386" s="85">
        <v>1E-3</v>
      </c>
      <c r="I386" s="97">
        <v>-1E-3</v>
      </c>
      <c r="J386" s="97">
        <f t="shared" si="5"/>
        <v>2E-3</v>
      </c>
    </row>
    <row r="387" spans="2:10">
      <c r="B387" s="84">
        <v>45212</v>
      </c>
      <c r="C387" s="82">
        <v>286.58999999999997</v>
      </c>
      <c r="D387" s="83">
        <v>289</v>
      </c>
      <c r="E387" s="83">
        <v>290.83</v>
      </c>
      <c r="F387" s="83">
        <v>286</v>
      </c>
      <c r="G387" s="83">
        <v>12502</v>
      </c>
      <c r="H387" s="85">
        <v>-7.4999999999999997E-3</v>
      </c>
      <c r="I387" s="97">
        <v>-2.2000000000000001E-3</v>
      </c>
      <c r="J387" s="97">
        <f t="shared" si="5"/>
        <v>-5.2999999999999992E-3</v>
      </c>
    </row>
    <row r="388" spans="2:10">
      <c r="B388" s="84">
        <v>45211</v>
      </c>
      <c r="C388" s="82">
        <v>288.76</v>
      </c>
      <c r="D388" s="83">
        <v>287.60000000000002</v>
      </c>
      <c r="E388" s="83">
        <v>296</v>
      </c>
      <c r="F388" s="83">
        <v>286.36</v>
      </c>
      <c r="G388" s="83">
        <v>101117</v>
      </c>
      <c r="H388" s="85">
        <v>7.0000000000000001E-3</v>
      </c>
      <c r="I388" s="97">
        <v>-8.9999999999999998E-4</v>
      </c>
      <c r="J388" s="97">
        <f t="shared" si="5"/>
        <v>7.9000000000000008E-3</v>
      </c>
    </row>
    <row r="389" spans="2:10">
      <c r="B389" s="84">
        <v>45210</v>
      </c>
      <c r="C389" s="82">
        <v>286.76</v>
      </c>
      <c r="D389" s="83">
        <v>283.8</v>
      </c>
      <c r="E389" s="83">
        <v>287.7</v>
      </c>
      <c r="F389" s="83">
        <v>283.23</v>
      </c>
      <c r="G389" s="83">
        <v>47455</v>
      </c>
      <c r="H389" s="85">
        <v>1.95E-2</v>
      </c>
      <c r="I389" s="97">
        <v>6.1999999999999998E-3</v>
      </c>
      <c r="J389" s="97">
        <f t="shared" si="5"/>
        <v>1.3299999999999999E-2</v>
      </c>
    </row>
    <row r="390" spans="2:10">
      <c r="B390" s="84">
        <v>45209</v>
      </c>
      <c r="C390" s="82">
        <v>281.27999999999997</v>
      </c>
      <c r="D390" s="83">
        <v>286.8</v>
      </c>
      <c r="E390" s="83">
        <v>286.8</v>
      </c>
      <c r="F390" s="83">
        <v>280.60000000000002</v>
      </c>
      <c r="G390" s="83">
        <v>119416</v>
      </c>
      <c r="H390" s="85">
        <v>-7.0000000000000001E-3</v>
      </c>
      <c r="I390" s="97">
        <v>9.1000000000000004E-3</v>
      </c>
      <c r="J390" s="97">
        <f t="shared" si="5"/>
        <v>-1.61E-2</v>
      </c>
    </row>
    <row r="391" spans="2:10">
      <c r="B391" s="84">
        <v>45208</v>
      </c>
      <c r="C391" s="82">
        <v>283.26</v>
      </c>
      <c r="D391" s="83">
        <v>282.60000000000002</v>
      </c>
      <c r="E391" s="83">
        <v>284.54000000000002</v>
      </c>
      <c r="F391" s="83">
        <v>275.04000000000002</v>
      </c>
      <c r="G391" s="83">
        <v>32986</v>
      </c>
      <c r="H391" s="85">
        <v>-5.7999999999999996E-3</v>
      </c>
      <c r="I391" s="97">
        <v>-7.1999999999999998E-3</v>
      </c>
      <c r="J391" s="97">
        <f t="shared" si="5"/>
        <v>1.4000000000000002E-3</v>
      </c>
    </row>
    <row r="392" spans="2:10">
      <c r="B392" s="84">
        <v>45205</v>
      </c>
      <c r="C392" s="82">
        <v>284.91000000000003</v>
      </c>
      <c r="D392" s="83">
        <v>287.45</v>
      </c>
      <c r="E392" s="83">
        <v>289.39999999999998</v>
      </c>
      <c r="F392" s="83">
        <v>280.89999999999998</v>
      </c>
      <c r="G392" s="83">
        <v>106654</v>
      </c>
      <c r="H392" s="85">
        <v>8.0000000000000004E-4</v>
      </c>
      <c r="I392" s="97">
        <v>5.4999999999999997E-3</v>
      </c>
      <c r="J392" s="97">
        <f t="shared" si="5"/>
        <v>-4.6999999999999993E-3</v>
      </c>
    </row>
    <row r="393" spans="2:10">
      <c r="B393" s="84">
        <v>45204</v>
      </c>
      <c r="C393" s="82">
        <v>284.68</v>
      </c>
      <c r="D393" s="83">
        <v>285.24</v>
      </c>
      <c r="E393" s="83">
        <v>286.77999999999997</v>
      </c>
      <c r="F393" s="83">
        <v>278.75</v>
      </c>
      <c r="G393" s="83">
        <v>35137</v>
      </c>
      <c r="H393" s="85">
        <v>7.9000000000000008E-3</v>
      </c>
      <c r="I393" s="97">
        <v>5.5999999999999999E-3</v>
      </c>
      <c r="J393" s="97">
        <f t="shared" si="5"/>
        <v>2.3000000000000008E-3</v>
      </c>
    </row>
    <row r="394" spans="2:10">
      <c r="B394" s="84">
        <v>45203</v>
      </c>
      <c r="C394" s="82">
        <v>282.45</v>
      </c>
      <c r="D394" s="83">
        <v>284.60000000000002</v>
      </c>
      <c r="E394" s="83">
        <v>284.85000000000002</v>
      </c>
      <c r="F394" s="83">
        <v>281.32</v>
      </c>
      <c r="G394" s="83">
        <v>24024</v>
      </c>
      <c r="H394" s="85">
        <v>-6.7999999999999996E-3</v>
      </c>
      <c r="I394" s="97">
        <v>-4.7000000000000002E-3</v>
      </c>
      <c r="J394" s="97">
        <f t="shared" ref="J394:J457" si="6">H394-I394</f>
        <v>-2.0999999999999994E-3</v>
      </c>
    </row>
    <row r="395" spans="2:10">
      <c r="B395" s="84">
        <v>45202</v>
      </c>
      <c r="C395" s="82">
        <v>284.39</v>
      </c>
      <c r="D395" s="83">
        <v>291.7</v>
      </c>
      <c r="E395" s="83">
        <v>291.7</v>
      </c>
      <c r="F395" s="83">
        <v>283.27</v>
      </c>
      <c r="G395" s="83">
        <v>142456</v>
      </c>
      <c r="H395" s="85">
        <v>-2.1600000000000001E-2</v>
      </c>
      <c r="I395" s="97">
        <v>-5.5999999999999999E-3</v>
      </c>
      <c r="J395" s="97">
        <f t="shared" si="6"/>
        <v>-1.6E-2</v>
      </c>
    </row>
    <row r="396" spans="2:10">
      <c r="B396" s="84">
        <v>45198</v>
      </c>
      <c r="C396" s="82">
        <v>290.68</v>
      </c>
      <c r="D396" s="83">
        <v>285.60000000000002</v>
      </c>
      <c r="E396" s="83">
        <v>293.74</v>
      </c>
      <c r="F396" s="83">
        <v>281.8</v>
      </c>
      <c r="G396" s="83">
        <v>66611</v>
      </c>
      <c r="H396" s="85">
        <v>2.6599999999999999E-2</v>
      </c>
      <c r="I396" s="97">
        <v>5.8999999999999999E-3</v>
      </c>
      <c r="J396" s="97">
        <f t="shared" si="6"/>
        <v>2.07E-2</v>
      </c>
    </row>
    <row r="397" spans="2:10">
      <c r="B397" s="84">
        <v>45197</v>
      </c>
      <c r="C397" s="82">
        <v>283.14999999999998</v>
      </c>
      <c r="D397" s="83">
        <v>286</v>
      </c>
      <c r="E397" s="83">
        <v>288.11</v>
      </c>
      <c r="F397" s="83">
        <v>282.20999999999998</v>
      </c>
      <c r="G397" s="83">
        <v>22316</v>
      </c>
      <c r="H397" s="85">
        <v>-9.7000000000000003E-3</v>
      </c>
      <c r="I397" s="97">
        <v>-9.7999999999999997E-3</v>
      </c>
      <c r="J397" s="97">
        <f t="shared" si="6"/>
        <v>9.9999999999999395E-5</v>
      </c>
    </row>
    <row r="398" spans="2:10">
      <c r="B398" s="84">
        <v>45196</v>
      </c>
      <c r="C398" s="82">
        <v>285.91000000000003</v>
      </c>
      <c r="D398" s="83">
        <v>288.2</v>
      </c>
      <c r="E398" s="83">
        <v>289.99</v>
      </c>
      <c r="F398" s="83">
        <v>284.39999999999998</v>
      </c>
      <c r="G398" s="83">
        <v>51472</v>
      </c>
      <c r="H398" s="85">
        <v>-8.0000000000000002E-3</v>
      </c>
      <c r="I398" s="97">
        <v>2.5999999999999999E-3</v>
      </c>
      <c r="J398" s="97">
        <f t="shared" si="6"/>
        <v>-1.06E-2</v>
      </c>
    </row>
    <row r="399" spans="2:10">
      <c r="B399" s="84">
        <v>45195</v>
      </c>
      <c r="C399" s="82">
        <v>288.22000000000003</v>
      </c>
      <c r="D399" s="83">
        <v>293.19</v>
      </c>
      <c r="E399" s="83">
        <v>297</v>
      </c>
      <c r="F399" s="83">
        <v>286.02999999999997</v>
      </c>
      <c r="G399" s="83">
        <v>243450</v>
      </c>
      <c r="H399" s="85">
        <v>-1.5800000000000002E-2</v>
      </c>
      <c r="I399" s="97">
        <v>-5.0000000000000001E-4</v>
      </c>
      <c r="J399" s="97">
        <f t="shared" si="6"/>
        <v>-1.5300000000000001E-2</v>
      </c>
    </row>
    <row r="400" spans="2:10">
      <c r="B400" s="84">
        <v>45194</v>
      </c>
      <c r="C400" s="82">
        <v>292.85000000000002</v>
      </c>
      <c r="D400" s="83">
        <v>297</v>
      </c>
      <c r="E400" s="83">
        <v>303.8</v>
      </c>
      <c r="F400" s="83">
        <v>291.62</v>
      </c>
      <c r="G400" s="83">
        <v>399178</v>
      </c>
      <c r="H400" s="85">
        <v>-1.3299999999999999E-2</v>
      </c>
      <c r="I400" s="97">
        <v>0</v>
      </c>
      <c r="J400" s="97">
        <f t="shared" si="6"/>
        <v>-1.3299999999999999E-2</v>
      </c>
    </row>
    <row r="401" spans="2:10">
      <c r="B401" s="84">
        <v>45191</v>
      </c>
      <c r="C401" s="82">
        <v>296.79000000000002</v>
      </c>
      <c r="D401" s="83">
        <v>292.02</v>
      </c>
      <c r="E401" s="83">
        <v>299.8</v>
      </c>
      <c r="F401" s="83">
        <v>289.61</v>
      </c>
      <c r="G401" s="83">
        <v>63236</v>
      </c>
      <c r="H401" s="85">
        <v>1.6299999999999999E-2</v>
      </c>
      <c r="I401" s="97">
        <v>-3.3999999999999998E-3</v>
      </c>
      <c r="J401" s="97">
        <f t="shared" si="6"/>
        <v>1.9699999999999999E-2</v>
      </c>
    </row>
    <row r="402" spans="2:10">
      <c r="B402" s="84">
        <v>45190</v>
      </c>
      <c r="C402" s="82">
        <v>292.02</v>
      </c>
      <c r="D402" s="83">
        <v>290.39999999999998</v>
      </c>
      <c r="E402" s="83">
        <v>293.99</v>
      </c>
      <c r="F402" s="83">
        <v>289.44</v>
      </c>
      <c r="G402" s="83">
        <v>27924</v>
      </c>
      <c r="H402" s="85">
        <v>8.0000000000000004E-4</v>
      </c>
      <c r="I402" s="97">
        <v>-8.0000000000000002E-3</v>
      </c>
      <c r="J402" s="97">
        <f t="shared" si="6"/>
        <v>8.8000000000000005E-3</v>
      </c>
    </row>
    <row r="403" spans="2:10">
      <c r="B403" s="84">
        <v>45189</v>
      </c>
      <c r="C403" s="82">
        <v>291.8</v>
      </c>
      <c r="D403" s="83">
        <v>290.39999999999998</v>
      </c>
      <c r="E403" s="83">
        <v>294.8</v>
      </c>
      <c r="F403" s="83">
        <v>287.32</v>
      </c>
      <c r="G403" s="83">
        <v>66051</v>
      </c>
      <c r="H403" s="85">
        <v>3.8999999999999998E-3</v>
      </c>
      <c r="I403" s="97">
        <v>-1.15E-2</v>
      </c>
      <c r="J403" s="97">
        <f t="shared" si="6"/>
        <v>1.54E-2</v>
      </c>
    </row>
    <row r="404" spans="2:10">
      <c r="B404" s="84">
        <v>45187</v>
      </c>
      <c r="C404" s="82">
        <v>290.68</v>
      </c>
      <c r="D404" s="83">
        <v>295.99</v>
      </c>
      <c r="E404" s="83">
        <v>297.60000000000002</v>
      </c>
      <c r="F404" s="83">
        <v>290</v>
      </c>
      <c r="G404" s="83">
        <v>27340</v>
      </c>
      <c r="H404" s="85">
        <v>-1.2500000000000001E-2</v>
      </c>
      <c r="I404" s="97">
        <v>-2.8999999999999998E-3</v>
      </c>
      <c r="J404" s="97">
        <f t="shared" si="6"/>
        <v>-9.6000000000000009E-3</v>
      </c>
    </row>
    <row r="405" spans="2:10">
      <c r="B405" s="84">
        <v>45184</v>
      </c>
      <c r="C405" s="82">
        <v>294.35000000000002</v>
      </c>
      <c r="D405" s="83">
        <v>287.2</v>
      </c>
      <c r="E405" s="83">
        <v>299.54000000000002</v>
      </c>
      <c r="F405" s="83">
        <v>287.04000000000002</v>
      </c>
      <c r="G405" s="83">
        <v>286141</v>
      </c>
      <c r="H405" s="85">
        <v>3.1699999999999999E-2</v>
      </c>
      <c r="I405" s="97">
        <v>4.4000000000000003E-3</v>
      </c>
      <c r="J405" s="97">
        <f t="shared" si="6"/>
        <v>2.7299999999999998E-2</v>
      </c>
    </row>
    <row r="406" spans="2:10">
      <c r="B406" s="84">
        <v>45183</v>
      </c>
      <c r="C406" s="82">
        <v>285.3</v>
      </c>
      <c r="D406" s="83">
        <v>284.99</v>
      </c>
      <c r="E406" s="83">
        <v>289.19</v>
      </c>
      <c r="F406" s="83">
        <v>281</v>
      </c>
      <c r="G406" s="83">
        <v>197421</v>
      </c>
      <c r="H406" s="85">
        <v>2.3E-3</v>
      </c>
      <c r="I406" s="97">
        <v>1.6000000000000001E-3</v>
      </c>
      <c r="J406" s="97">
        <f t="shared" si="6"/>
        <v>6.9999999999999988E-4</v>
      </c>
    </row>
    <row r="407" spans="2:10">
      <c r="B407" s="84">
        <v>45182</v>
      </c>
      <c r="C407" s="82">
        <v>284.64</v>
      </c>
      <c r="D407" s="83">
        <v>293.8</v>
      </c>
      <c r="E407" s="83">
        <v>295.97000000000003</v>
      </c>
      <c r="F407" s="83">
        <v>283</v>
      </c>
      <c r="G407" s="83">
        <v>125541</v>
      </c>
      <c r="H407" s="85">
        <v>-1.77E-2</v>
      </c>
      <c r="I407" s="97">
        <v>3.8E-3</v>
      </c>
      <c r="J407" s="97">
        <f t="shared" si="6"/>
        <v>-2.1500000000000002E-2</v>
      </c>
    </row>
    <row r="408" spans="2:10">
      <c r="B408" s="84">
        <v>45181</v>
      </c>
      <c r="C408" s="82">
        <v>289.77</v>
      </c>
      <c r="D408" s="83">
        <v>305</v>
      </c>
      <c r="E408" s="83">
        <v>308</v>
      </c>
      <c r="F408" s="83">
        <v>286</v>
      </c>
      <c r="G408" s="83">
        <v>204844</v>
      </c>
      <c r="H408" s="85">
        <v>-4.7500000000000001E-2</v>
      </c>
      <c r="I408" s="97">
        <v>-2.0000000000000001E-4</v>
      </c>
      <c r="J408" s="97">
        <f t="shared" si="6"/>
        <v>-4.7300000000000002E-2</v>
      </c>
    </row>
    <row r="409" spans="2:10">
      <c r="B409" s="84">
        <v>45180</v>
      </c>
      <c r="C409" s="82">
        <v>304.20999999999998</v>
      </c>
      <c r="D409" s="83">
        <v>307.60000000000002</v>
      </c>
      <c r="E409" s="83">
        <v>313.57</v>
      </c>
      <c r="F409" s="83">
        <v>302.98</v>
      </c>
      <c r="G409" s="83">
        <v>185063</v>
      </c>
      <c r="H409" s="85">
        <v>3.2000000000000002E-3</v>
      </c>
      <c r="I409" s="97">
        <v>8.8999999999999999E-3</v>
      </c>
      <c r="J409" s="97">
        <f t="shared" si="6"/>
        <v>-5.7000000000000002E-3</v>
      </c>
    </row>
    <row r="410" spans="2:10">
      <c r="B410" s="84">
        <v>45177</v>
      </c>
      <c r="C410" s="82">
        <v>303.23</v>
      </c>
      <c r="D410" s="83">
        <v>299.77999999999997</v>
      </c>
      <c r="E410" s="83">
        <v>307.52</v>
      </c>
      <c r="F410" s="83">
        <v>297.08</v>
      </c>
      <c r="G410" s="83">
        <v>94585</v>
      </c>
      <c r="H410" s="85">
        <v>2.3900000000000001E-2</v>
      </c>
      <c r="I410" s="97">
        <v>4.7000000000000002E-3</v>
      </c>
      <c r="J410" s="97">
        <f t="shared" si="6"/>
        <v>1.9200000000000002E-2</v>
      </c>
    </row>
    <row r="411" spans="2:10">
      <c r="B411" s="84">
        <v>45176</v>
      </c>
      <c r="C411" s="82">
        <v>296.14999999999998</v>
      </c>
      <c r="D411" s="83">
        <v>291.77</v>
      </c>
      <c r="E411" s="83">
        <v>303</v>
      </c>
      <c r="F411" s="83">
        <v>291.77</v>
      </c>
      <c r="G411" s="83">
        <v>232436</v>
      </c>
      <c r="H411" s="85">
        <v>2.52E-2</v>
      </c>
      <c r="I411" s="97">
        <v>5.8999999999999999E-3</v>
      </c>
      <c r="J411" s="97">
        <f t="shared" si="6"/>
        <v>1.9300000000000001E-2</v>
      </c>
    </row>
    <row r="412" spans="2:10">
      <c r="B412" s="84">
        <v>45175</v>
      </c>
      <c r="C412" s="82">
        <v>288.87</v>
      </c>
      <c r="D412" s="83">
        <v>294</v>
      </c>
      <c r="E412" s="83">
        <v>295.95999999999998</v>
      </c>
      <c r="F412" s="83">
        <v>286.61</v>
      </c>
      <c r="G412" s="83">
        <v>177398</v>
      </c>
      <c r="H412" s="85">
        <v>-9.1000000000000004E-3</v>
      </c>
      <c r="I412" s="97">
        <v>1.8E-3</v>
      </c>
      <c r="J412" s="97">
        <f t="shared" si="6"/>
        <v>-1.09E-2</v>
      </c>
    </row>
    <row r="413" spans="2:10">
      <c r="B413" s="84">
        <v>45174</v>
      </c>
      <c r="C413" s="82">
        <v>291.52999999999997</v>
      </c>
      <c r="D413" s="83">
        <v>283.60000000000002</v>
      </c>
      <c r="E413" s="83">
        <v>294.60000000000002</v>
      </c>
      <c r="F413" s="83">
        <v>282.29000000000002</v>
      </c>
      <c r="G413" s="83">
        <v>110187</v>
      </c>
      <c r="H413" s="85">
        <v>2.41E-2</v>
      </c>
      <c r="I413" s="97">
        <v>2.3999999999999998E-3</v>
      </c>
      <c r="J413" s="97">
        <f t="shared" si="6"/>
        <v>2.1700000000000001E-2</v>
      </c>
    </row>
    <row r="414" spans="2:10">
      <c r="B414" s="84">
        <v>45173</v>
      </c>
      <c r="C414" s="82">
        <v>284.68</v>
      </c>
      <c r="D414" s="83">
        <v>283.8</v>
      </c>
      <c r="E414" s="83">
        <v>293.39999999999998</v>
      </c>
      <c r="F414" s="83">
        <v>282.27999999999997</v>
      </c>
      <c r="G414" s="83">
        <v>115863</v>
      </c>
      <c r="H414" s="85">
        <v>1.0699999999999999E-2</v>
      </c>
      <c r="I414" s="97">
        <v>4.7999999999999996E-3</v>
      </c>
      <c r="J414" s="97">
        <f t="shared" si="6"/>
        <v>5.8999999999999999E-3</v>
      </c>
    </row>
    <row r="415" spans="2:10">
      <c r="B415" s="84">
        <v>45170</v>
      </c>
      <c r="C415" s="82">
        <v>281.68</v>
      </c>
      <c r="D415" s="83">
        <v>285.2</v>
      </c>
      <c r="E415" s="83">
        <v>287.58</v>
      </c>
      <c r="F415" s="83">
        <v>277.27999999999997</v>
      </c>
      <c r="G415" s="83">
        <v>121660</v>
      </c>
      <c r="H415" s="85">
        <v>-1.1900000000000001E-2</v>
      </c>
      <c r="I415" s="97">
        <v>9.4000000000000004E-3</v>
      </c>
      <c r="J415" s="97">
        <f t="shared" si="6"/>
        <v>-2.1299999999999999E-2</v>
      </c>
    </row>
    <row r="416" spans="2:10">
      <c r="B416" s="84">
        <v>45169</v>
      </c>
      <c r="C416" s="82">
        <v>285.07</v>
      </c>
      <c r="D416" s="83">
        <v>279.93</v>
      </c>
      <c r="E416" s="83">
        <v>288.63</v>
      </c>
      <c r="F416" s="83">
        <v>279.91000000000003</v>
      </c>
      <c r="G416" s="83">
        <v>144965</v>
      </c>
      <c r="H416" s="85">
        <v>1.84E-2</v>
      </c>
      <c r="I416" s="97">
        <v>-4.7999999999999996E-3</v>
      </c>
      <c r="J416" s="97">
        <f t="shared" si="6"/>
        <v>2.3199999999999998E-2</v>
      </c>
    </row>
    <row r="417" spans="2:10">
      <c r="B417" s="84">
        <v>45168</v>
      </c>
      <c r="C417" s="82">
        <v>279.93</v>
      </c>
      <c r="D417" s="83">
        <v>277.79000000000002</v>
      </c>
      <c r="E417" s="83">
        <v>281.2</v>
      </c>
      <c r="F417" s="83">
        <v>277.01</v>
      </c>
      <c r="G417" s="83">
        <v>64213</v>
      </c>
      <c r="H417" s="85">
        <v>1.04E-2</v>
      </c>
      <c r="I417" s="97">
        <v>2.0000000000000001E-4</v>
      </c>
      <c r="J417" s="97">
        <f t="shared" si="6"/>
        <v>1.0199999999999999E-2</v>
      </c>
    </row>
    <row r="418" spans="2:10">
      <c r="B418" s="84">
        <v>45167</v>
      </c>
      <c r="C418" s="82">
        <v>277.04000000000002</v>
      </c>
      <c r="D418" s="83">
        <v>279.76</v>
      </c>
      <c r="E418" s="83">
        <v>279.76</v>
      </c>
      <c r="F418" s="83">
        <v>274</v>
      </c>
      <c r="G418" s="83">
        <v>36995</v>
      </c>
      <c r="H418" s="85">
        <v>-2.8999999999999998E-3</v>
      </c>
      <c r="I418" s="97">
        <v>1.9E-3</v>
      </c>
      <c r="J418" s="97">
        <f t="shared" si="6"/>
        <v>-4.7999999999999996E-3</v>
      </c>
    </row>
    <row r="419" spans="2:10">
      <c r="B419" s="84">
        <v>45166</v>
      </c>
      <c r="C419" s="82">
        <v>277.83999999999997</v>
      </c>
      <c r="D419" s="83">
        <v>275.08999999999997</v>
      </c>
      <c r="E419" s="83">
        <v>280.58999999999997</v>
      </c>
      <c r="F419" s="83">
        <v>272.60000000000002</v>
      </c>
      <c r="G419" s="83">
        <v>68904</v>
      </c>
      <c r="H419" s="85">
        <v>0.01</v>
      </c>
      <c r="I419" s="97">
        <v>2.0999999999999999E-3</v>
      </c>
      <c r="J419" s="97">
        <f t="shared" si="6"/>
        <v>7.9000000000000008E-3</v>
      </c>
    </row>
    <row r="420" spans="2:10">
      <c r="B420" s="84">
        <v>45163</v>
      </c>
      <c r="C420" s="82">
        <v>275.08999999999997</v>
      </c>
      <c r="D420" s="83">
        <v>274</v>
      </c>
      <c r="E420" s="83">
        <v>278.2</v>
      </c>
      <c r="F420" s="83">
        <v>270.37</v>
      </c>
      <c r="G420" s="83">
        <v>235291</v>
      </c>
      <c r="H420" s="85">
        <v>8.3000000000000001E-3</v>
      </c>
      <c r="I420" s="97">
        <v>-6.1999999999999998E-3</v>
      </c>
      <c r="J420" s="97">
        <f t="shared" si="6"/>
        <v>1.4499999999999999E-2</v>
      </c>
    </row>
    <row r="421" spans="2:10">
      <c r="B421" s="84">
        <v>45162</v>
      </c>
      <c r="C421" s="82">
        <v>272.83</v>
      </c>
      <c r="D421" s="83">
        <v>273.60000000000002</v>
      </c>
      <c r="E421" s="83">
        <v>274.99</v>
      </c>
      <c r="F421" s="83">
        <v>270.22000000000003</v>
      </c>
      <c r="G421" s="83">
        <v>91052</v>
      </c>
      <c r="H421" s="85">
        <v>3.3999999999999998E-3</v>
      </c>
      <c r="I421" s="97">
        <v>-2.8999999999999998E-3</v>
      </c>
      <c r="J421" s="97">
        <f t="shared" si="6"/>
        <v>6.3E-3</v>
      </c>
    </row>
    <row r="422" spans="2:10">
      <c r="B422" s="84">
        <v>45161</v>
      </c>
      <c r="C422" s="82">
        <v>271.91000000000003</v>
      </c>
      <c r="D422" s="83">
        <v>267.16000000000003</v>
      </c>
      <c r="E422" s="83">
        <v>272.79000000000002</v>
      </c>
      <c r="F422" s="83">
        <v>264.76</v>
      </c>
      <c r="G422" s="83">
        <v>58794</v>
      </c>
      <c r="H422" s="85">
        <v>1.77E-2</v>
      </c>
      <c r="I422" s="97">
        <v>2.5000000000000001E-3</v>
      </c>
      <c r="J422" s="97">
        <f t="shared" si="6"/>
        <v>1.52E-2</v>
      </c>
    </row>
    <row r="423" spans="2:10">
      <c r="B423" s="84">
        <v>45160</v>
      </c>
      <c r="C423" s="82">
        <v>267.17</v>
      </c>
      <c r="D423" s="83">
        <v>267.20999999999998</v>
      </c>
      <c r="E423" s="83">
        <v>270.77</v>
      </c>
      <c r="F423" s="83">
        <v>264.99</v>
      </c>
      <c r="G423" s="83">
        <v>69527</v>
      </c>
      <c r="H423" s="85">
        <v>5.9999999999999995E-4</v>
      </c>
      <c r="I423" s="97">
        <v>1E-4</v>
      </c>
      <c r="J423" s="97">
        <f t="shared" si="6"/>
        <v>4.999999999999999E-4</v>
      </c>
    </row>
    <row r="424" spans="2:10">
      <c r="B424" s="84">
        <v>45159</v>
      </c>
      <c r="C424" s="82">
        <v>267.02</v>
      </c>
      <c r="D424" s="83">
        <v>264.24</v>
      </c>
      <c r="E424" s="83">
        <v>268.56</v>
      </c>
      <c r="F424" s="83">
        <v>262.87</v>
      </c>
      <c r="G424" s="83">
        <v>43753</v>
      </c>
      <c r="H424" s="85">
        <v>4.7000000000000002E-3</v>
      </c>
      <c r="I424" s="97">
        <v>4.3E-3</v>
      </c>
      <c r="J424" s="97">
        <f t="shared" si="6"/>
        <v>4.0000000000000018E-4</v>
      </c>
    </row>
    <row r="425" spans="2:10">
      <c r="B425" s="84">
        <v>45156</v>
      </c>
      <c r="C425" s="82">
        <v>265.77</v>
      </c>
      <c r="D425" s="83">
        <v>264.98</v>
      </c>
      <c r="E425" s="83">
        <v>267.61</v>
      </c>
      <c r="F425" s="83">
        <v>262.55</v>
      </c>
      <c r="G425" s="83">
        <v>59691</v>
      </c>
      <c r="H425" s="85">
        <v>2.5000000000000001E-3</v>
      </c>
      <c r="I425" s="97">
        <v>-2.8E-3</v>
      </c>
      <c r="J425" s="97">
        <f t="shared" si="6"/>
        <v>5.3E-3</v>
      </c>
    </row>
    <row r="426" spans="2:10">
      <c r="B426" s="84">
        <v>45155</v>
      </c>
      <c r="C426" s="82">
        <v>265.10000000000002</v>
      </c>
      <c r="D426" s="83">
        <v>271.99</v>
      </c>
      <c r="E426" s="83">
        <v>272.2</v>
      </c>
      <c r="F426" s="83">
        <v>262.10000000000002</v>
      </c>
      <c r="G426" s="83">
        <v>155897</v>
      </c>
      <c r="H426" s="85">
        <v>-1.4200000000000001E-2</v>
      </c>
      <c r="I426" s="97">
        <v>-5.1000000000000004E-3</v>
      </c>
      <c r="J426" s="97">
        <f t="shared" si="6"/>
        <v>-9.1000000000000004E-3</v>
      </c>
    </row>
    <row r="427" spans="2:10">
      <c r="B427" s="84">
        <v>45154</v>
      </c>
      <c r="C427" s="82">
        <v>268.92</v>
      </c>
      <c r="D427" s="83">
        <v>271.74</v>
      </c>
      <c r="E427" s="83">
        <v>272.54000000000002</v>
      </c>
      <c r="F427" s="83">
        <v>267.56</v>
      </c>
      <c r="G427" s="83">
        <v>23867</v>
      </c>
      <c r="H427" s="85">
        <v>-6.3E-3</v>
      </c>
      <c r="I427" s="97">
        <v>1.6000000000000001E-3</v>
      </c>
      <c r="J427" s="97">
        <f t="shared" si="6"/>
        <v>-7.9000000000000008E-3</v>
      </c>
    </row>
    <row r="428" spans="2:10">
      <c r="B428" s="84">
        <v>45152</v>
      </c>
      <c r="C428" s="82">
        <v>270.63</v>
      </c>
      <c r="D428" s="83">
        <v>273.39</v>
      </c>
      <c r="E428" s="83">
        <v>274.08</v>
      </c>
      <c r="F428" s="83">
        <v>267</v>
      </c>
      <c r="G428" s="83">
        <v>74708</v>
      </c>
      <c r="H428" s="85">
        <v>-7.4000000000000003E-3</v>
      </c>
      <c r="I428" s="97">
        <v>2.9999999999999997E-4</v>
      </c>
      <c r="J428" s="97">
        <f t="shared" si="6"/>
        <v>-7.7000000000000002E-3</v>
      </c>
    </row>
    <row r="429" spans="2:10">
      <c r="B429" s="84">
        <v>45149</v>
      </c>
      <c r="C429" s="82">
        <v>272.64999999999998</v>
      </c>
      <c r="D429" s="83">
        <v>272.54000000000002</v>
      </c>
      <c r="E429" s="83">
        <v>274.67</v>
      </c>
      <c r="F429" s="83">
        <v>270.2</v>
      </c>
      <c r="G429" s="83">
        <v>28534</v>
      </c>
      <c r="H429" s="85">
        <v>4.0000000000000002E-4</v>
      </c>
      <c r="I429" s="97">
        <v>-5.8999999999999999E-3</v>
      </c>
      <c r="J429" s="97">
        <f t="shared" si="6"/>
        <v>6.3E-3</v>
      </c>
    </row>
    <row r="430" spans="2:10">
      <c r="B430" s="84">
        <v>45148</v>
      </c>
      <c r="C430" s="82">
        <v>272.54000000000002</v>
      </c>
      <c r="D430" s="83">
        <v>275.8</v>
      </c>
      <c r="E430" s="83">
        <v>275.8</v>
      </c>
      <c r="F430" s="83">
        <v>270.33999999999997</v>
      </c>
      <c r="G430" s="83">
        <v>34710</v>
      </c>
      <c r="H430" s="85">
        <v>-1.04E-2</v>
      </c>
      <c r="I430" s="97">
        <v>-4.5999999999999999E-3</v>
      </c>
      <c r="J430" s="97">
        <f t="shared" si="6"/>
        <v>-5.7999999999999996E-3</v>
      </c>
    </row>
    <row r="431" spans="2:10">
      <c r="B431" s="84">
        <v>45147</v>
      </c>
      <c r="C431" s="82">
        <v>275.41000000000003</v>
      </c>
      <c r="D431" s="83">
        <v>274.2</v>
      </c>
      <c r="E431" s="83">
        <v>276.8</v>
      </c>
      <c r="F431" s="83">
        <v>271</v>
      </c>
      <c r="G431" s="83">
        <v>32756</v>
      </c>
      <c r="H431" s="85">
        <v>8.9999999999999998E-4</v>
      </c>
      <c r="I431" s="97">
        <v>3.2000000000000002E-3</v>
      </c>
      <c r="J431" s="97">
        <f t="shared" si="6"/>
        <v>-2.3E-3</v>
      </c>
    </row>
    <row r="432" spans="2:10">
      <c r="B432" s="84">
        <v>45146</v>
      </c>
      <c r="C432" s="82">
        <v>275.16000000000003</v>
      </c>
      <c r="D432" s="83">
        <v>277.97000000000003</v>
      </c>
      <c r="E432" s="83">
        <v>277.97000000000003</v>
      </c>
      <c r="F432" s="83">
        <v>270</v>
      </c>
      <c r="G432" s="83">
        <v>87977</v>
      </c>
      <c r="H432" s="85">
        <v>-6.8999999999999999E-3</v>
      </c>
      <c r="I432" s="97">
        <v>-1.2999999999999999E-3</v>
      </c>
      <c r="J432" s="97">
        <f t="shared" si="6"/>
        <v>-5.5999999999999999E-3</v>
      </c>
    </row>
    <row r="433" spans="2:10">
      <c r="B433" s="84">
        <v>45145</v>
      </c>
      <c r="C433" s="82">
        <v>277.06</v>
      </c>
      <c r="D433" s="83">
        <v>272</v>
      </c>
      <c r="E433" s="83">
        <v>277.99</v>
      </c>
      <c r="F433" s="83">
        <v>269.20999999999998</v>
      </c>
      <c r="G433" s="83">
        <v>48368</v>
      </c>
      <c r="H433" s="85">
        <v>1.9800000000000002E-2</v>
      </c>
      <c r="I433" s="97">
        <v>4.1000000000000003E-3</v>
      </c>
      <c r="J433" s="97">
        <f t="shared" si="6"/>
        <v>1.5700000000000002E-2</v>
      </c>
    </row>
    <row r="434" spans="2:10">
      <c r="B434" s="84">
        <v>45142</v>
      </c>
      <c r="C434" s="82">
        <v>271.69</v>
      </c>
      <c r="D434" s="83">
        <v>267.33999999999997</v>
      </c>
      <c r="E434" s="83">
        <v>277.77</v>
      </c>
      <c r="F434" s="83">
        <v>264.60000000000002</v>
      </c>
      <c r="G434" s="83">
        <v>243031</v>
      </c>
      <c r="H434" s="85">
        <v>1.6299999999999999E-2</v>
      </c>
      <c r="I434" s="97">
        <v>7.0000000000000001E-3</v>
      </c>
      <c r="J434" s="97">
        <f t="shared" si="6"/>
        <v>9.2999999999999992E-3</v>
      </c>
    </row>
    <row r="435" spans="2:10">
      <c r="B435" s="84">
        <v>45141</v>
      </c>
      <c r="C435" s="82">
        <v>267.33999999999997</v>
      </c>
      <c r="D435" s="83">
        <v>272.98</v>
      </c>
      <c r="E435" s="83">
        <v>272.98</v>
      </c>
      <c r="F435" s="83">
        <v>264.05</v>
      </c>
      <c r="G435" s="83">
        <v>164751</v>
      </c>
      <c r="H435" s="85">
        <v>-3.7000000000000002E-3</v>
      </c>
      <c r="I435" s="97">
        <v>-7.4000000000000003E-3</v>
      </c>
      <c r="J435" s="97">
        <f t="shared" si="6"/>
        <v>3.7000000000000002E-3</v>
      </c>
    </row>
    <row r="436" spans="2:10">
      <c r="B436" s="84">
        <v>45140</v>
      </c>
      <c r="C436" s="82">
        <v>268.33</v>
      </c>
      <c r="D436" s="83">
        <v>272.18</v>
      </c>
      <c r="E436" s="83">
        <v>275.98</v>
      </c>
      <c r="F436" s="83">
        <v>261.99</v>
      </c>
      <c r="G436" s="83">
        <v>202245</v>
      </c>
      <c r="H436" s="85">
        <v>-1.1599999999999999E-2</v>
      </c>
      <c r="I436" s="97">
        <v>-1.0500000000000001E-2</v>
      </c>
      <c r="J436" s="97">
        <f t="shared" si="6"/>
        <v>-1.0999999999999985E-3</v>
      </c>
    </row>
    <row r="437" spans="2:10">
      <c r="B437" s="84">
        <v>45139</v>
      </c>
      <c r="C437" s="82">
        <v>271.48</v>
      </c>
      <c r="D437" s="83">
        <v>278</v>
      </c>
      <c r="E437" s="83">
        <v>278</v>
      </c>
      <c r="F437" s="83">
        <v>270.01</v>
      </c>
      <c r="G437" s="83">
        <v>30631</v>
      </c>
      <c r="H437" s="85">
        <v>-1.14E-2</v>
      </c>
      <c r="I437" s="97">
        <v>-1E-3</v>
      </c>
      <c r="J437" s="97">
        <f t="shared" si="6"/>
        <v>-1.04E-2</v>
      </c>
    </row>
    <row r="438" spans="2:10">
      <c r="B438" s="84">
        <v>45138</v>
      </c>
      <c r="C438" s="82">
        <v>274.61</v>
      </c>
      <c r="D438" s="83">
        <v>281.18</v>
      </c>
      <c r="E438" s="83">
        <v>281.18</v>
      </c>
      <c r="F438" s="83">
        <v>272.3</v>
      </c>
      <c r="G438" s="83">
        <v>56441</v>
      </c>
      <c r="H438" s="85">
        <v>-1.21E-2</v>
      </c>
      <c r="I438" s="97">
        <v>5.4999999999999997E-3</v>
      </c>
      <c r="J438" s="97">
        <f t="shared" si="6"/>
        <v>-1.7599999999999998E-2</v>
      </c>
    </row>
    <row r="439" spans="2:10">
      <c r="B439" s="84">
        <v>45135</v>
      </c>
      <c r="C439" s="82">
        <v>277.98</v>
      </c>
      <c r="D439" s="83">
        <v>272.91000000000003</v>
      </c>
      <c r="E439" s="83">
        <v>279.39</v>
      </c>
      <c r="F439" s="83">
        <v>272.91000000000003</v>
      </c>
      <c r="G439" s="83">
        <v>33691</v>
      </c>
      <c r="H439" s="85">
        <v>1.8599999999999998E-2</v>
      </c>
      <c r="I439" s="97">
        <v>-6.9999999999999999E-4</v>
      </c>
      <c r="J439" s="97">
        <f t="shared" si="6"/>
        <v>1.9299999999999998E-2</v>
      </c>
    </row>
    <row r="440" spans="2:10">
      <c r="B440" s="84">
        <v>45134</v>
      </c>
      <c r="C440" s="82">
        <v>272.91000000000003</v>
      </c>
      <c r="D440" s="83">
        <v>277.22000000000003</v>
      </c>
      <c r="E440" s="83">
        <v>278.58</v>
      </c>
      <c r="F440" s="83">
        <v>270.75</v>
      </c>
      <c r="G440" s="83">
        <v>32700</v>
      </c>
      <c r="H440" s="85">
        <v>-1.4200000000000001E-2</v>
      </c>
      <c r="I440" s="97">
        <v>-6.0000000000000001E-3</v>
      </c>
      <c r="J440" s="97">
        <f t="shared" si="6"/>
        <v>-8.2000000000000007E-3</v>
      </c>
    </row>
    <row r="441" spans="2:10">
      <c r="B441" s="84">
        <v>45133</v>
      </c>
      <c r="C441" s="82">
        <v>276.83</v>
      </c>
      <c r="D441" s="83">
        <v>278.39999999999998</v>
      </c>
      <c r="E441" s="83">
        <v>281.7</v>
      </c>
      <c r="F441" s="83">
        <v>274.60000000000002</v>
      </c>
      <c r="G441" s="83">
        <v>29450</v>
      </c>
      <c r="H441" s="85">
        <v>-5.4000000000000003E-3</v>
      </c>
      <c r="I441" s="97">
        <v>5.0000000000000001E-3</v>
      </c>
      <c r="J441" s="97">
        <f t="shared" si="6"/>
        <v>-1.04E-2</v>
      </c>
    </row>
    <row r="442" spans="2:10">
      <c r="B442" s="84">
        <v>45132</v>
      </c>
      <c r="C442" s="82">
        <v>278.32</v>
      </c>
      <c r="D442" s="83">
        <v>284.75</v>
      </c>
      <c r="E442" s="83">
        <v>286.95999999999998</v>
      </c>
      <c r="F442" s="83">
        <v>276.60000000000002</v>
      </c>
      <c r="G442" s="83">
        <v>72141</v>
      </c>
      <c r="H442" s="85">
        <v>-2.2599999999999999E-2</v>
      </c>
      <c r="I442" s="97">
        <v>4.0000000000000002E-4</v>
      </c>
      <c r="J442" s="97">
        <f t="shared" si="6"/>
        <v>-2.3E-2</v>
      </c>
    </row>
    <row r="443" spans="2:10">
      <c r="B443" s="84">
        <v>45131</v>
      </c>
      <c r="C443" s="82">
        <v>284.75</v>
      </c>
      <c r="D443" s="83">
        <v>285.55</v>
      </c>
      <c r="E443" s="83">
        <v>287.58999999999997</v>
      </c>
      <c r="F443" s="83">
        <v>283.61</v>
      </c>
      <c r="G443" s="83">
        <v>29036</v>
      </c>
      <c r="H443" s="85">
        <v>-2.8E-3</v>
      </c>
      <c r="I443" s="97">
        <v>-3.7000000000000002E-3</v>
      </c>
      <c r="J443" s="97">
        <f t="shared" si="6"/>
        <v>9.0000000000000019E-4</v>
      </c>
    </row>
    <row r="444" spans="2:10">
      <c r="B444" s="84">
        <v>45128</v>
      </c>
      <c r="C444" s="82">
        <v>285.56</v>
      </c>
      <c r="D444" s="83">
        <v>286.02999999999997</v>
      </c>
      <c r="E444" s="83">
        <v>290</v>
      </c>
      <c r="F444" s="83">
        <v>282.2</v>
      </c>
      <c r="G444" s="83">
        <v>51726</v>
      </c>
      <c r="H444" s="85">
        <v>-1.6000000000000001E-3</v>
      </c>
      <c r="I444" s="97">
        <v>-1.17E-2</v>
      </c>
      <c r="J444" s="97">
        <f t="shared" si="6"/>
        <v>1.01E-2</v>
      </c>
    </row>
    <row r="445" spans="2:10">
      <c r="B445" s="84">
        <v>45127</v>
      </c>
      <c r="C445" s="82">
        <v>286.02999999999997</v>
      </c>
      <c r="D445" s="83">
        <v>289.60000000000002</v>
      </c>
      <c r="E445" s="83">
        <v>295.98</v>
      </c>
      <c r="F445" s="83">
        <v>284.39999999999998</v>
      </c>
      <c r="G445" s="83">
        <v>298502</v>
      </c>
      <c r="H445" s="85">
        <v>8.9999999999999998E-4</v>
      </c>
      <c r="I445" s="97">
        <v>7.4000000000000003E-3</v>
      </c>
      <c r="J445" s="97">
        <f t="shared" si="6"/>
        <v>-6.5000000000000006E-3</v>
      </c>
    </row>
    <row r="446" spans="2:10">
      <c r="B446" s="84">
        <v>45126</v>
      </c>
      <c r="C446" s="82">
        <v>285.77999999999997</v>
      </c>
      <c r="D446" s="83">
        <v>282</v>
      </c>
      <c r="E446" s="83">
        <v>289.25</v>
      </c>
      <c r="F446" s="83">
        <v>280.48</v>
      </c>
      <c r="G446" s="83">
        <v>89402</v>
      </c>
      <c r="H446" s="85">
        <v>1.89E-2</v>
      </c>
      <c r="I446" s="97">
        <v>4.1999999999999997E-3</v>
      </c>
      <c r="J446" s="97">
        <f t="shared" si="6"/>
        <v>1.4700000000000001E-2</v>
      </c>
    </row>
    <row r="447" spans="2:10">
      <c r="B447" s="84">
        <v>45125</v>
      </c>
      <c r="C447" s="82">
        <v>280.49</v>
      </c>
      <c r="D447" s="83">
        <v>282.93</v>
      </c>
      <c r="E447" s="83">
        <v>283.35000000000002</v>
      </c>
      <c r="F447" s="83">
        <v>278.23</v>
      </c>
      <c r="G447" s="83">
        <v>273916</v>
      </c>
      <c r="H447" s="85">
        <v>-3.7000000000000002E-3</v>
      </c>
      <c r="I447" s="97">
        <v>1.9E-3</v>
      </c>
      <c r="J447" s="97">
        <f t="shared" si="6"/>
        <v>-5.5999999999999999E-3</v>
      </c>
    </row>
    <row r="448" spans="2:10">
      <c r="B448" s="84">
        <v>45124</v>
      </c>
      <c r="C448" s="82">
        <v>281.54000000000002</v>
      </c>
      <c r="D448" s="83">
        <v>282.99</v>
      </c>
      <c r="E448" s="83">
        <v>287.01</v>
      </c>
      <c r="F448" s="83">
        <v>280.02</v>
      </c>
      <c r="G448" s="83">
        <v>52365</v>
      </c>
      <c r="H448" s="85">
        <v>1.6999999999999999E-3</v>
      </c>
      <c r="I448" s="97">
        <v>7.4999999999999997E-3</v>
      </c>
      <c r="J448" s="97">
        <f t="shared" si="6"/>
        <v>-5.7999999999999996E-3</v>
      </c>
    </row>
    <row r="449" spans="2:10">
      <c r="B449" s="84">
        <v>45121</v>
      </c>
      <c r="C449" s="82">
        <v>281.05</v>
      </c>
      <c r="D449" s="83">
        <v>281.56</v>
      </c>
      <c r="E449" s="83">
        <v>283.8</v>
      </c>
      <c r="F449" s="83">
        <v>277.51</v>
      </c>
      <c r="G449" s="83">
        <v>41115</v>
      </c>
      <c r="H449" s="85">
        <v>1.4500000000000001E-2</v>
      </c>
      <c r="I449" s="97">
        <v>7.7999999999999996E-3</v>
      </c>
      <c r="J449" s="97">
        <f t="shared" si="6"/>
        <v>6.7000000000000011E-3</v>
      </c>
    </row>
    <row r="450" spans="2:10">
      <c r="B450" s="84">
        <v>45120</v>
      </c>
      <c r="C450" s="82">
        <v>277.04000000000002</v>
      </c>
      <c r="D450" s="83">
        <v>277.8</v>
      </c>
      <c r="E450" s="83">
        <v>282.72000000000003</v>
      </c>
      <c r="F450" s="83">
        <v>274.60000000000002</v>
      </c>
      <c r="G450" s="83">
        <v>76962</v>
      </c>
      <c r="H450" s="85">
        <v>-2.8E-3</v>
      </c>
      <c r="I450" s="97">
        <v>1.5E-3</v>
      </c>
      <c r="J450" s="97">
        <f t="shared" si="6"/>
        <v>-4.3E-3</v>
      </c>
    </row>
    <row r="451" spans="2:10">
      <c r="B451" s="84">
        <v>45119</v>
      </c>
      <c r="C451" s="82">
        <v>277.81</v>
      </c>
      <c r="D451" s="83">
        <v>276.41000000000003</v>
      </c>
      <c r="E451" s="83">
        <v>279.89</v>
      </c>
      <c r="F451" s="83">
        <v>270.99</v>
      </c>
      <c r="G451" s="83">
        <v>96035</v>
      </c>
      <c r="H451" s="85">
        <v>6.7999999999999996E-3</v>
      </c>
      <c r="I451" s="97">
        <v>-2.8E-3</v>
      </c>
      <c r="J451" s="97">
        <f t="shared" si="6"/>
        <v>9.5999999999999992E-3</v>
      </c>
    </row>
    <row r="452" spans="2:10">
      <c r="B452" s="84">
        <v>45118</v>
      </c>
      <c r="C452" s="82">
        <v>275.93</v>
      </c>
      <c r="D452" s="83">
        <v>280</v>
      </c>
      <c r="E452" s="83">
        <v>280.73</v>
      </c>
      <c r="F452" s="83">
        <v>274.73</v>
      </c>
      <c r="G452" s="83">
        <v>48239</v>
      </c>
      <c r="H452" s="85">
        <v>-1.44E-2</v>
      </c>
      <c r="I452" s="97">
        <v>4.3E-3</v>
      </c>
      <c r="J452" s="97">
        <f t="shared" si="6"/>
        <v>-1.8700000000000001E-2</v>
      </c>
    </row>
    <row r="453" spans="2:10">
      <c r="B453" s="84">
        <v>45117</v>
      </c>
      <c r="C453" s="82">
        <v>279.97000000000003</v>
      </c>
      <c r="D453" s="83">
        <v>276.5</v>
      </c>
      <c r="E453" s="83">
        <v>282</v>
      </c>
      <c r="F453" s="83">
        <v>276.36</v>
      </c>
      <c r="G453" s="83">
        <v>74894</v>
      </c>
      <c r="H453" s="85">
        <v>7.1000000000000004E-3</v>
      </c>
      <c r="I453" s="97">
        <v>1.1999999999999999E-3</v>
      </c>
      <c r="J453" s="97">
        <f t="shared" si="6"/>
        <v>5.9000000000000007E-3</v>
      </c>
    </row>
    <row r="454" spans="2:10">
      <c r="B454" s="84">
        <v>45114</v>
      </c>
      <c r="C454" s="82">
        <v>278.01</v>
      </c>
      <c r="D454" s="83">
        <v>278</v>
      </c>
      <c r="E454" s="83">
        <v>279.8</v>
      </c>
      <c r="F454" s="83">
        <v>275.47000000000003</v>
      </c>
      <c r="G454" s="83">
        <v>87064</v>
      </c>
      <c r="H454" s="85">
        <v>3.0999999999999999E-3</v>
      </c>
      <c r="I454" s="97">
        <v>-8.5000000000000006E-3</v>
      </c>
      <c r="J454" s="97">
        <f t="shared" si="6"/>
        <v>1.1600000000000001E-2</v>
      </c>
    </row>
    <row r="455" spans="2:10">
      <c r="B455" s="84">
        <v>45113</v>
      </c>
      <c r="C455" s="82">
        <v>277.16000000000003</v>
      </c>
      <c r="D455" s="83">
        <v>283.77999999999997</v>
      </c>
      <c r="E455" s="83">
        <v>283.77999999999997</v>
      </c>
      <c r="F455" s="83">
        <v>276.24</v>
      </c>
      <c r="G455" s="83">
        <v>131860</v>
      </c>
      <c r="H455" s="85">
        <v>-1.0800000000000001E-2</v>
      </c>
      <c r="I455" s="97">
        <v>5.1000000000000004E-3</v>
      </c>
      <c r="J455" s="97">
        <f t="shared" si="6"/>
        <v>-1.5900000000000001E-2</v>
      </c>
    </row>
    <row r="456" spans="2:10">
      <c r="B456" s="84">
        <v>45112</v>
      </c>
      <c r="C456" s="82">
        <v>280.18</v>
      </c>
      <c r="D456" s="83">
        <v>282.79000000000002</v>
      </c>
      <c r="E456" s="83">
        <v>283.60000000000002</v>
      </c>
      <c r="F456" s="83">
        <v>278.01</v>
      </c>
      <c r="G456" s="83">
        <v>66423</v>
      </c>
      <c r="H456" s="85">
        <v>-3.0000000000000001E-3</v>
      </c>
      <c r="I456" s="97">
        <v>5.0000000000000001E-4</v>
      </c>
      <c r="J456" s="97">
        <f t="shared" si="6"/>
        <v>-3.5000000000000001E-3</v>
      </c>
    </row>
    <row r="457" spans="2:10">
      <c r="B457" s="84">
        <v>45111</v>
      </c>
      <c r="C457" s="82">
        <v>281.02</v>
      </c>
      <c r="D457" s="83">
        <v>274.18</v>
      </c>
      <c r="E457" s="83">
        <v>282.39999999999998</v>
      </c>
      <c r="F457" s="83">
        <v>274.18</v>
      </c>
      <c r="G457" s="83">
        <v>107283</v>
      </c>
      <c r="H457" s="85">
        <v>2.4899999999999999E-2</v>
      </c>
      <c r="I457" s="97">
        <v>3.3999999999999998E-3</v>
      </c>
      <c r="J457" s="97">
        <f t="shared" si="6"/>
        <v>2.1499999999999998E-2</v>
      </c>
    </row>
    <row r="458" spans="2:10">
      <c r="B458" s="84">
        <v>45110</v>
      </c>
      <c r="C458" s="82">
        <v>274.18</v>
      </c>
      <c r="D458" s="83">
        <v>277.92</v>
      </c>
      <c r="E458" s="83">
        <v>277.92</v>
      </c>
      <c r="F458" s="83">
        <v>269.02</v>
      </c>
      <c r="G458" s="83">
        <v>111946</v>
      </c>
      <c r="H458" s="85">
        <v>-2.3999999999999998E-3</v>
      </c>
      <c r="I458" s="97">
        <v>7.0000000000000001E-3</v>
      </c>
      <c r="J458" s="97">
        <f t="shared" ref="J458:J521" si="7">H458-I458</f>
        <v>-9.4000000000000004E-3</v>
      </c>
    </row>
    <row r="459" spans="2:10">
      <c r="B459" s="84">
        <v>45107</v>
      </c>
      <c r="C459" s="82">
        <v>274.83</v>
      </c>
      <c r="D459" s="83">
        <v>286.2</v>
      </c>
      <c r="E459" s="83">
        <v>287</v>
      </c>
      <c r="F459" s="83">
        <v>274.47000000000003</v>
      </c>
      <c r="G459" s="83">
        <v>226275</v>
      </c>
      <c r="H459" s="85">
        <v>-2.93E-2</v>
      </c>
      <c r="I459" s="97">
        <v>1.14E-2</v>
      </c>
      <c r="J459" s="97">
        <f t="shared" si="7"/>
        <v>-4.07E-2</v>
      </c>
    </row>
    <row r="460" spans="2:10">
      <c r="B460" s="84">
        <v>45105</v>
      </c>
      <c r="C460" s="82">
        <v>283.13</v>
      </c>
      <c r="D460" s="83">
        <v>286</v>
      </c>
      <c r="E460" s="83">
        <v>289.77</v>
      </c>
      <c r="F460" s="83">
        <v>280</v>
      </c>
      <c r="G460" s="83">
        <v>357429</v>
      </c>
      <c r="H460" s="85">
        <v>3.8E-3</v>
      </c>
      <c r="I460" s="97">
        <v>8.2000000000000007E-3</v>
      </c>
      <c r="J460" s="97">
        <f t="shared" si="7"/>
        <v>-4.4000000000000011E-3</v>
      </c>
    </row>
    <row r="461" spans="2:10">
      <c r="B461" s="84">
        <v>45104</v>
      </c>
      <c r="C461" s="82">
        <v>282.07</v>
      </c>
      <c r="D461" s="83">
        <v>289.8</v>
      </c>
      <c r="E461" s="83">
        <v>289.8</v>
      </c>
      <c r="F461" s="83">
        <v>279.17</v>
      </c>
      <c r="G461" s="83">
        <v>614286</v>
      </c>
      <c r="H461" s="85">
        <v>1.3899999999999999E-2</v>
      </c>
      <c r="I461" s="97">
        <v>6.7999999999999996E-3</v>
      </c>
      <c r="J461" s="97">
        <f t="shared" si="7"/>
        <v>7.0999999999999995E-3</v>
      </c>
    </row>
    <row r="462" spans="2:10">
      <c r="B462" s="84">
        <v>45103</v>
      </c>
      <c r="C462" s="82">
        <v>278.2</v>
      </c>
      <c r="D462" s="83">
        <v>274</v>
      </c>
      <c r="E462" s="83">
        <v>279.91000000000003</v>
      </c>
      <c r="F462" s="83">
        <v>271.60000000000002</v>
      </c>
      <c r="G462" s="83">
        <v>61556</v>
      </c>
      <c r="H462" s="85">
        <v>2.4299999999999999E-2</v>
      </c>
      <c r="I462" s="97">
        <v>1.4E-3</v>
      </c>
      <c r="J462" s="97">
        <f t="shared" si="7"/>
        <v>2.29E-2</v>
      </c>
    </row>
    <row r="463" spans="2:10">
      <c r="B463" s="84">
        <v>45100</v>
      </c>
      <c r="C463" s="82">
        <v>271.60000000000002</v>
      </c>
      <c r="D463" s="83">
        <v>279.38</v>
      </c>
      <c r="E463" s="83">
        <v>279.38</v>
      </c>
      <c r="F463" s="83">
        <v>270.02</v>
      </c>
      <c r="G463" s="83">
        <v>18365</v>
      </c>
      <c r="H463" s="85">
        <v>-2.2800000000000001E-2</v>
      </c>
      <c r="I463" s="97">
        <v>-5.5999999999999999E-3</v>
      </c>
      <c r="J463" s="97">
        <f t="shared" si="7"/>
        <v>-1.72E-2</v>
      </c>
    </row>
    <row r="464" spans="2:10">
      <c r="B464" s="84">
        <v>45099</v>
      </c>
      <c r="C464" s="82">
        <v>277.93</v>
      </c>
      <c r="D464" s="83">
        <v>284.05</v>
      </c>
      <c r="E464" s="83">
        <v>285.89999999999998</v>
      </c>
      <c r="F464" s="83">
        <v>275</v>
      </c>
      <c r="G464" s="83">
        <v>16445</v>
      </c>
      <c r="H464" s="85">
        <v>-2.1600000000000001E-2</v>
      </c>
      <c r="I464" s="97">
        <v>-4.4999999999999997E-3</v>
      </c>
      <c r="J464" s="97">
        <f t="shared" si="7"/>
        <v>-1.7100000000000001E-2</v>
      </c>
    </row>
    <row r="465" spans="2:11">
      <c r="B465" s="84">
        <v>45098</v>
      </c>
      <c r="C465" s="82">
        <v>284.08</v>
      </c>
      <c r="D465" s="83">
        <v>278.94</v>
      </c>
      <c r="E465" s="83">
        <v>284.7</v>
      </c>
      <c r="F465" s="83">
        <v>278.79000000000002</v>
      </c>
      <c r="G465" s="83">
        <v>55092</v>
      </c>
      <c r="H465" s="85">
        <v>2.4299999999999999E-2</v>
      </c>
      <c r="I465" s="97">
        <v>2.0999999999999999E-3</v>
      </c>
      <c r="J465" s="97">
        <f t="shared" si="7"/>
        <v>2.2199999999999998E-2</v>
      </c>
    </row>
    <row r="466" spans="2:11">
      <c r="B466" s="84">
        <v>45097</v>
      </c>
      <c r="C466" s="82">
        <v>277.35000000000002</v>
      </c>
      <c r="D466" s="83">
        <v>273.60000000000002</v>
      </c>
      <c r="E466" s="83">
        <v>281.8</v>
      </c>
      <c r="F466" s="83">
        <v>273.44</v>
      </c>
      <c r="G466" s="83">
        <v>17664</v>
      </c>
      <c r="H466" s="85">
        <v>8.6E-3</v>
      </c>
      <c r="I466" s="97">
        <v>3.3E-3</v>
      </c>
      <c r="J466" s="97">
        <f t="shared" si="7"/>
        <v>5.3E-3</v>
      </c>
    </row>
    <row r="467" spans="2:11">
      <c r="B467" s="84">
        <v>45096</v>
      </c>
      <c r="C467" s="82">
        <v>274.98</v>
      </c>
      <c r="D467" s="83">
        <v>281.77</v>
      </c>
      <c r="E467" s="83">
        <v>285</v>
      </c>
      <c r="F467" s="83">
        <v>273.42</v>
      </c>
      <c r="G467" s="83">
        <v>77238</v>
      </c>
      <c r="H467" s="85">
        <v>-1.6E-2</v>
      </c>
      <c r="I467" s="97">
        <v>-3.7000000000000002E-3</v>
      </c>
      <c r="J467" s="97">
        <f t="shared" si="7"/>
        <v>-1.23E-2</v>
      </c>
    </row>
    <row r="468" spans="2:11">
      <c r="B468" s="84">
        <v>45093</v>
      </c>
      <c r="C468" s="82">
        <v>279.45999999999998</v>
      </c>
      <c r="D468" s="83">
        <v>279.13</v>
      </c>
      <c r="E468" s="83">
        <v>280.92</v>
      </c>
      <c r="F468" s="83">
        <v>276</v>
      </c>
      <c r="G468" s="83">
        <v>51175</v>
      </c>
      <c r="H468" s="85">
        <v>9.4999999999999998E-3</v>
      </c>
      <c r="I468" s="97">
        <v>7.4000000000000003E-3</v>
      </c>
      <c r="J468" s="97">
        <f t="shared" si="7"/>
        <v>2.0999999999999994E-3</v>
      </c>
    </row>
    <row r="469" spans="2:11">
      <c r="B469" s="84">
        <v>45092</v>
      </c>
      <c r="C469" s="82">
        <v>276.82</v>
      </c>
      <c r="D469" s="83">
        <v>281.99</v>
      </c>
      <c r="E469" s="83">
        <v>281.99</v>
      </c>
      <c r="F469" s="83">
        <v>274.63</v>
      </c>
      <c r="G469" s="83">
        <v>42604</v>
      </c>
      <c r="H469" s="85">
        <v>-5.3E-3</v>
      </c>
      <c r="I469" s="97">
        <v>-3.5999999999999999E-3</v>
      </c>
      <c r="J469" s="97">
        <f t="shared" si="7"/>
        <v>-1.7000000000000001E-3</v>
      </c>
    </row>
    <row r="470" spans="2:11">
      <c r="B470" s="84">
        <v>45091</v>
      </c>
      <c r="C470" s="82">
        <v>278.29000000000002</v>
      </c>
      <c r="D470" s="83">
        <v>283.14</v>
      </c>
      <c r="E470" s="83">
        <v>283.58</v>
      </c>
      <c r="F470" s="83">
        <v>276.88</v>
      </c>
      <c r="G470" s="83">
        <v>52233</v>
      </c>
      <c r="H470" s="85">
        <v>-8.8999999999999999E-3</v>
      </c>
      <c r="I470" s="97">
        <v>2.0999999999999999E-3</v>
      </c>
      <c r="J470" s="97">
        <f t="shared" si="7"/>
        <v>-1.0999999999999999E-2</v>
      </c>
    </row>
    <row r="471" spans="2:11">
      <c r="B471" s="84">
        <v>45090</v>
      </c>
      <c r="C471" s="82">
        <v>280.77999999999997</v>
      </c>
      <c r="D471" s="83">
        <v>268.2</v>
      </c>
      <c r="E471" s="83">
        <v>282.75</v>
      </c>
      <c r="F471" s="83">
        <v>267.2</v>
      </c>
      <c r="G471" s="83">
        <v>74087</v>
      </c>
      <c r="H471" s="85">
        <v>4.3700000000000003E-2</v>
      </c>
      <c r="I471" s="97">
        <v>6.1999999999999998E-3</v>
      </c>
      <c r="J471" s="97">
        <f t="shared" si="7"/>
        <v>3.7500000000000006E-2</v>
      </c>
    </row>
    <row r="472" spans="2:11">
      <c r="B472" s="84">
        <v>45089</v>
      </c>
      <c r="C472" s="82">
        <v>269.02</v>
      </c>
      <c r="D472" s="83">
        <v>273.39999999999998</v>
      </c>
      <c r="E472" s="83">
        <v>276.3</v>
      </c>
      <c r="F472" s="83">
        <v>268.39999999999998</v>
      </c>
      <c r="G472" s="83">
        <v>44081</v>
      </c>
      <c r="H472" s="85">
        <v>-1.6E-2</v>
      </c>
      <c r="I472" s="97">
        <v>2.0999999999999999E-3</v>
      </c>
      <c r="J472" s="97">
        <f t="shared" si="7"/>
        <v>-1.8100000000000002E-2</v>
      </c>
    </row>
    <row r="473" spans="2:11">
      <c r="B473" s="84">
        <v>45086</v>
      </c>
      <c r="C473" s="82">
        <v>273.39999999999998</v>
      </c>
      <c r="D473" s="83">
        <v>280</v>
      </c>
      <c r="E473" s="83">
        <v>284.99</v>
      </c>
      <c r="F473" s="83">
        <v>272.02</v>
      </c>
      <c r="G473" s="83">
        <v>56380</v>
      </c>
      <c r="H473" s="85">
        <v>-1.9900000000000001E-2</v>
      </c>
      <c r="I473" s="97">
        <v>-3.8E-3</v>
      </c>
      <c r="J473" s="97">
        <f t="shared" si="7"/>
        <v>-1.61E-2</v>
      </c>
    </row>
    <row r="474" spans="2:11">
      <c r="B474" s="84">
        <v>45085</v>
      </c>
      <c r="C474" s="82">
        <v>278.95999999999998</v>
      </c>
      <c r="D474" s="83">
        <v>286.39</v>
      </c>
      <c r="E474" s="83">
        <v>286.39</v>
      </c>
      <c r="F474" s="83">
        <v>277</v>
      </c>
      <c r="G474" s="83">
        <v>192937</v>
      </c>
      <c r="H474" s="85">
        <v>-2.7400000000000001E-2</v>
      </c>
      <c r="I474" s="97">
        <v>-4.8999999999999998E-3</v>
      </c>
      <c r="J474" s="97">
        <f t="shared" si="7"/>
        <v>-2.2499999999999999E-2</v>
      </c>
    </row>
    <row r="475" spans="2:11">
      <c r="B475" s="84">
        <v>45084</v>
      </c>
      <c r="C475" s="82">
        <v>286.81</v>
      </c>
      <c r="D475" s="83">
        <v>284.82</v>
      </c>
      <c r="E475" s="83">
        <v>289.89999999999998</v>
      </c>
      <c r="F475" s="83">
        <v>280.45999999999998</v>
      </c>
      <c r="G475" s="83">
        <v>111305</v>
      </c>
      <c r="H475" s="85">
        <v>-6.6E-3</v>
      </c>
      <c r="I475" s="97">
        <v>6.7999999999999996E-3</v>
      </c>
      <c r="J475" s="97">
        <f t="shared" si="7"/>
        <v>-1.3399999999999999E-2</v>
      </c>
    </row>
    <row r="476" spans="2:11">
      <c r="B476" s="84">
        <v>45083</v>
      </c>
      <c r="C476" s="82">
        <v>288.72000000000003</v>
      </c>
      <c r="D476" s="83">
        <v>289.74</v>
      </c>
      <c r="E476" s="83">
        <v>289.98</v>
      </c>
      <c r="F476" s="83">
        <v>284.7</v>
      </c>
      <c r="G476" s="83">
        <v>49000</v>
      </c>
      <c r="H476" s="85">
        <v>5.0000000000000001E-4</v>
      </c>
      <c r="I476" s="97">
        <v>2.9999999999999997E-4</v>
      </c>
      <c r="J476" s="97">
        <f t="shared" si="7"/>
        <v>2.0000000000000004E-4</v>
      </c>
    </row>
    <row r="477" spans="2:11">
      <c r="B477" s="84">
        <v>45082</v>
      </c>
      <c r="C477" s="82">
        <v>288.57</v>
      </c>
      <c r="D477" s="83">
        <v>287.8</v>
      </c>
      <c r="E477" s="83">
        <v>289.95</v>
      </c>
      <c r="F477" s="83">
        <v>284.73</v>
      </c>
      <c r="G477" s="83">
        <v>42256</v>
      </c>
      <c r="H477" s="85">
        <v>8.0000000000000002E-3</v>
      </c>
      <c r="I477" s="97">
        <v>3.2000000000000002E-3</v>
      </c>
      <c r="J477" s="97">
        <f t="shared" si="7"/>
        <v>4.8000000000000004E-3</v>
      </c>
    </row>
    <row r="478" spans="2:11">
      <c r="B478" s="84">
        <v>45079</v>
      </c>
      <c r="C478" s="82">
        <v>286.29000000000002</v>
      </c>
      <c r="D478" s="83">
        <v>287.64999999999998</v>
      </c>
      <c r="E478" s="83">
        <v>290</v>
      </c>
      <c r="F478" s="83">
        <v>284.2</v>
      </c>
      <c r="G478" s="83">
        <v>69885</v>
      </c>
      <c r="H478" s="85">
        <v>-4.7000000000000002E-3</v>
      </c>
      <c r="I478" s="97">
        <v>2.5000000000000001E-3</v>
      </c>
      <c r="J478" s="97">
        <f t="shared" si="7"/>
        <v>-7.1999999999999998E-3</v>
      </c>
    </row>
    <row r="479" spans="2:11">
      <c r="B479" s="84">
        <v>45078</v>
      </c>
      <c r="C479" s="82">
        <v>287.64999999999998</v>
      </c>
      <c r="D479" s="83">
        <v>290.12</v>
      </c>
      <c r="E479" s="83">
        <v>290.12</v>
      </c>
      <c r="F479" s="83">
        <v>284</v>
      </c>
      <c r="G479" s="83">
        <v>87244</v>
      </c>
      <c r="H479" s="85">
        <v>-1.17E-2</v>
      </c>
      <c r="I479" s="97">
        <v>-2.5000000000000001E-3</v>
      </c>
      <c r="J479" s="97">
        <f t="shared" si="7"/>
        <v>-9.1999999999999998E-3</v>
      </c>
    </row>
    <row r="480" spans="2:11">
      <c r="B480" s="84">
        <v>45077</v>
      </c>
      <c r="C480" s="82">
        <v>291.05</v>
      </c>
      <c r="D480" s="83">
        <v>275.2</v>
      </c>
      <c r="E480" s="83">
        <v>293</v>
      </c>
      <c r="F480" s="83">
        <v>273</v>
      </c>
      <c r="G480" s="83">
        <v>305088</v>
      </c>
      <c r="H480" s="85">
        <v>4.7E-2</v>
      </c>
      <c r="I480" s="97">
        <v>-5.3E-3</v>
      </c>
      <c r="J480" s="97">
        <f t="shared" si="7"/>
        <v>5.2299999999999999E-2</v>
      </c>
      <c r="K480" s="87"/>
    </row>
    <row r="481" spans="2:11">
      <c r="B481" s="84">
        <v>45076</v>
      </c>
      <c r="C481" s="82">
        <v>277.98</v>
      </c>
      <c r="D481" s="83">
        <v>263.39999999999998</v>
      </c>
      <c r="E481" s="83">
        <v>280</v>
      </c>
      <c r="F481" s="83">
        <v>262</v>
      </c>
      <c r="G481" s="83">
        <v>200992</v>
      </c>
      <c r="H481" s="85">
        <v>5.5300000000000002E-2</v>
      </c>
      <c r="I481" s="97">
        <v>1.9E-3</v>
      </c>
      <c r="J481" s="97">
        <f t="shared" si="7"/>
        <v>5.3400000000000003E-2</v>
      </c>
      <c r="K481" s="87"/>
    </row>
    <row r="482" spans="2:11">
      <c r="B482" s="84">
        <v>45075</v>
      </c>
      <c r="C482" s="82">
        <v>263.42</v>
      </c>
      <c r="D482" s="83">
        <v>265.60000000000002</v>
      </c>
      <c r="E482" s="83">
        <v>268</v>
      </c>
      <c r="F482" s="83">
        <v>261.02</v>
      </c>
      <c r="G482" s="83">
        <v>36397</v>
      </c>
      <c r="H482" s="85">
        <v>-6.3E-3</v>
      </c>
      <c r="I482" s="97">
        <v>5.4000000000000003E-3</v>
      </c>
      <c r="J482" s="97">
        <f t="shared" si="7"/>
        <v>-1.17E-2</v>
      </c>
    </row>
    <row r="483" spans="2:11">
      <c r="B483" s="84">
        <v>45072</v>
      </c>
      <c r="C483" s="82">
        <v>265.08</v>
      </c>
      <c r="D483" s="83">
        <v>270.39</v>
      </c>
      <c r="E483" s="83">
        <v>271.95999999999998</v>
      </c>
      <c r="F483" s="83">
        <v>261</v>
      </c>
      <c r="G483" s="83">
        <v>19992</v>
      </c>
      <c r="H483" s="85">
        <v>-1.8499999999999999E-2</v>
      </c>
      <c r="I483" s="97">
        <v>9.7000000000000003E-3</v>
      </c>
      <c r="J483" s="97">
        <f t="shared" si="7"/>
        <v>-2.8199999999999999E-2</v>
      </c>
    </row>
    <row r="484" spans="2:11">
      <c r="B484" s="84">
        <v>45071</v>
      </c>
      <c r="C484" s="82">
        <v>270.07</v>
      </c>
      <c r="D484" s="83">
        <v>263.2</v>
      </c>
      <c r="E484" s="83">
        <v>273.32</v>
      </c>
      <c r="F484" s="83">
        <v>263.2</v>
      </c>
      <c r="G484" s="83">
        <v>93513</v>
      </c>
      <c r="H484" s="85">
        <v>1.11E-2</v>
      </c>
      <c r="I484" s="97">
        <v>2E-3</v>
      </c>
      <c r="J484" s="97">
        <f t="shared" si="7"/>
        <v>9.1000000000000004E-3</v>
      </c>
    </row>
    <row r="485" spans="2:11">
      <c r="B485" s="84">
        <v>45070</v>
      </c>
      <c r="C485" s="82">
        <v>267.10000000000002</v>
      </c>
      <c r="D485" s="83">
        <v>263.83999999999997</v>
      </c>
      <c r="E485" s="83">
        <v>268</v>
      </c>
      <c r="F485" s="83">
        <v>263</v>
      </c>
      <c r="G485" s="83">
        <v>84794</v>
      </c>
      <c r="H485" s="85">
        <v>1.17E-2</v>
      </c>
      <c r="I485" s="97">
        <v>-3.3999999999999998E-3</v>
      </c>
      <c r="J485" s="97">
        <f t="shared" si="7"/>
        <v>1.5100000000000001E-2</v>
      </c>
    </row>
    <row r="486" spans="2:11">
      <c r="B486" s="84">
        <v>45069</v>
      </c>
      <c r="C486" s="82">
        <v>264.02</v>
      </c>
      <c r="D486" s="83">
        <v>258.52999999999997</v>
      </c>
      <c r="E486" s="83">
        <v>265.60000000000002</v>
      </c>
      <c r="F486" s="83">
        <v>258.52999999999997</v>
      </c>
      <c r="G486" s="83">
        <v>83017</v>
      </c>
      <c r="H486" s="85">
        <v>1.89E-2</v>
      </c>
      <c r="I486" s="97">
        <v>1.8E-3</v>
      </c>
      <c r="J486" s="97">
        <f t="shared" si="7"/>
        <v>1.7100000000000001E-2</v>
      </c>
    </row>
    <row r="487" spans="2:11">
      <c r="B487" s="84">
        <v>45068</v>
      </c>
      <c r="C487" s="82">
        <v>259.11</v>
      </c>
      <c r="D487" s="83">
        <v>259.64</v>
      </c>
      <c r="E487" s="83">
        <v>263.24</v>
      </c>
      <c r="F487" s="83">
        <v>256.8</v>
      </c>
      <c r="G487" s="83">
        <v>48865</v>
      </c>
      <c r="H487" s="85">
        <v>-2E-3</v>
      </c>
      <c r="I487" s="97">
        <v>6.1000000000000004E-3</v>
      </c>
      <c r="J487" s="97">
        <f t="shared" si="7"/>
        <v>-8.0999999999999996E-3</v>
      </c>
    </row>
    <row r="488" spans="2:11">
      <c r="B488" s="84">
        <v>45065</v>
      </c>
      <c r="C488" s="82">
        <v>259.64</v>
      </c>
      <c r="D488" s="83">
        <v>262.79000000000002</v>
      </c>
      <c r="E488" s="83">
        <v>266.32</v>
      </c>
      <c r="F488" s="83">
        <v>258.41000000000003</v>
      </c>
      <c r="G488" s="83">
        <v>15657</v>
      </c>
      <c r="H488" s="85">
        <v>-1.17E-2</v>
      </c>
      <c r="I488" s="97">
        <v>4.1000000000000003E-3</v>
      </c>
      <c r="J488" s="97">
        <f t="shared" si="7"/>
        <v>-1.5800000000000002E-2</v>
      </c>
    </row>
    <row r="489" spans="2:11">
      <c r="B489" s="84">
        <v>45064</v>
      </c>
      <c r="C489" s="82">
        <v>262.72000000000003</v>
      </c>
      <c r="D489" s="83">
        <v>262</v>
      </c>
      <c r="E489" s="83">
        <v>269.95999999999998</v>
      </c>
      <c r="F489" s="83">
        <v>260.81</v>
      </c>
      <c r="G489" s="83">
        <v>149731</v>
      </c>
      <c r="H489" s="85">
        <v>1.14E-2</v>
      </c>
      <c r="I489" s="97">
        <v>-2.8E-3</v>
      </c>
      <c r="J489" s="97">
        <f t="shared" si="7"/>
        <v>1.4200000000000001E-2</v>
      </c>
    </row>
    <row r="490" spans="2:11">
      <c r="B490" s="84">
        <v>45063</v>
      </c>
      <c r="C490" s="82">
        <v>259.75</v>
      </c>
      <c r="D490" s="83">
        <v>259.39</v>
      </c>
      <c r="E490" s="83">
        <v>263.41000000000003</v>
      </c>
      <c r="F490" s="83">
        <v>258.22000000000003</v>
      </c>
      <c r="G490" s="83">
        <v>29966</v>
      </c>
      <c r="H490" s="85">
        <v>2.3999999999999998E-3</v>
      </c>
      <c r="I490" s="97">
        <v>-5.7000000000000002E-3</v>
      </c>
      <c r="J490" s="97">
        <f t="shared" si="7"/>
        <v>8.0999999999999996E-3</v>
      </c>
    </row>
    <row r="491" spans="2:11">
      <c r="B491" s="84">
        <v>45062</v>
      </c>
      <c r="C491" s="82">
        <v>259.14</v>
      </c>
      <c r="D491" s="83">
        <v>254.6</v>
      </c>
      <c r="E491" s="83">
        <v>261.95</v>
      </c>
      <c r="F491" s="83">
        <v>254.6</v>
      </c>
      <c r="G491" s="83">
        <v>114489</v>
      </c>
      <c r="H491" s="85">
        <v>1.04E-2</v>
      </c>
      <c r="I491" s="97">
        <v>-6.1000000000000004E-3</v>
      </c>
      <c r="J491" s="97">
        <f t="shared" si="7"/>
        <v>1.6500000000000001E-2</v>
      </c>
    </row>
    <row r="492" spans="2:11">
      <c r="B492" s="84">
        <v>45061</v>
      </c>
      <c r="C492" s="82">
        <v>256.48</v>
      </c>
      <c r="D492" s="83">
        <v>254.4</v>
      </c>
      <c r="E492" s="83">
        <v>257.60000000000002</v>
      </c>
      <c r="F492" s="83">
        <v>249.4</v>
      </c>
      <c r="G492" s="83">
        <v>50961</v>
      </c>
      <c r="H492" s="85">
        <v>4.1000000000000003E-3</v>
      </c>
      <c r="I492" s="97">
        <v>4.5999999999999999E-3</v>
      </c>
      <c r="J492" s="97">
        <f t="shared" si="7"/>
        <v>-4.9999999999999958E-4</v>
      </c>
    </row>
    <row r="493" spans="2:11">
      <c r="B493" s="84">
        <v>45058</v>
      </c>
      <c r="C493" s="82">
        <v>255.44</v>
      </c>
      <c r="D493" s="83">
        <v>261.54000000000002</v>
      </c>
      <c r="E493" s="83">
        <v>266.24</v>
      </c>
      <c r="F493" s="83">
        <v>252.44</v>
      </c>
      <c r="G493" s="83">
        <v>379462</v>
      </c>
      <c r="H493" s="85">
        <v>-1.3599999999999999E-2</v>
      </c>
      <c r="I493" s="97">
        <v>1E-3</v>
      </c>
      <c r="J493" s="97">
        <f t="shared" si="7"/>
        <v>-1.4599999999999998E-2</v>
      </c>
    </row>
    <row r="494" spans="2:11">
      <c r="B494" s="84">
        <v>45057</v>
      </c>
      <c r="C494" s="82">
        <v>258.95</v>
      </c>
      <c r="D494" s="83">
        <v>264.39999999999998</v>
      </c>
      <c r="E494" s="83">
        <v>264.39999999999998</v>
      </c>
      <c r="F494" s="83">
        <v>256.8</v>
      </c>
      <c r="G494" s="83">
        <v>10739</v>
      </c>
      <c r="H494" s="85">
        <v>-1.1299999999999999E-2</v>
      </c>
      <c r="I494" s="97">
        <v>-1E-3</v>
      </c>
      <c r="J494" s="97">
        <f t="shared" si="7"/>
        <v>-1.03E-2</v>
      </c>
    </row>
    <row r="495" spans="2:11">
      <c r="B495" s="84">
        <v>45056</v>
      </c>
      <c r="C495" s="82">
        <v>261.91000000000003</v>
      </c>
      <c r="D495" s="83">
        <v>258.5</v>
      </c>
      <c r="E495" s="83">
        <v>265.48</v>
      </c>
      <c r="F495" s="83">
        <v>258.5</v>
      </c>
      <c r="G495" s="83">
        <v>76785</v>
      </c>
      <c r="H495" s="85">
        <v>1.32E-2</v>
      </c>
      <c r="I495" s="97">
        <v>2.7000000000000001E-3</v>
      </c>
      <c r="J495" s="97">
        <f t="shared" si="7"/>
        <v>1.0499999999999999E-2</v>
      </c>
    </row>
    <row r="496" spans="2:11">
      <c r="B496" s="84">
        <v>45055</v>
      </c>
      <c r="C496" s="82">
        <v>258.5</v>
      </c>
      <c r="D496" s="83">
        <v>267</v>
      </c>
      <c r="E496" s="83">
        <v>267.77999999999997</v>
      </c>
      <c r="F496" s="83">
        <v>257.14</v>
      </c>
      <c r="G496" s="83">
        <v>55941</v>
      </c>
      <c r="H496" s="85">
        <v>-2.0400000000000001E-2</v>
      </c>
      <c r="I496" s="97">
        <v>1E-4</v>
      </c>
      <c r="J496" s="97">
        <f t="shared" si="7"/>
        <v>-2.0500000000000001E-2</v>
      </c>
    </row>
    <row r="497" spans="2:11">
      <c r="B497" s="84">
        <v>45054</v>
      </c>
      <c r="C497" s="82">
        <v>263.89</v>
      </c>
      <c r="D497" s="83">
        <v>262.60000000000002</v>
      </c>
      <c r="E497" s="83">
        <v>268.76</v>
      </c>
      <c r="F497" s="83">
        <v>260.63</v>
      </c>
      <c r="G497" s="83">
        <v>83220</v>
      </c>
      <c r="H497" s="85">
        <v>1.4999999999999999E-2</v>
      </c>
      <c r="I497" s="97">
        <v>1.0800000000000001E-2</v>
      </c>
      <c r="J497" s="97">
        <f t="shared" si="7"/>
        <v>4.1999999999999989E-3</v>
      </c>
    </row>
    <row r="498" spans="2:11">
      <c r="B498" s="84">
        <v>45051</v>
      </c>
      <c r="C498" s="82">
        <v>259.99</v>
      </c>
      <c r="D498" s="83">
        <v>262</v>
      </c>
      <c r="E498" s="83">
        <v>264</v>
      </c>
      <c r="F498" s="83">
        <v>258</v>
      </c>
      <c r="G498" s="83">
        <v>42818</v>
      </c>
      <c r="H498" s="85">
        <v>-1.1299999999999999E-2</v>
      </c>
      <c r="I498" s="97">
        <v>-1.0200000000000001E-2</v>
      </c>
      <c r="J498" s="97">
        <f t="shared" si="7"/>
        <v>-1.0999999999999985E-3</v>
      </c>
    </row>
    <row r="499" spans="2:11">
      <c r="B499" s="84">
        <v>45050</v>
      </c>
      <c r="C499" s="82">
        <v>262.97000000000003</v>
      </c>
      <c r="D499" s="83">
        <v>261.60000000000002</v>
      </c>
      <c r="E499" s="83">
        <v>264.67</v>
      </c>
      <c r="F499" s="83">
        <v>256.49</v>
      </c>
      <c r="G499" s="83">
        <v>88267</v>
      </c>
      <c r="H499" s="85">
        <v>5.7999999999999996E-3</v>
      </c>
      <c r="I499" s="97">
        <v>9.1999999999999998E-3</v>
      </c>
      <c r="J499" s="97">
        <f t="shared" si="7"/>
        <v>-3.4000000000000002E-3</v>
      </c>
    </row>
    <row r="500" spans="2:11">
      <c r="B500" s="84">
        <v>45049</v>
      </c>
      <c r="C500" s="82">
        <v>261.45</v>
      </c>
      <c r="D500" s="83">
        <v>248.08</v>
      </c>
      <c r="E500" s="83">
        <v>263.8</v>
      </c>
      <c r="F500" s="83">
        <v>248.08</v>
      </c>
      <c r="G500" s="83">
        <v>290103</v>
      </c>
      <c r="H500" s="85">
        <v>5.3900000000000003E-2</v>
      </c>
      <c r="I500" s="97">
        <v>-3.2000000000000002E-3</v>
      </c>
      <c r="J500" s="97">
        <f t="shared" si="7"/>
        <v>5.7100000000000005E-2</v>
      </c>
      <c r="K500" s="87"/>
    </row>
    <row r="501" spans="2:11">
      <c r="B501" s="84">
        <v>45048</v>
      </c>
      <c r="C501" s="82">
        <v>248.08</v>
      </c>
      <c r="D501" s="83">
        <v>243</v>
      </c>
      <c r="E501" s="83">
        <v>252</v>
      </c>
      <c r="F501" s="83">
        <v>239</v>
      </c>
      <c r="G501" s="83">
        <v>396795</v>
      </c>
      <c r="H501" s="85">
        <v>3.73E-2</v>
      </c>
      <c r="I501" s="97">
        <v>4.5999999999999999E-3</v>
      </c>
      <c r="J501" s="97">
        <f t="shared" si="7"/>
        <v>3.27E-2</v>
      </c>
    </row>
    <row r="502" spans="2:11">
      <c r="B502" s="84">
        <v>45044</v>
      </c>
      <c r="C502" s="82">
        <v>239.17</v>
      </c>
      <c r="D502" s="83">
        <v>239.21</v>
      </c>
      <c r="E502" s="83">
        <v>240.19</v>
      </c>
      <c r="F502" s="83">
        <v>234</v>
      </c>
      <c r="G502" s="83">
        <v>75790</v>
      </c>
      <c r="H502" s="85">
        <v>1.49E-2</v>
      </c>
      <c r="I502" s="97">
        <v>8.3999999999999995E-3</v>
      </c>
      <c r="J502" s="97">
        <f t="shared" si="7"/>
        <v>6.5000000000000006E-3</v>
      </c>
    </row>
    <row r="503" spans="2:11">
      <c r="B503" s="84">
        <v>45043</v>
      </c>
      <c r="C503" s="82">
        <v>235.67</v>
      </c>
      <c r="D503" s="83">
        <v>236.18</v>
      </c>
      <c r="E503" s="83">
        <v>237.98</v>
      </c>
      <c r="F503" s="83">
        <v>233.84</v>
      </c>
      <c r="G503" s="83">
        <v>38372</v>
      </c>
      <c r="H503" s="85">
        <v>3.0999999999999999E-3</v>
      </c>
      <c r="I503" s="97">
        <v>5.7000000000000002E-3</v>
      </c>
      <c r="J503" s="97">
        <f t="shared" si="7"/>
        <v>-2.6000000000000003E-3</v>
      </c>
    </row>
    <row r="504" spans="2:11">
      <c r="B504" s="84">
        <v>45042</v>
      </c>
      <c r="C504" s="82">
        <v>234.95</v>
      </c>
      <c r="D504" s="83">
        <v>239.03</v>
      </c>
      <c r="E504" s="83">
        <v>239.4</v>
      </c>
      <c r="F504" s="83">
        <v>234</v>
      </c>
      <c r="G504" s="83">
        <v>12874</v>
      </c>
      <c r="H504" s="85">
        <v>-1.1900000000000001E-2</v>
      </c>
      <c r="I504" s="97">
        <v>2.5000000000000001E-3</v>
      </c>
      <c r="J504" s="97">
        <f t="shared" si="7"/>
        <v>-1.4400000000000001E-2</v>
      </c>
    </row>
    <row r="505" spans="2:11">
      <c r="B505" s="84">
        <v>45041</v>
      </c>
      <c r="C505" s="82">
        <v>237.78</v>
      </c>
      <c r="D505" s="83">
        <v>240.28</v>
      </c>
      <c r="E505" s="83">
        <v>241.8</v>
      </c>
      <c r="F505" s="83">
        <v>237.23</v>
      </c>
      <c r="G505" s="83">
        <v>11934</v>
      </c>
      <c r="H505" s="85">
        <v>-5.1999999999999998E-3</v>
      </c>
      <c r="I505" s="97">
        <v>1.5E-3</v>
      </c>
      <c r="J505" s="97">
        <f t="shared" si="7"/>
        <v>-6.6999999999999994E-3</v>
      </c>
    </row>
    <row r="506" spans="2:11">
      <c r="B506" s="84">
        <v>45040</v>
      </c>
      <c r="C506" s="82">
        <v>239.03</v>
      </c>
      <c r="D506" s="83">
        <v>238</v>
      </c>
      <c r="E506" s="83">
        <v>241.39</v>
      </c>
      <c r="F506" s="83">
        <v>238</v>
      </c>
      <c r="G506" s="83">
        <v>7575</v>
      </c>
      <c r="H506" s="85">
        <v>-2E-3</v>
      </c>
      <c r="I506" s="97">
        <v>6.7999999999999996E-3</v>
      </c>
      <c r="J506" s="97">
        <f t="shared" si="7"/>
        <v>-8.7999999999999988E-3</v>
      </c>
    </row>
    <row r="507" spans="2:11">
      <c r="B507" s="84">
        <v>45037</v>
      </c>
      <c r="C507" s="82">
        <v>239.51</v>
      </c>
      <c r="D507" s="83">
        <v>238.8</v>
      </c>
      <c r="E507" s="83">
        <v>240.89</v>
      </c>
      <c r="F507" s="83">
        <v>237.2</v>
      </c>
      <c r="G507" s="83">
        <v>11405</v>
      </c>
      <c r="H507" s="85">
        <v>2.3E-3</v>
      </c>
      <c r="I507" s="97">
        <v>0</v>
      </c>
      <c r="J507" s="97">
        <f t="shared" si="7"/>
        <v>2.3E-3</v>
      </c>
    </row>
    <row r="508" spans="2:11">
      <c r="B508" s="84">
        <v>45036</v>
      </c>
      <c r="C508" s="82">
        <v>238.97</v>
      </c>
      <c r="D508" s="83">
        <v>237.58</v>
      </c>
      <c r="E508" s="83">
        <v>241.96</v>
      </c>
      <c r="F508" s="83">
        <v>234.07</v>
      </c>
      <c r="G508" s="83">
        <v>50969</v>
      </c>
      <c r="H508" s="85">
        <v>2.2200000000000001E-2</v>
      </c>
      <c r="I508" s="97">
        <v>2.9999999999999997E-4</v>
      </c>
      <c r="J508" s="97">
        <f t="shared" si="7"/>
        <v>2.1899999999999999E-2</v>
      </c>
    </row>
    <row r="509" spans="2:11">
      <c r="B509" s="84">
        <v>45035</v>
      </c>
      <c r="C509" s="82">
        <v>233.77</v>
      </c>
      <c r="D509" s="83">
        <v>238.36</v>
      </c>
      <c r="E509" s="83">
        <v>238.36</v>
      </c>
      <c r="F509" s="83">
        <v>232.48</v>
      </c>
      <c r="G509" s="83">
        <v>102199</v>
      </c>
      <c r="H509" s="85">
        <v>-0.01</v>
      </c>
      <c r="I509" s="97">
        <v>-2.3E-3</v>
      </c>
      <c r="J509" s="97">
        <f t="shared" si="7"/>
        <v>-7.7000000000000002E-3</v>
      </c>
    </row>
    <row r="510" spans="2:11">
      <c r="B510" s="84">
        <v>45034</v>
      </c>
      <c r="C510" s="82">
        <v>236.14</v>
      </c>
      <c r="D510" s="83">
        <v>237.11</v>
      </c>
      <c r="E510" s="83">
        <v>238.06</v>
      </c>
      <c r="F510" s="83">
        <v>235.4</v>
      </c>
      <c r="G510" s="83">
        <v>103472</v>
      </c>
      <c r="H510" s="85">
        <v>-3.3999999999999998E-3</v>
      </c>
      <c r="I510" s="97">
        <v>-2.5999999999999999E-3</v>
      </c>
      <c r="J510" s="97">
        <f t="shared" si="7"/>
        <v>-7.9999999999999993E-4</v>
      </c>
    </row>
    <row r="511" spans="2:11">
      <c r="B511" s="84">
        <v>45033</v>
      </c>
      <c r="C511" s="82">
        <v>236.95</v>
      </c>
      <c r="D511" s="83">
        <v>238</v>
      </c>
      <c r="E511" s="83">
        <v>241.09</v>
      </c>
      <c r="F511" s="83">
        <v>235.43</v>
      </c>
      <c r="G511" s="83">
        <v>81749</v>
      </c>
      <c r="H511" s="85">
        <v>-5.1999999999999998E-3</v>
      </c>
      <c r="I511" s="97">
        <v>-6.7999999999999996E-3</v>
      </c>
      <c r="J511" s="97">
        <f t="shared" si="7"/>
        <v>1.5999999999999999E-3</v>
      </c>
    </row>
    <row r="512" spans="2:11">
      <c r="B512" s="84">
        <v>45029</v>
      </c>
      <c r="C512" s="82">
        <v>238.2</v>
      </c>
      <c r="D512" s="83">
        <v>237</v>
      </c>
      <c r="E512" s="83">
        <v>239</v>
      </c>
      <c r="F512" s="83">
        <v>235.36</v>
      </c>
      <c r="G512" s="83">
        <v>17783</v>
      </c>
      <c r="H512" s="85">
        <v>2.5999999999999999E-3</v>
      </c>
      <c r="I512" s="97">
        <v>8.9999999999999998E-4</v>
      </c>
      <c r="J512" s="97">
        <f t="shared" si="7"/>
        <v>1.6999999999999999E-3</v>
      </c>
    </row>
    <row r="513" spans="2:10">
      <c r="B513" s="84">
        <v>45028</v>
      </c>
      <c r="C513" s="82">
        <v>237.58</v>
      </c>
      <c r="D513" s="83">
        <v>240</v>
      </c>
      <c r="E513" s="83">
        <v>240.4</v>
      </c>
      <c r="F513" s="83">
        <v>236.32</v>
      </c>
      <c r="G513" s="83">
        <v>76915</v>
      </c>
      <c r="H513" s="85">
        <v>-9.2999999999999992E-3</v>
      </c>
      <c r="I513" s="97">
        <v>5.1000000000000004E-3</v>
      </c>
      <c r="J513" s="97">
        <f t="shared" si="7"/>
        <v>-1.44E-2</v>
      </c>
    </row>
    <row r="514" spans="2:10">
      <c r="B514" s="84">
        <v>45027</v>
      </c>
      <c r="C514" s="82">
        <v>239.81</v>
      </c>
      <c r="D514" s="83">
        <v>239</v>
      </c>
      <c r="E514" s="83">
        <v>242.99</v>
      </c>
      <c r="F514" s="83">
        <v>239</v>
      </c>
      <c r="G514" s="83">
        <v>57565</v>
      </c>
      <c r="H514" s="85">
        <v>3.8999999999999998E-3</v>
      </c>
      <c r="I514" s="97">
        <v>5.5999999999999999E-3</v>
      </c>
      <c r="J514" s="97">
        <f t="shared" si="7"/>
        <v>-1.7000000000000001E-3</v>
      </c>
    </row>
    <row r="515" spans="2:10">
      <c r="B515" s="84">
        <v>45026</v>
      </c>
      <c r="C515" s="82">
        <v>238.89</v>
      </c>
      <c r="D515" s="83">
        <v>239.32</v>
      </c>
      <c r="E515" s="83">
        <v>243.96</v>
      </c>
      <c r="F515" s="83">
        <v>238.4</v>
      </c>
      <c r="G515" s="83">
        <v>124561</v>
      </c>
      <c r="H515" s="85">
        <v>-1.6899999999999998E-2</v>
      </c>
      <c r="I515" s="97">
        <v>1.4E-3</v>
      </c>
      <c r="J515" s="97">
        <f t="shared" si="7"/>
        <v>-1.8299999999999997E-2</v>
      </c>
    </row>
    <row r="516" spans="2:10">
      <c r="B516" s="84">
        <v>45022</v>
      </c>
      <c r="C516" s="82">
        <v>243</v>
      </c>
      <c r="D516" s="83">
        <v>238.6</v>
      </c>
      <c r="E516" s="83">
        <v>246.29</v>
      </c>
      <c r="F516" s="83">
        <v>238.6</v>
      </c>
      <c r="G516" s="83">
        <v>35603</v>
      </c>
      <c r="H516" s="85">
        <v>1.2999999999999999E-2</v>
      </c>
      <c r="I516" s="97">
        <v>2.3999999999999998E-3</v>
      </c>
      <c r="J516" s="97">
        <f t="shared" si="7"/>
        <v>1.06E-2</v>
      </c>
    </row>
    <row r="517" spans="2:10">
      <c r="B517" s="84">
        <v>45021</v>
      </c>
      <c r="C517" s="82">
        <v>239.87</v>
      </c>
      <c r="D517" s="83">
        <v>240.4</v>
      </c>
      <c r="E517" s="83">
        <v>244.99</v>
      </c>
      <c r="F517" s="83">
        <v>238.26</v>
      </c>
      <c r="G517" s="83">
        <v>12296</v>
      </c>
      <c r="H517" s="85">
        <v>-4.7000000000000002E-3</v>
      </c>
      <c r="I517" s="97">
        <v>9.1000000000000004E-3</v>
      </c>
      <c r="J517" s="97">
        <f t="shared" si="7"/>
        <v>-1.38E-2</v>
      </c>
    </row>
    <row r="518" spans="2:10">
      <c r="B518" s="84">
        <v>45019</v>
      </c>
      <c r="C518" s="82">
        <v>241</v>
      </c>
      <c r="D518" s="83">
        <v>244.89</v>
      </c>
      <c r="E518" s="83">
        <v>244.89</v>
      </c>
      <c r="F518" s="83">
        <v>239.8</v>
      </c>
      <c r="G518" s="83">
        <v>19851</v>
      </c>
      <c r="H518" s="85">
        <v>-1.0800000000000001E-2</v>
      </c>
      <c r="I518" s="97">
        <v>2.2000000000000001E-3</v>
      </c>
      <c r="J518" s="97">
        <f t="shared" si="7"/>
        <v>-1.3000000000000001E-2</v>
      </c>
    </row>
    <row r="519" spans="2:10">
      <c r="B519" s="84">
        <v>45016</v>
      </c>
      <c r="C519" s="82">
        <v>243.62</v>
      </c>
      <c r="D519" s="83">
        <v>246.31</v>
      </c>
      <c r="E519" s="83">
        <v>246.31</v>
      </c>
      <c r="F519" s="83">
        <v>236.6</v>
      </c>
      <c r="G519" s="83">
        <v>60652</v>
      </c>
      <c r="H519" s="85">
        <v>-1.8E-3</v>
      </c>
      <c r="I519" s="97">
        <v>1.6299999999999999E-2</v>
      </c>
      <c r="J519" s="97">
        <f t="shared" si="7"/>
        <v>-1.8099999999999998E-2</v>
      </c>
    </row>
    <row r="520" spans="2:10">
      <c r="B520" s="84">
        <v>45014</v>
      </c>
      <c r="C520" s="82">
        <v>244.06</v>
      </c>
      <c r="D520" s="83">
        <v>232</v>
      </c>
      <c r="E520" s="83">
        <v>248</v>
      </c>
      <c r="F520" s="83">
        <v>231.26</v>
      </c>
      <c r="G520" s="83">
        <v>58254</v>
      </c>
      <c r="H520" s="85">
        <v>4.3400000000000001E-2</v>
      </c>
      <c r="I520" s="97">
        <v>7.6E-3</v>
      </c>
      <c r="J520" s="97">
        <f t="shared" si="7"/>
        <v>3.5799999999999998E-2</v>
      </c>
    </row>
    <row r="521" spans="2:10">
      <c r="B521" s="84">
        <v>45013</v>
      </c>
      <c r="C521" s="82">
        <v>233.9</v>
      </c>
      <c r="D521" s="83">
        <v>234</v>
      </c>
      <c r="E521" s="83">
        <v>237.69</v>
      </c>
      <c r="F521" s="83">
        <v>227.52</v>
      </c>
      <c r="G521" s="83">
        <v>29922</v>
      </c>
      <c r="H521" s="85">
        <v>3.8E-3</v>
      </c>
      <c r="I521" s="97">
        <v>-2E-3</v>
      </c>
      <c r="J521" s="97">
        <f t="shared" si="7"/>
        <v>5.7999999999999996E-3</v>
      </c>
    </row>
    <row r="522" spans="2:10">
      <c r="B522" s="84">
        <v>45012</v>
      </c>
      <c r="C522" s="82">
        <v>233.01</v>
      </c>
      <c r="D522" s="83">
        <v>234.2</v>
      </c>
      <c r="E522" s="83">
        <v>235.74</v>
      </c>
      <c r="F522" s="83">
        <v>230.01</v>
      </c>
      <c r="G522" s="83">
        <v>47186</v>
      </c>
      <c r="H522" s="85">
        <v>-1.1599999999999999E-2</v>
      </c>
      <c r="I522" s="97">
        <v>2.3999999999999998E-3</v>
      </c>
      <c r="J522" s="97">
        <f t="shared" ref="J522:J585" si="8">H522-I522</f>
        <v>-1.3999999999999999E-2</v>
      </c>
    </row>
    <row r="523" spans="2:10">
      <c r="B523" s="84">
        <v>45009</v>
      </c>
      <c r="C523" s="82">
        <v>235.75</v>
      </c>
      <c r="D523" s="83">
        <v>235.6</v>
      </c>
      <c r="E523" s="83">
        <v>238.96</v>
      </c>
      <c r="F523" s="83">
        <v>234.88</v>
      </c>
      <c r="G523" s="83">
        <v>12995</v>
      </c>
      <c r="H523" s="85">
        <v>-8.2000000000000007E-3</v>
      </c>
      <c r="I523" s="97">
        <v>-7.7000000000000002E-3</v>
      </c>
      <c r="J523" s="97">
        <f t="shared" si="8"/>
        <v>-5.0000000000000044E-4</v>
      </c>
    </row>
    <row r="524" spans="2:10">
      <c r="B524" s="84">
        <v>45008</v>
      </c>
      <c r="C524" s="82">
        <v>237.7</v>
      </c>
      <c r="D524" s="83">
        <v>238.78</v>
      </c>
      <c r="E524" s="83">
        <v>239.58</v>
      </c>
      <c r="F524" s="83">
        <v>234.8</v>
      </c>
      <c r="G524" s="83">
        <v>67606</v>
      </c>
      <c r="H524" s="85">
        <v>-5.8999999999999999E-3</v>
      </c>
      <c r="I524" s="97">
        <v>-4.4000000000000003E-3</v>
      </c>
      <c r="J524" s="97">
        <f t="shared" si="8"/>
        <v>-1.4999999999999996E-3</v>
      </c>
    </row>
    <row r="525" spans="2:10">
      <c r="B525" s="84">
        <v>45007</v>
      </c>
      <c r="C525" s="82">
        <v>239.1</v>
      </c>
      <c r="D525" s="83">
        <v>240</v>
      </c>
      <c r="E525" s="83">
        <v>241.59</v>
      </c>
      <c r="F525" s="83">
        <v>237.3</v>
      </c>
      <c r="G525" s="83">
        <v>39591</v>
      </c>
      <c r="H525" s="85">
        <v>-2.3800000000000002E-2</v>
      </c>
      <c r="I525" s="97">
        <v>2.5999999999999999E-3</v>
      </c>
      <c r="J525" s="97">
        <f t="shared" si="8"/>
        <v>-2.64E-2</v>
      </c>
    </row>
    <row r="526" spans="2:10">
      <c r="B526" s="84">
        <v>45006</v>
      </c>
      <c r="C526" s="82">
        <v>244.93</v>
      </c>
      <c r="D526" s="83">
        <v>235.4</v>
      </c>
      <c r="E526" s="83">
        <v>259.39999999999998</v>
      </c>
      <c r="F526" s="83">
        <v>234.1</v>
      </c>
      <c r="G526" s="83">
        <v>91369</v>
      </c>
      <c r="H526" s="85">
        <v>4.0099999999999997E-2</v>
      </c>
      <c r="I526" s="97">
        <v>7.0000000000000001E-3</v>
      </c>
      <c r="J526" s="97">
        <f t="shared" si="8"/>
        <v>3.3099999999999997E-2</v>
      </c>
    </row>
    <row r="527" spans="2:10">
      <c r="B527" s="84">
        <v>45005</v>
      </c>
      <c r="C527" s="82">
        <v>235.48</v>
      </c>
      <c r="D527" s="83">
        <v>237.6</v>
      </c>
      <c r="E527" s="83">
        <v>240.8</v>
      </c>
      <c r="F527" s="83">
        <v>232.67</v>
      </c>
      <c r="G527" s="83">
        <v>32229</v>
      </c>
      <c r="H527" s="85">
        <v>-8.8999999999999999E-3</v>
      </c>
      <c r="I527" s="97">
        <v>-6.4999999999999997E-3</v>
      </c>
      <c r="J527" s="97">
        <f t="shared" si="8"/>
        <v>-2.4000000000000002E-3</v>
      </c>
    </row>
    <row r="528" spans="2:10">
      <c r="B528" s="84">
        <v>45002</v>
      </c>
      <c r="C528" s="82">
        <v>237.6</v>
      </c>
      <c r="D528" s="83">
        <v>233.8</v>
      </c>
      <c r="E528" s="83">
        <v>240.88</v>
      </c>
      <c r="F528" s="83">
        <v>227.71</v>
      </c>
      <c r="G528" s="83">
        <v>664602</v>
      </c>
      <c r="H528" s="85">
        <v>3.04E-2</v>
      </c>
      <c r="I528" s="97">
        <v>6.7000000000000002E-3</v>
      </c>
      <c r="J528" s="97">
        <f t="shared" si="8"/>
        <v>2.3699999999999999E-2</v>
      </c>
    </row>
    <row r="529" spans="2:10">
      <c r="B529" s="84">
        <v>45001</v>
      </c>
      <c r="C529" s="82">
        <v>230.59</v>
      </c>
      <c r="D529" s="83">
        <v>234</v>
      </c>
      <c r="E529" s="83">
        <v>236</v>
      </c>
      <c r="F529" s="83">
        <v>224</v>
      </c>
      <c r="G529" s="83">
        <v>210339</v>
      </c>
      <c r="H529" s="85">
        <v>-2.64E-2</v>
      </c>
      <c r="I529" s="97">
        <v>8.0000000000000004E-4</v>
      </c>
      <c r="J529" s="97">
        <f t="shared" si="8"/>
        <v>-2.7199999999999998E-2</v>
      </c>
    </row>
    <row r="530" spans="2:10">
      <c r="B530" s="84">
        <v>45000</v>
      </c>
      <c r="C530" s="82">
        <v>236.85</v>
      </c>
      <c r="D530" s="83">
        <v>239.64</v>
      </c>
      <c r="E530" s="83">
        <v>242.78</v>
      </c>
      <c r="F530" s="83">
        <v>235</v>
      </c>
      <c r="G530" s="83">
        <v>25454</v>
      </c>
      <c r="H530" s="85">
        <v>-1.8700000000000001E-2</v>
      </c>
      <c r="I530" s="97">
        <v>-4.1999999999999997E-3</v>
      </c>
      <c r="J530" s="97">
        <f t="shared" si="8"/>
        <v>-1.4500000000000002E-2</v>
      </c>
    </row>
    <row r="531" spans="2:10">
      <c r="B531" s="84">
        <v>44999</v>
      </c>
      <c r="C531" s="82">
        <v>241.37</v>
      </c>
      <c r="D531" s="83">
        <v>239.64</v>
      </c>
      <c r="E531" s="83">
        <v>242.8</v>
      </c>
      <c r="F531" s="83">
        <v>236</v>
      </c>
      <c r="G531" s="83">
        <v>153897</v>
      </c>
      <c r="H531" s="85">
        <v>7.1999999999999998E-3</v>
      </c>
      <c r="I531" s="97">
        <v>-6.4999999999999997E-3</v>
      </c>
      <c r="J531" s="97">
        <f t="shared" si="8"/>
        <v>1.37E-2</v>
      </c>
    </row>
    <row r="532" spans="2:10">
      <c r="B532" s="84">
        <v>44998</v>
      </c>
      <c r="C532" s="82">
        <v>239.64</v>
      </c>
      <c r="D532" s="83">
        <v>242</v>
      </c>
      <c r="E532" s="83">
        <v>245.57</v>
      </c>
      <c r="F532" s="83">
        <v>235.8</v>
      </c>
      <c r="G532" s="83">
        <v>50735</v>
      </c>
      <c r="H532" s="85">
        <v>-1.3299999999999999E-2</v>
      </c>
      <c r="I532" s="97">
        <v>-1.49E-2</v>
      </c>
      <c r="J532" s="97">
        <f t="shared" si="8"/>
        <v>1.6000000000000007E-3</v>
      </c>
    </row>
    <row r="533" spans="2:10">
      <c r="B533" s="84">
        <v>44995</v>
      </c>
      <c r="C533" s="82">
        <v>242.86</v>
      </c>
      <c r="D533" s="83">
        <v>245</v>
      </c>
      <c r="E533" s="83">
        <v>246.29</v>
      </c>
      <c r="F533" s="83">
        <v>241.4</v>
      </c>
      <c r="G533" s="83">
        <v>103420</v>
      </c>
      <c r="H533" s="85">
        <v>-1.4200000000000001E-2</v>
      </c>
      <c r="I533" s="97">
        <v>-0.01</v>
      </c>
      <c r="J533" s="97">
        <f t="shared" si="8"/>
        <v>-4.2000000000000006E-3</v>
      </c>
    </row>
    <row r="534" spans="2:10">
      <c r="B534" s="84">
        <v>44994</v>
      </c>
      <c r="C534" s="82">
        <v>246.35</v>
      </c>
      <c r="D534" s="83">
        <v>245</v>
      </c>
      <c r="E534" s="83">
        <v>251.98</v>
      </c>
      <c r="F534" s="83">
        <v>242.4</v>
      </c>
      <c r="G534" s="83">
        <v>31846</v>
      </c>
      <c r="H534" s="85">
        <v>-3.3999999999999998E-3</v>
      </c>
      <c r="I534" s="97">
        <v>-9.2999999999999992E-3</v>
      </c>
      <c r="J534" s="97">
        <f t="shared" si="8"/>
        <v>5.899999999999999E-3</v>
      </c>
    </row>
    <row r="535" spans="2:10">
      <c r="B535" s="84">
        <v>44993</v>
      </c>
      <c r="C535" s="82">
        <v>247.2</v>
      </c>
      <c r="D535" s="83">
        <v>250</v>
      </c>
      <c r="E535" s="83">
        <v>251.99</v>
      </c>
      <c r="F535" s="83">
        <v>245.37</v>
      </c>
      <c r="G535" s="83">
        <v>76669</v>
      </c>
      <c r="H535" s="85">
        <v>-1.38E-2</v>
      </c>
      <c r="I535" s="97">
        <v>2.3999999999999998E-3</v>
      </c>
      <c r="J535" s="97">
        <f t="shared" si="8"/>
        <v>-1.6199999999999999E-2</v>
      </c>
    </row>
    <row r="536" spans="2:10">
      <c r="B536" s="84">
        <v>44991</v>
      </c>
      <c r="C536" s="82">
        <v>250.65</v>
      </c>
      <c r="D536" s="83">
        <v>253</v>
      </c>
      <c r="E536" s="83">
        <v>253</v>
      </c>
      <c r="F536" s="83">
        <v>249.01</v>
      </c>
      <c r="G536" s="83">
        <v>82291</v>
      </c>
      <c r="H536" s="85">
        <v>4.7000000000000002E-3</v>
      </c>
      <c r="I536" s="97">
        <v>6.7000000000000002E-3</v>
      </c>
      <c r="J536" s="97">
        <f t="shared" si="8"/>
        <v>-2E-3</v>
      </c>
    </row>
    <row r="537" spans="2:10">
      <c r="B537" s="84">
        <v>44988</v>
      </c>
      <c r="C537" s="82">
        <v>249.47</v>
      </c>
      <c r="D537" s="83">
        <v>246.32</v>
      </c>
      <c r="E537" s="83">
        <v>252.8</v>
      </c>
      <c r="F537" s="83">
        <v>246.32</v>
      </c>
      <c r="G537" s="83">
        <v>32701</v>
      </c>
      <c r="H537" s="85">
        <v>4.1999999999999997E-3</v>
      </c>
      <c r="I537" s="97">
        <v>1.5699999999999999E-2</v>
      </c>
      <c r="J537" s="97">
        <f t="shared" si="8"/>
        <v>-1.15E-2</v>
      </c>
    </row>
    <row r="538" spans="2:10">
      <c r="B538" s="84">
        <v>44987</v>
      </c>
      <c r="C538" s="82">
        <v>248.42</v>
      </c>
      <c r="D538" s="83">
        <v>248.9</v>
      </c>
      <c r="E538" s="83">
        <v>251.22</v>
      </c>
      <c r="F538" s="83">
        <v>246.74</v>
      </c>
      <c r="G538" s="83">
        <v>46401</v>
      </c>
      <c r="H538" s="85">
        <v>-1.9E-3</v>
      </c>
      <c r="I538" s="97">
        <v>-7.4000000000000003E-3</v>
      </c>
      <c r="J538" s="97">
        <f t="shared" si="8"/>
        <v>5.5000000000000005E-3</v>
      </c>
    </row>
    <row r="539" spans="2:10">
      <c r="B539" s="84">
        <v>44986</v>
      </c>
      <c r="C539" s="82">
        <v>248.9</v>
      </c>
      <c r="D539" s="83">
        <v>243.26</v>
      </c>
      <c r="E539" s="83">
        <v>252</v>
      </c>
      <c r="F539" s="83">
        <v>243.26</v>
      </c>
      <c r="G539" s="83">
        <v>41575</v>
      </c>
      <c r="H539" s="85">
        <v>4.4999999999999997E-3</v>
      </c>
      <c r="I539" s="97">
        <v>8.5000000000000006E-3</v>
      </c>
      <c r="J539" s="97">
        <f t="shared" si="8"/>
        <v>-4.000000000000001E-3</v>
      </c>
    </row>
    <row r="540" spans="2:10">
      <c r="B540" s="84">
        <v>44985</v>
      </c>
      <c r="C540" s="82">
        <v>247.78</v>
      </c>
      <c r="D540" s="83">
        <v>243.4</v>
      </c>
      <c r="E540" s="83">
        <v>248.8</v>
      </c>
      <c r="F540" s="83">
        <v>239.53</v>
      </c>
      <c r="G540" s="83">
        <v>58574</v>
      </c>
      <c r="H540" s="85">
        <v>1.32E-2</v>
      </c>
      <c r="I540" s="97">
        <v>-5.1000000000000004E-3</v>
      </c>
      <c r="J540" s="97">
        <f t="shared" si="8"/>
        <v>1.83E-2</v>
      </c>
    </row>
    <row r="541" spans="2:10">
      <c r="B541" s="84">
        <v>44984</v>
      </c>
      <c r="C541" s="82">
        <v>244.54</v>
      </c>
      <c r="D541" s="83">
        <v>241.8</v>
      </c>
      <c r="E541" s="83">
        <v>245.8</v>
      </c>
      <c r="F541" s="83">
        <v>238.36</v>
      </c>
      <c r="G541" s="83">
        <v>156603</v>
      </c>
      <c r="H541" s="85">
        <v>2.3900000000000001E-2</v>
      </c>
      <c r="I541" s="97">
        <v>-4.1999999999999997E-3</v>
      </c>
      <c r="J541" s="97">
        <f t="shared" si="8"/>
        <v>2.81E-2</v>
      </c>
    </row>
    <row r="542" spans="2:10">
      <c r="B542" s="84">
        <v>44981</v>
      </c>
      <c r="C542" s="82">
        <v>238.83</v>
      </c>
      <c r="D542" s="83">
        <v>243.79</v>
      </c>
      <c r="E542" s="83">
        <v>245.94</v>
      </c>
      <c r="F542" s="83">
        <v>237.12</v>
      </c>
      <c r="G542" s="83">
        <v>135170</v>
      </c>
      <c r="H542" s="85">
        <v>-2.0199999999999999E-2</v>
      </c>
      <c r="I542" s="97">
        <v>-2.5999999999999999E-3</v>
      </c>
      <c r="J542" s="97">
        <f t="shared" si="8"/>
        <v>-1.7599999999999998E-2</v>
      </c>
    </row>
    <row r="543" spans="2:10">
      <c r="B543" s="84">
        <v>44980</v>
      </c>
      <c r="C543" s="82">
        <v>243.75</v>
      </c>
      <c r="D543" s="83">
        <v>244.94</v>
      </c>
      <c r="E543" s="83">
        <v>249.74</v>
      </c>
      <c r="F543" s="83">
        <v>240.64</v>
      </c>
      <c r="G543" s="83">
        <v>112532</v>
      </c>
      <c r="H543" s="85">
        <v>-4.1999999999999997E-3</v>
      </c>
      <c r="I543" s="97">
        <v>-2.5000000000000001E-3</v>
      </c>
      <c r="J543" s="97">
        <f t="shared" si="8"/>
        <v>-1.6999999999999997E-3</v>
      </c>
    </row>
    <row r="544" spans="2:10">
      <c r="B544" s="84">
        <v>44979</v>
      </c>
      <c r="C544" s="82">
        <v>244.77</v>
      </c>
      <c r="D544" s="83">
        <v>246.99</v>
      </c>
      <c r="E544" s="83">
        <v>247.2</v>
      </c>
      <c r="F544" s="83">
        <v>242.5</v>
      </c>
      <c r="G544" s="83">
        <v>72645</v>
      </c>
      <c r="H544" s="85">
        <v>-1.0200000000000001E-2</v>
      </c>
      <c r="I544" s="97">
        <v>-1.5299999999999999E-2</v>
      </c>
      <c r="J544" s="97">
        <f t="shared" si="8"/>
        <v>5.0999999999999986E-3</v>
      </c>
    </row>
    <row r="545" spans="2:10">
      <c r="B545" s="84">
        <v>44978</v>
      </c>
      <c r="C545" s="82">
        <v>247.3</v>
      </c>
      <c r="D545" s="83">
        <v>245.2</v>
      </c>
      <c r="E545" s="83">
        <v>249.4</v>
      </c>
      <c r="F545" s="83">
        <v>238.6</v>
      </c>
      <c r="G545" s="83">
        <v>189233</v>
      </c>
      <c r="H545" s="85">
        <v>3.3799999999999997E-2</v>
      </c>
      <c r="I545" s="97">
        <v>-1E-3</v>
      </c>
      <c r="J545" s="97">
        <f t="shared" si="8"/>
        <v>3.4799999999999998E-2</v>
      </c>
    </row>
    <row r="546" spans="2:10">
      <c r="B546" s="84">
        <v>44977</v>
      </c>
      <c r="C546" s="82">
        <v>239.22</v>
      </c>
      <c r="D546" s="83">
        <v>236</v>
      </c>
      <c r="E546" s="83">
        <v>241.91</v>
      </c>
      <c r="F546" s="83">
        <v>232.04</v>
      </c>
      <c r="G546" s="83">
        <v>106553</v>
      </c>
      <c r="H546" s="85">
        <v>2.2599999999999999E-2</v>
      </c>
      <c r="I546" s="97">
        <v>-5.5999999999999999E-3</v>
      </c>
      <c r="J546" s="97">
        <f t="shared" si="8"/>
        <v>2.8199999999999999E-2</v>
      </c>
    </row>
    <row r="547" spans="2:10">
      <c r="B547" s="84">
        <v>44974</v>
      </c>
      <c r="C547" s="82">
        <v>233.94</v>
      </c>
      <c r="D547" s="83">
        <v>236</v>
      </c>
      <c r="E547" s="83">
        <v>238.25</v>
      </c>
      <c r="F547" s="83">
        <v>232.72</v>
      </c>
      <c r="G547" s="83">
        <v>463663</v>
      </c>
      <c r="H547" s="85">
        <v>-1.32E-2</v>
      </c>
      <c r="I547" s="97">
        <v>-5.1000000000000004E-3</v>
      </c>
      <c r="J547" s="97">
        <f t="shared" si="8"/>
        <v>-8.0999999999999996E-3</v>
      </c>
    </row>
    <row r="548" spans="2:10">
      <c r="B548" s="84">
        <v>44973</v>
      </c>
      <c r="C548" s="82">
        <v>237.06</v>
      </c>
      <c r="D548" s="83">
        <v>233.33</v>
      </c>
      <c r="E548" s="83">
        <v>238</v>
      </c>
      <c r="F548" s="83">
        <v>231.69</v>
      </c>
      <c r="G548" s="83">
        <v>27330</v>
      </c>
      <c r="H548" s="85">
        <v>3.1199999999999999E-2</v>
      </c>
      <c r="I548" s="97">
        <v>1.1000000000000001E-3</v>
      </c>
      <c r="J548" s="97">
        <f t="shared" si="8"/>
        <v>3.0099999999999998E-2</v>
      </c>
    </row>
    <row r="549" spans="2:10">
      <c r="B549" s="84">
        <v>44972</v>
      </c>
      <c r="C549" s="82">
        <v>229.88</v>
      </c>
      <c r="D549" s="83">
        <v>235.28</v>
      </c>
      <c r="E549" s="83">
        <v>238.9</v>
      </c>
      <c r="F549" s="83">
        <v>228.61</v>
      </c>
      <c r="G549" s="83">
        <v>53745</v>
      </c>
      <c r="H549" s="85">
        <v>-2.3E-2</v>
      </c>
      <c r="I549" s="97">
        <v>4.7999999999999996E-3</v>
      </c>
      <c r="J549" s="97">
        <f t="shared" si="8"/>
        <v>-2.7799999999999998E-2</v>
      </c>
    </row>
    <row r="550" spans="2:10">
      <c r="B550" s="84">
        <v>44971</v>
      </c>
      <c r="C550" s="82">
        <v>235.28</v>
      </c>
      <c r="D550" s="83">
        <v>236.18</v>
      </c>
      <c r="E550" s="83">
        <v>238.53</v>
      </c>
      <c r="F550" s="83">
        <v>231.01</v>
      </c>
      <c r="G550" s="83">
        <v>39665</v>
      </c>
      <c r="H550" s="85">
        <v>-3.8999999999999998E-3</v>
      </c>
      <c r="I550" s="97">
        <v>8.8999999999999999E-3</v>
      </c>
      <c r="J550" s="97">
        <f t="shared" si="8"/>
        <v>-1.2799999999999999E-2</v>
      </c>
    </row>
    <row r="551" spans="2:10">
      <c r="B551" s="84">
        <v>44970</v>
      </c>
      <c r="C551" s="82">
        <v>236.19</v>
      </c>
      <c r="D551" s="83">
        <v>244</v>
      </c>
      <c r="E551" s="83">
        <v>244</v>
      </c>
      <c r="F551" s="83">
        <v>232.19</v>
      </c>
      <c r="G551" s="83">
        <v>115255</v>
      </c>
      <c r="H551" s="85">
        <v>-2.0199999999999999E-2</v>
      </c>
      <c r="I551" s="97">
        <v>-4.7999999999999996E-3</v>
      </c>
      <c r="J551" s="97">
        <f t="shared" si="8"/>
        <v>-1.54E-2</v>
      </c>
    </row>
    <row r="552" spans="2:10">
      <c r="B552" s="84">
        <v>44967</v>
      </c>
      <c r="C552" s="82">
        <v>241.05</v>
      </c>
      <c r="D552" s="83">
        <v>247</v>
      </c>
      <c r="E552" s="83">
        <v>254.98</v>
      </c>
      <c r="F552" s="83">
        <v>239.2</v>
      </c>
      <c r="G552" s="83">
        <v>64782</v>
      </c>
      <c r="H552" s="85">
        <v>-4.5699999999999998E-2</v>
      </c>
      <c r="I552" s="97">
        <v>-2.0999999999999999E-3</v>
      </c>
      <c r="J552" s="97">
        <f t="shared" si="8"/>
        <v>-4.36E-2</v>
      </c>
    </row>
    <row r="553" spans="2:10">
      <c r="B553" s="84">
        <v>44966</v>
      </c>
      <c r="C553" s="82">
        <v>252.59</v>
      </c>
      <c r="D553" s="83">
        <v>249.07</v>
      </c>
      <c r="E553" s="83">
        <v>256</v>
      </c>
      <c r="F553" s="83">
        <v>227.21</v>
      </c>
      <c r="G553" s="83">
        <v>150023</v>
      </c>
      <c r="H553" s="85">
        <v>3.8999999999999998E-3</v>
      </c>
      <c r="I553" s="97">
        <v>1.1999999999999999E-3</v>
      </c>
      <c r="J553" s="97">
        <f t="shared" si="8"/>
        <v>2.7000000000000001E-3</v>
      </c>
    </row>
    <row r="554" spans="2:10">
      <c r="B554" s="84">
        <v>44965</v>
      </c>
      <c r="C554" s="82">
        <v>251.6</v>
      </c>
      <c r="D554" s="83">
        <v>246.98</v>
      </c>
      <c r="E554" s="83">
        <v>253.96</v>
      </c>
      <c r="F554" s="83">
        <v>244.01</v>
      </c>
      <c r="G554" s="83">
        <v>65595</v>
      </c>
      <c r="H554" s="85">
        <v>1.8700000000000001E-2</v>
      </c>
      <c r="I554" s="97">
        <v>8.5000000000000006E-3</v>
      </c>
      <c r="J554" s="97">
        <f t="shared" si="8"/>
        <v>1.0200000000000001E-2</v>
      </c>
    </row>
    <row r="555" spans="2:10">
      <c r="B555" s="84">
        <v>44964</v>
      </c>
      <c r="C555" s="82">
        <v>246.99</v>
      </c>
      <c r="D555" s="83">
        <v>243.4</v>
      </c>
      <c r="E555" s="83">
        <v>249</v>
      </c>
      <c r="F555" s="83">
        <v>237.39</v>
      </c>
      <c r="G555" s="83">
        <v>58712</v>
      </c>
      <c r="H555" s="85">
        <v>2.24E-2</v>
      </c>
      <c r="I555" s="97">
        <v>-2.3999999999999998E-3</v>
      </c>
      <c r="J555" s="97">
        <f t="shared" si="8"/>
        <v>2.4799999999999999E-2</v>
      </c>
    </row>
    <row r="556" spans="2:10">
      <c r="B556" s="84">
        <v>44963</v>
      </c>
      <c r="C556" s="82">
        <v>241.57</v>
      </c>
      <c r="D556" s="83">
        <v>233.6</v>
      </c>
      <c r="E556" s="83">
        <v>243.45</v>
      </c>
      <c r="F556" s="83">
        <v>231.01</v>
      </c>
      <c r="G556" s="83">
        <v>196808</v>
      </c>
      <c r="H556" s="85">
        <v>4.2999999999999997E-2</v>
      </c>
      <c r="I556" s="97">
        <v>-5.0000000000000001E-3</v>
      </c>
      <c r="J556" s="97">
        <f t="shared" si="8"/>
        <v>4.7999999999999994E-2</v>
      </c>
    </row>
    <row r="557" spans="2:10">
      <c r="B557" s="84">
        <v>44960</v>
      </c>
      <c r="C557" s="82">
        <v>231.6</v>
      </c>
      <c r="D557" s="83">
        <v>236.59</v>
      </c>
      <c r="E557" s="83">
        <v>241</v>
      </c>
      <c r="F557" s="83">
        <v>220.5</v>
      </c>
      <c r="G557" s="83">
        <v>375518</v>
      </c>
      <c r="H557" s="85">
        <v>-2.1100000000000001E-2</v>
      </c>
      <c r="I557" s="97">
        <v>1.38E-2</v>
      </c>
      <c r="J557" s="97">
        <f t="shared" si="8"/>
        <v>-3.49E-2</v>
      </c>
    </row>
    <row r="558" spans="2:10">
      <c r="B558" s="84">
        <v>44959</v>
      </c>
      <c r="C558" s="82">
        <v>236.59</v>
      </c>
      <c r="D558" s="83">
        <v>248</v>
      </c>
      <c r="E558" s="83">
        <v>248.17</v>
      </c>
      <c r="F558" s="83">
        <v>235.03</v>
      </c>
      <c r="G558" s="83">
        <v>925047</v>
      </c>
      <c r="H558" s="85">
        <v>-4.6699999999999998E-2</v>
      </c>
      <c r="I558" s="97">
        <v>-2.9999999999999997E-4</v>
      </c>
      <c r="J558" s="97">
        <f t="shared" si="8"/>
        <v>-4.6399999999999997E-2</v>
      </c>
    </row>
    <row r="559" spans="2:10">
      <c r="B559" s="84">
        <v>44958</v>
      </c>
      <c r="C559" s="82">
        <v>248.17</v>
      </c>
      <c r="D559" s="83">
        <v>263.92</v>
      </c>
      <c r="E559" s="83">
        <v>263.92</v>
      </c>
      <c r="F559" s="83">
        <v>242.64</v>
      </c>
      <c r="G559" s="83">
        <v>205052</v>
      </c>
      <c r="H559" s="85">
        <v>-4.5600000000000002E-2</v>
      </c>
      <c r="I559" s="97">
        <v>-2.5999999999999999E-3</v>
      </c>
      <c r="J559" s="97">
        <f t="shared" si="8"/>
        <v>-4.3000000000000003E-2</v>
      </c>
    </row>
    <row r="560" spans="2:10">
      <c r="B560" s="84">
        <v>44957</v>
      </c>
      <c r="C560" s="82">
        <v>260.02</v>
      </c>
      <c r="D560" s="83">
        <v>252.01</v>
      </c>
      <c r="E560" s="83">
        <v>267.10000000000002</v>
      </c>
      <c r="F560" s="83">
        <v>250.02</v>
      </c>
      <c r="G560" s="83">
        <v>86050</v>
      </c>
      <c r="H560" s="85">
        <v>1.83E-2</v>
      </c>
      <c r="I560" s="97">
        <v>6.9999999999999999E-4</v>
      </c>
      <c r="J560" s="97">
        <f t="shared" si="8"/>
        <v>1.7600000000000001E-2</v>
      </c>
    </row>
    <row r="561" spans="2:10">
      <c r="B561" s="84">
        <v>44956</v>
      </c>
      <c r="C561" s="82">
        <v>255.35</v>
      </c>
      <c r="D561" s="83">
        <v>259.8</v>
      </c>
      <c r="E561" s="83">
        <v>259.8</v>
      </c>
      <c r="F561" s="83">
        <v>247.57</v>
      </c>
      <c r="G561" s="83">
        <v>42208</v>
      </c>
      <c r="H561" s="85">
        <v>-7.1999999999999998E-3</v>
      </c>
      <c r="I561" s="97">
        <v>2.5000000000000001E-3</v>
      </c>
      <c r="J561" s="97">
        <f t="shared" si="8"/>
        <v>-9.7000000000000003E-3</v>
      </c>
    </row>
    <row r="562" spans="2:10">
      <c r="B562" s="84">
        <v>44953</v>
      </c>
      <c r="C562" s="82">
        <v>257.19</v>
      </c>
      <c r="D562" s="83">
        <v>260</v>
      </c>
      <c r="E562" s="83">
        <v>261.97000000000003</v>
      </c>
      <c r="F562" s="83">
        <v>246.2</v>
      </c>
      <c r="G562" s="83">
        <v>85359</v>
      </c>
      <c r="H562" s="85">
        <v>-8.5000000000000006E-3</v>
      </c>
      <c r="I562" s="97">
        <v>-1.61E-2</v>
      </c>
      <c r="J562" s="97">
        <f t="shared" si="8"/>
        <v>7.5999999999999991E-3</v>
      </c>
    </row>
    <row r="563" spans="2:10">
      <c r="B563" s="84">
        <v>44951</v>
      </c>
      <c r="C563" s="82">
        <v>259.39999999999998</v>
      </c>
      <c r="D563" s="83">
        <v>262.98</v>
      </c>
      <c r="E563" s="83">
        <v>262.98</v>
      </c>
      <c r="F563" s="83">
        <v>256.83999999999997</v>
      </c>
      <c r="G563" s="83">
        <v>29163</v>
      </c>
      <c r="H563" s="85">
        <v>-5.7000000000000002E-3</v>
      </c>
      <c r="I563" s="97">
        <v>-1.2500000000000001E-2</v>
      </c>
      <c r="J563" s="97">
        <f t="shared" si="8"/>
        <v>6.8000000000000005E-3</v>
      </c>
    </row>
    <row r="564" spans="2:10">
      <c r="B564" s="84">
        <v>44950</v>
      </c>
      <c r="C564" s="82">
        <v>260.89999999999998</v>
      </c>
      <c r="D564" s="83">
        <v>257.2</v>
      </c>
      <c r="E564" s="83">
        <v>264</v>
      </c>
      <c r="F564" s="83">
        <v>257.2</v>
      </c>
      <c r="G564" s="83">
        <v>82216</v>
      </c>
      <c r="H564" s="85">
        <v>7.3000000000000001E-3</v>
      </c>
      <c r="I564" s="97">
        <v>0</v>
      </c>
      <c r="J564" s="97">
        <f t="shared" si="8"/>
        <v>7.3000000000000001E-3</v>
      </c>
    </row>
    <row r="565" spans="2:10">
      <c r="B565" s="84">
        <v>44949</v>
      </c>
      <c r="C565" s="82">
        <v>259</v>
      </c>
      <c r="D565" s="83">
        <v>257.60000000000002</v>
      </c>
      <c r="E565" s="83">
        <v>260.24</v>
      </c>
      <c r="F565" s="83">
        <v>257.58999999999997</v>
      </c>
      <c r="G565" s="83">
        <v>15484</v>
      </c>
      <c r="H565" s="85">
        <v>-2.0000000000000001E-4</v>
      </c>
      <c r="I565" s="97">
        <v>5.0000000000000001E-3</v>
      </c>
      <c r="J565" s="97">
        <f t="shared" si="8"/>
        <v>-5.1999999999999998E-3</v>
      </c>
    </row>
    <row r="566" spans="2:10">
      <c r="B566" s="84">
        <v>44946</v>
      </c>
      <c r="C566" s="82">
        <v>259.06</v>
      </c>
      <c r="D566" s="83">
        <v>258</v>
      </c>
      <c r="E566" s="83">
        <v>260.72000000000003</v>
      </c>
      <c r="F566" s="83">
        <v>257.61</v>
      </c>
      <c r="G566" s="83">
        <v>21813</v>
      </c>
      <c r="H566" s="85">
        <v>8.9999999999999998E-4</v>
      </c>
      <c r="I566" s="97">
        <v>-4.4000000000000003E-3</v>
      </c>
      <c r="J566" s="97">
        <f t="shared" si="8"/>
        <v>5.3E-3</v>
      </c>
    </row>
    <row r="567" spans="2:10">
      <c r="B567" s="84">
        <v>44945</v>
      </c>
      <c r="C567" s="82">
        <v>258.82</v>
      </c>
      <c r="D567" s="83">
        <v>260.39</v>
      </c>
      <c r="E567" s="83">
        <v>262.77999999999997</v>
      </c>
      <c r="F567" s="83">
        <v>258.02</v>
      </c>
      <c r="G567" s="83">
        <v>46308</v>
      </c>
      <c r="H567" s="85">
        <v>-1.1599999999999999E-2</v>
      </c>
      <c r="I567" s="97">
        <v>-3.2000000000000002E-3</v>
      </c>
      <c r="J567" s="97">
        <f t="shared" si="8"/>
        <v>-8.3999999999999995E-3</v>
      </c>
    </row>
    <row r="568" spans="2:10">
      <c r="B568" s="84">
        <v>44944</v>
      </c>
      <c r="C568" s="82">
        <v>261.87</v>
      </c>
      <c r="D568" s="83">
        <v>260.10000000000002</v>
      </c>
      <c r="E568" s="83">
        <v>263.58</v>
      </c>
      <c r="F568" s="83">
        <v>259.18</v>
      </c>
      <c r="G568" s="83">
        <v>47791</v>
      </c>
      <c r="H568" s="85">
        <v>1.1900000000000001E-2</v>
      </c>
      <c r="I568" s="97">
        <v>6.1999999999999998E-3</v>
      </c>
      <c r="J568" s="97">
        <f t="shared" si="8"/>
        <v>5.7000000000000011E-3</v>
      </c>
    </row>
    <row r="569" spans="2:10">
      <c r="B569" s="84">
        <v>44943</v>
      </c>
      <c r="C569" s="82">
        <v>258.77999999999997</v>
      </c>
      <c r="D569" s="83">
        <v>256.19</v>
      </c>
      <c r="E569" s="83">
        <v>261.64</v>
      </c>
      <c r="F569" s="83">
        <v>253.2</v>
      </c>
      <c r="G569" s="83">
        <v>195004</v>
      </c>
      <c r="H569" s="85">
        <v>1.01E-2</v>
      </c>
      <c r="I569" s="97">
        <v>8.8999999999999999E-3</v>
      </c>
      <c r="J569" s="97">
        <f t="shared" si="8"/>
        <v>1.1999999999999997E-3</v>
      </c>
    </row>
    <row r="570" spans="2:10">
      <c r="B570" s="84">
        <v>44942</v>
      </c>
      <c r="C570" s="82">
        <v>256.19</v>
      </c>
      <c r="D570" s="83">
        <v>261.95999999999998</v>
      </c>
      <c r="E570" s="83">
        <v>261.95999999999998</v>
      </c>
      <c r="F570" s="83">
        <v>253</v>
      </c>
      <c r="G570" s="83">
        <v>94591</v>
      </c>
      <c r="H570" s="85">
        <v>-1.7100000000000001E-2</v>
      </c>
      <c r="I570" s="97">
        <v>-3.3999999999999998E-3</v>
      </c>
      <c r="J570" s="97">
        <f t="shared" si="8"/>
        <v>-1.37E-2</v>
      </c>
    </row>
    <row r="571" spans="2:10">
      <c r="B571" s="84">
        <v>44939</v>
      </c>
      <c r="C571" s="82">
        <v>260.64</v>
      </c>
      <c r="D571" s="83">
        <v>265</v>
      </c>
      <c r="E571" s="83">
        <v>265</v>
      </c>
      <c r="F571" s="83">
        <v>255.24</v>
      </c>
      <c r="G571" s="83">
        <v>104566</v>
      </c>
      <c r="H571" s="85">
        <v>-7.6E-3</v>
      </c>
      <c r="I571" s="97">
        <v>5.4999999999999997E-3</v>
      </c>
      <c r="J571" s="97">
        <f t="shared" si="8"/>
        <v>-1.3100000000000001E-2</v>
      </c>
    </row>
    <row r="572" spans="2:10">
      <c r="B572" s="84">
        <v>44938</v>
      </c>
      <c r="C572" s="82">
        <v>262.63</v>
      </c>
      <c r="D572" s="83">
        <v>262.39999999999998</v>
      </c>
      <c r="E572" s="83">
        <v>263.98</v>
      </c>
      <c r="F572" s="83">
        <v>259.33999999999997</v>
      </c>
      <c r="G572" s="83">
        <v>93433</v>
      </c>
      <c r="H572" s="85">
        <v>-6.4000000000000003E-3</v>
      </c>
      <c r="I572" s="97">
        <v>-2.0999999999999999E-3</v>
      </c>
      <c r="J572" s="97">
        <f t="shared" si="8"/>
        <v>-4.3E-3</v>
      </c>
    </row>
    <row r="573" spans="2:10">
      <c r="B573" s="84">
        <v>44937</v>
      </c>
      <c r="C573" s="82">
        <v>264.32</v>
      </c>
      <c r="D573" s="83">
        <v>267.35000000000002</v>
      </c>
      <c r="E573" s="83">
        <v>267.35000000000002</v>
      </c>
      <c r="F573" s="83">
        <v>262.60000000000002</v>
      </c>
      <c r="G573" s="83">
        <v>47328</v>
      </c>
      <c r="H573" s="85">
        <v>-1.4E-3</v>
      </c>
      <c r="I573" s="97">
        <v>-1E-3</v>
      </c>
      <c r="J573" s="97">
        <f t="shared" si="8"/>
        <v>-3.9999999999999996E-4</v>
      </c>
    </row>
    <row r="574" spans="2:10">
      <c r="B574" s="84">
        <v>44936</v>
      </c>
      <c r="C574" s="82">
        <v>264.7</v>
      </c>
      <c r="D574" s="83">
        <v>265.47000000000003</v>
      </c>
      <c r="E574" s="83">
        <v>268.17</v>
      </c>
      <c r="F574" s="83">
        <v>263.57</v>
      </c>
      <c r="G574" s="83">
        <v>29038</v>
      </c>
      <c r="H574" s="85">
        <v>-1.3899999999999999E-2</v>
      </c>
      <c r="I574" s="97">
        <v>-1.03E-2</v>
      </c>
      <c r="J574" s="97">
        <f t="shared" si="8"/>
        <v>-3.599999999999999E-3</v>
      </c>
    </row>
    <row r="575" spans="2:10">
      <c r="B575" s="84">
        <v>44935</v>
      </c>
      <c r="C575" s="82">
        <v>268.43</v>
      </c>
      <c r="D575" s="83">
        <v>269.39999999999998</v>
      </c>
      <c r="E575" s="83">
        <v>270.58999999999997</v>
      </c>
      <c r="F575" s="83">
        <v>264.91000000000003</v>
      </c>
      <c r="G575" s="83">
        <v>45658</v>
      </c>
      <c r="H575" s="85">
        <v>1.4200000000000001E-2</v>
      </c>
      <c r="I575" s="97">
        <v>1.35E-2</v>
      </c>
      <c r="J575" s="97">
        <f t="shared" si="8"/>
        <v>7.0000000000000097E-4</v>
      </c>
    </row>
    <row r="576" spans="2:10">
      <c r="B576" s="84">
        <v>44932</v>
      </c>
      <c r="C576" s="82">
        <v>264.67</v>
      </c>
      <c r="D576" s="83">
        <v>267.8</v>
      </c>
      <c r="E576" s="83">
        <v>268.8</v>
      </c>
      <c r="F576" s="83">
        <v>261.76</v>
      </c>
      <c r="G576" s="83">
        <v>93402</v>
      </c>
      <c r="H576" s="85">
        <v>-7.7999999999999996E-3</v>
      </c>
      <c r="I576" s="97">
        <v>-7.4000000000000003E-3</v>
      </c>
      <c r="J576" s="97">
        <f t="shared" si="8"/>
        <v>-3.9999999999999931E-4</v>
      </c>
    </row>
    <row r="577" spans="2:10">
      <c r="B577" s="84">
        <v>44931</v>
      </c>
      <c r="C577" s="82">
        <v>266.75</v>
      </c>
      <c r="D577" s="83">
        <v>267.04000000000002</v>
      </c>
      <c r="E577" s="83">
        <v>268.60000000000002</v>
      </c>
      <c r="F577" s="83">
        <v>263.66000000000003</v>
      </c>
      <c r="G577" s="83">
        <v>109165</v>
      </c>
      <c r="H577" s="85">
        <v>-1.1000000000000001E-3</v>
      </c>
      <c r="I577" s="97">
        <v>-2.8E-3</v>
      </c>
      <c r="J577" s="97">
        <f t="shared" si="8"/>
        <v>1.6999999999999999E-3</v>
      </c>
    </row>
    <row r="578" spans="2:10">
      <c r="B578" s="84">
        <v>44930</v>
      </c>
      <c r="C578" s="82">
        <v>267.04000000000002</v>
      </c>
      <c r="D578" s="83">
        <v>264</v>
      </c>
      <c r="E578" s="83">
        <v>267.8</v>
      </c>
      <c r="F578" s="83">
        <v>262.51</v>
      </c>
      <c r="G578" s="83">
        <v>91228</v>
      </c>
      <c r="H578" s="85">
        <v>6.8999999999999999E-3</v>
      </c>
      <c r="I578" s="97">
        <v>-1.04E-2</v>
      </c>
      <c r="J578" s="97">
        <f t="shared" si="8"/>
        <v>1.7299999999999999E-2</v>
      </c>
    </row>
    <row r="579" spans="2:10">
      <c r="B579" s="84">
        <v>44929</v>
      </c>
      <c r="C579" s="82">
        <v>265.2</v>
      </c>
      <c r="D579" s="83">
        <v>259.42</v>
      </c>
      <c r="E579" s="83">
        <v>265.77</v>
      </c>
      <c r="F579" s="83">
        <v>258.22000000000003</v>
      </c>
      <c r="G579" s="83">
        <v>37316</v>
      </c>
      <c r="H579" s="85">
        <v>1.9300000000000001E-2</v>
      </c>
      <c r="I579" s="97">
        <v>1.9E-3</v>
      </c>
      <c r="J579" s="97">
        <f t="shared" si="8"/>
        <v>1.7400000000000002E-2</v>
      </c>
    </row>
    <row r="580" spans="2:10">
      <c r="B580" s="84">
        <v>44928</v>
      </c>
      <c r="C580" s="82">
        <v>260.19</v>
      </c>
      <c r="D580" s="83">
        <v>268.08999999999997</v>
      </c>
      <c r="E580" s="83">
        <v>270</v>
      </c>
      <c r="F580" s="83">
        <v>258</v>
      </c>
      <c r="G580" s="83">
        <v>111835</v>
      </c>
      <c r="H580" s="85">
        <v>-2.7199999999999998E-2</v>
      </c>
      <c r="I580" s="97">
        <v>5.1000000000000004E-3</v>
      </c>
      <c r="J580" s="97">
        <f t="shared" si="8"/>
        <v>-3.2299999999999995E-2</v>
      </c>
    </row>
    <row r="581" spans="2:10">
      <c r="B581" s="84">
        <v>44925</v>
      </c>
      <c r="C581" s="82">
        <v>267.45999999999998</v>
      </c>
      <c r="D581" s="83">
        <v>277.8</v>
      </c>
      <c r="E581" s="83">
        <v>279</v>
      </c>
      <c r="F581" s="83">
        <v>264.3</v>
      </c>
      <c r="G581" s="83">
        <v>136322</v>
      </c>
      <c r="H581" s="85">
        <v>-2.6499999999999999E-2</v>
      </c>
      <c r="I581" s="97">
        <v>-4.7000000000000002E-3</v>
      </c>
      <c r="J581" s="97">
        <f t="shared" si="8"/>
        <v>-2.18E-2</v>
      </c>
    </row>
    <row r="582" spans="2:10">
      <c r="B582" s="84">
        <v>44924</v>
      </c>
      <c r="C582" s="82">
        <v>274.74</v>
      </c>
      <c r="D582" s="83">
        <v>274.8</v>
      </c>
      <c r="E582" s="83">
        <v>276.8</v>
      </c>
      <c r="F582" s="83">
        <v>269.48</v>
      </c>
      <c r="G582" s="83">
        <v>59600</v>
      </c>
      <c r="H582" s="85">
        <v>4.0000000000000002E-4</v>
      </c>
      <c r="I582" s="97">
        <v>3.8E-3</v>
      </c>
      <c r="J582" s="97">
        <f t="shared" si="8"/>
        <v>-3.3999999999999998E-3</v>
      </c>
    </row>
    <row r="583" spans="2:10">
      <c r="B583" s="84">
        <v>44923</v>
      </c>
      <c r="C583" s="82">
        <v>274.62</v>
      </c>
      <c r="D583" s="83">
        <v>274.39999999999998</v>
      </c>
      <c r="E583" s="83">
        <v>276.54000000000002</v>
      </c>
      <c r="F583" s="83">
        <v>271.02999999999997</v>
      </c>
      <c r="G583" s="83">
        <v>54737</v>
      </c>
      <c r="H583" s="85">
        <v>-6.1000000000000004E-3</v>
      </c>
      <c r="I583" s="97">
        <v>-5.0000000000000001E-4</v>
      </c>
      <c r="J583" s="97">
        <f t="shared" si="8"/>
        <v>-5.6000000000000008E-3</v>
      </c>
    </row>
    <row r="584" spans="2:10">
      <c r="B584" s="84">
        <v>44922</v>
      </c>
      <c r="C584" s="82">
        <v>276.3</v>
      </c>
      <c r="D584" s="83">
        <v>267.39999999999998</v>
      </c>
      <c r="E584" s="83">
        <v>279</v>
      </c>
      <c r="F584" s="83">
        <v>265.77</v>
      </c>
      <c r="G584" s="83">
        <v>234341</v>
      </c>
      <c r="H584" s="85">
        <v>2.5000000000000001E-2</v>
      </c>
      <c r="I584" s="97">
        <v>6.4999999999999997E-3</v>
      </c>
      <c r="J584" s="97">
        <f t="shared" si="8"/>
        <v>1.8500000000000003E-2</v>
      </c>
    </row>
    <row r="585" spans="2:10">
      <c r="B585" s="84">
        <v>44921</v>
      </c>
      <c r="C585" s="82">
        <v>269.56</v>
      </c>
      <c r="D585" s="83">
        <v>267.01</v>
      </c>
      <c r="E585" s="83">
        <v>279</v>
      </c>
      <c r="F585" s="83">
        <v>262.48</v>
      </c>
      <c r="G585" s="83">
        <v>183858</v>
      </c>
      <c r="H585" s="85">
        <v>1.5800000000000002E-2</v>
      </c>
      <c r="I585" s="97">
        <v>1.17E-2</v>
      </c>
      <c r="J585" s="97">
        <f t="shared" si="8"/>
        <v>4.1000000000000012E-3</v>
      </c>
    </row>
    <row r="586" spans="2:10">
      <c r="B586" s="84">
        <v>44918</v>
      </c>
      <c r="C586" s="82">
        <v>265.38</v>
      </c>
      <c r="D586" s="83">
        <v>263.06</v>
      </c>
      <c r="E586" s="83">
        <v>269.10000000000002</v>
      </c>
      <c r="F586" s="83">
        <v>260.27</v>
      </c>
      <c r="G586" s="83">
        <v>180187</v>
      </c>
      <c r="H586" s="85">
        <v>-1.6799999999999999E-2</v>
      </c>
      <c r="I586" s="97">
        <v>-1.77E-2</v>
      </c>
      <c r="J586" s="97">
        <f t="shared" ref="J586:J649" si="9">H586-I586</f>
        <v>9.0000000000000149E-4</v>
      </c>
    </row>
    <row r="587" spans="2:10">
      <c r="B587" s="84">
        <v>44917</v>
      </c>
      <c r="C587" s="82">
        <v>269.92</v>
      </c>
      <c r="D587" s="83">
        <v>272.37</v>
      </c>
      <c r="E587" s="83">
        <v>273.89999999999998</v>
      </c>
      <c r="F587" s="83">
        <v>263.37</v>
      </c>
      <c r="G587" s="83">
        <v>132564</v>
      </c>
      <c r="H587" s="85">
        <v>-8.9999999999999993E-3</v>
      </c>
      <c r="I587" s="97">
        <v>-3.8999999999999998E-3</v>
      </c>
      <c r="J587" s="97">
        <f t="shared" si="9"/>
        <v>-5.0999999999999995E-3</v>
      </c>
    </row>
    <row r="588" spans="2:10">
      <c r="B588" s="84">
        <v>44916</v>
      </c>
      <c r="C588" s="82">
        <v>272.37</v>
      </c>
      <c r="D588" s="83">
        <v>276.10000000000002</v>
      </c>
      <c r="E588" s="83">
        <v>278.73</v>
      </c>
      <c r="F588" s="83">
        <v>257.18</v>
      </c>
      <c r="G588" s="83">
        <v>225784</v>
      </c>
      <c r="H588" s="85">
        <v>-1.43E-2</v>
      </c>
      <c r="I588" s="97">
        <v>-1.01E-2</v>
      </c>
      <c r="J588" s="97">
        <f t="shared" si="9"/>
        <v>-4.2000000000000006E-3</v>
      </c>
    </row>
    <row r="589" spans="2:10">
      <c r="B589" s="84">
        <v>44915</v>
      </c>
      <c r="C589" s="82">
        <v>276.31</v>
      </c>
      <c r="D589" s="83">
        <v>276</v>
      </c>
      <c r="E589" s="83">
        <v>277.2</v>
      </c>
      <c r="F589" s="83">
        <v>273.31</v>
      </c>
      <c r="G589" s="83">
        <v>50471</v>
      </c>
      <c r="H589" s="85">
        <v>-1.2999999999999999E-3</v>
      </c>
      <c r="I589" s="97">
        <v>-1.9E-3</v>
      </c>
      <c r="J589" s="97">
        <f t="shared" si="9"/>
        <v>6.0000000000000006E-4</v>
      </c>
    </row>
    <row r="590" spans="2:10">
      <c r="B590" s="84">
        <v>44914</v>
      </c>
      <c r="C590" s="82">
        <v>276.66000000000003</v>
      </c>
      <c r="D590" s="83">
        <v>279.79000000000002</v>
      </c>
      <c r="E590" s="83">
        <v>279.79000000000002</v>
      </c>
      <c r="F590" s="83">
        <v>273.16000000000003</v>
      </c>
      <c r="G590" s="83">
        <v>61893</v>
      </c>
      <c r="H590" s="85">
        <v>8.3999999999999995E-3</v>
      </c>
      <c r="I590" s="97">
        <v>8.3000000000000001E-3</v>
      </c>
      <c r="J590" s="97">
        <f t="shared" si="9"/>
        <v>9.9999999999999395E-5</v>
      </c>
    </row>
    <row r="591" spans="2:10">
      <c r="B591" s="84">
        <v>44911</v>
      </c>
      <c r="C591" s="82">
        <v>274.35000000000002</v>
      </c>
      <c r="D591" s="83">
        <v>280.60000000000002</v>
      </c>
      <c r="E591" s="83">
        <v>283.8</v>
      </c>
      <c r="F591" s="83">
        <v>272.02</v>
      </c>
      <c r="G591" s="83">
        <v>304707</v>
      </c>
      <c r="H591" s="85">
        <v>-1.84E-2</v>
      </c>
      <c r="I591" s="97">
        <v>-7.9000000000000008E-3</v>
      </c>
      <c r="J591" s="97">
        <f t="shared" si="9"/>
        <v>-1.0499999999999999E-2</v>
      </c>
    </row>
    <row r="592" spans="2:10">
      <c r="B592" s="84">
        <v>44910</v>
      </c>
      <c r="C592" s="82">
        <v>279.5</v>
      </c>
      <c r="D592" s="83">
        <v>277.79000000000002</v>
      </c>
      <c r="E592" s="83">
        <v>289.49</v>
      </c>
      <c r="F592" s="83">
        <v>271.61</v>
      </c>
      <c r="G592" s="83">
        <v>1403775</v>
      </c>
      <c r="H592" s="85">
        <v>2.7400000000000001E-2</v>
      </c>
      <c r="I592" s="97">
        <v>-1.32E-2</v>
      </c>
      <c r="J592" s="97">
        <f t="shared" si="9"/>
        <v>4.0599999999999997E-2</v>
      </c>
    </row>
    <row r="593" spans="2:10">
      <c r="B593" s="84">
        <v>44909</v>
      </c>
      <c r="C593" s="82">
        <v>272.05</v>
      </c>
      <c r="D593" s="83">
        <v>273.2</v>
      </c>
      <c r="E593" s="83">
        <v>277.79000000000002</v>
      </c>
      <c r="F593" s="83">
        <v>270.39999999999998</v>
      </c>
      <c r="G593" s="83">
        <v>110538</v>
      </c>
      <c r="H593" s="85">
        <v>-1.78E-2</v>
      </c>
      <c r="I593" s="97">
        <v>2.8E-3</v>
      </c>
      <c r="J593" s="97">
        <f t="shared" si="9"/>
        <v>-2.06E-2</v>
      </c>
    </row>
    <row r="594" spans="2:10">
      <c r="B594" s="84">
        <v>44908</v>
      </c>
      <c r="C594" s="82">
        <v>276.98</v>
      </c>
      <c r="D594" s="83">
        <v>281.60000000000002</v>
      </c>
      <c r="E594" s="83">
        <v>281.60000000000002</v>
      </c>
      <c r="F594" s="83">
        <v>272.2</v>
      </c>
      <c r="G594" s="83">
        <v>117486</v>
      </c>
      <c r="H594" s="85">
        <v>1.1999999999999999E-3</v>
      </c>
      <c r="I594" s="97">
        <v>6.0000000000000001E-3</v>
      </c>
      <c r="J594" s="97">
        <f t="shared" si="9"/>
        <v>-4.8000000000000004E-3</v>
      </c>
    </row>
    <row r="595" spans="2:10">
      <c r="B595" s="84">
        <v>44907</v>
      </c>
      <c r="C595" s="82">
        <v>276.64999999999998</v>
      </c>
      <c r="D595" s="83">
        <v>275</v>
      </c>
      <c r="E595" s="83">
        <v>281.77</v>
      </c>
      <c r="F595" s="83">
        <v>274.11</v>
      </c>
      <c r="G595" s="83">
        <v>55894</v>
      </c>
      <c r="H595" s="85">
        <v>-3.7000000000000002E-3</v>
      </c>
      <c r="I595" s="97">
        <v>0</v>
      </c>
      <c r="J595" s="97">
        <f t="shared" si="9"/>
        <v>-3.7000000000000002E-3</v>
      </c>
    </row>
    <row r="596" spans="2:10">
      <c r="B596" s="84">
        <v>44904</v>
      </c>
      <c r="C596" s="82">
        <v>277.69</v>
      </c>
      <c r="D596" s="83">
        <v>282.12</v>
      </c>
      <c r="E596" s="83">
        <v>286.08999999999997</v>
      </c>
      <c r="F596" s="83">
        <v>271.42</v>
      </c>
      <c r="G596" s="83">
        <v>83996</v>
      </c>
      <c r="H596" s="85">
        <v>-1.4999999999999999E-2</v>
      </c>
      <c r="I596" s="97">
        <v>-6.1000000000000004E-3</v>
      </c>
      <c r="J596" s="97">
        <f t="shared" si="9"/>
        <v>-8.8999999999999982E-3</v>
      </c>
    </row>
    <row r="597" spans="2:10">
      <c r="B597" s="84">
        <v>44903</v>
      </c>
      <c r="C597" s="82">
        <v>281.92</v>
      </c>
      <c r="D597" s="83">
        <v>281</v>
      </c>
      <c r="E597" s="83">
        <v>285</v>
      </c>
      <c r="F597" s="83">
        <v>279.33</v>
      </c>
      <c r="G597" s="83">
        <v>70444</v>
      </c>
      <c r="H597" s="85">
        <v>9.4000000000000004E-3</v>
      </c>
      <c r="I597" s="97">
        <v>2.5999999999999999E-3</v>
      </c>
      <c r="J597" s="97">
        <f t="shared" si="9"/>
        <v>6.8000000000000005E-3</v>
      </c>
    </row>
    <row r="598" spans="2:10">
      <c r="B598" s="84">
        <v>44902</v>
      </c>
      <c r="C598" s="82">
        <v>279.3</v>
      </c>
      <c r="D598" s="83">
        <v>276</v>
      </c>
      <c r="E598" s="83">
        <v>284.52999999999997</v>
      </c>
      <c r="F598" s="83">
        <v>276</v>
      </c>
      <c r="G598" s="83">
        <v>104507</v>
      </c>
      <c r="H598" s="85">
        <v>-8.9999999999999998E-4</v>
      </c>
      <c r="I598" s="97">
        <v>-4.4000000000000003E-3</v>
      </c>
      <c r="J598" s="97">
        <f t="shared" si="9"/>
        <v>3.5000000000000005E-3</v>
      </c>
    </row>
    <row r="599" spans="2:10">
      <c r="B599" s="84">
        <v>44901</v>
      </c>
      <c r="C599" s="82">
        <v>279.54000000000002</v>
      </c>
      <c r="D599" s="83">
        <v>274.67</v>
      </c>
      <c r="E599" s="83">
        <v>281.60000000000002</v>
      </c>
      <c r="F599" s="83">
        <v>272.66000000000003</v>
      </c>
      <c r="G599" s="83">
        <v>189931</v>
      </c>
      <c r="H599" s="85">
        <v>1.77E-2</v>
      </c>
      <c r="I599" s="97">
        <v>-3.0999999999999999E-3</v>
      </c>
      <c r="J599" s="97">
        <f t="shared" si="9"/>
        <v>2.0799999999999999E-2</v>
      </c>
    </row>
    <row r="600" spans="2:10">
      <c r="B600" s="84">
        <v>44900</v>
      </c>
      <c r="C600" s="82">
        <v>274.67</v>
      </c>
      <c r="D600" s="83">
        <v>273.10000000000002</v>
      </c>
      <c r="E600" s="83">
        <v>275.75</v>
      </c>
      <c r="F600" s="83">
        <v>271.22000000000003</v>
      </c>
      <c r="G600" s="83">
        <v>46765</v>
      </c>
      <c r="H600" s="85">
        <v>1.11E-2</v>
      </c>
      <c r="I600" s="97">
        <v>2.9999999999999997E-4</v>
      </c>
      <c r="J600" s="97">
        <f t="shared" si="9"/>
        <v>1.0800000000000001E-2</v>
      </c>
    </row>
    <row r="601" spans="2:10">
      <c r="B601" s="84">
        <v>44897</v>
      </c>
      <c r="C601" s="82">
        <v>271.66000000000003</v>
      </c>
      <c r="D601" s="83">
        <v>271.60000000000002</v>
      </c>
      <c r="E601" s="83">
        <v>275.19</v>
      </c>
      <c r="F601" s="83">
        <v>268.5</v>
      </c>
      <c r="G601" s="83">
        <v>26547</v>
      </c>
      <c r="H601" s="85">
        <v>1E-4</v>
      </c>
      <c r="I601" s="97">
        <v>-6.1999999999999998E-3</v>
      </c>
      <c r="J601" s="97">
        <f t="shared" si="9"/>
        <v>6.3E-3</v>
      </c>
    </row>
    <row r="602" spans="2:10">
      <c r="B602" s="84">
        <v>44896</v>
      </c>
      <c r="C602" s="82">
        <v>271.62</v>
      </c>
      <c r="D602" s="83">
        <v>272.60000000000002</v>
      </c>
      <c r="E602" s="83">
        <v>273.18</v>
      </c>
      <c r="F602" s="83">
        <v>269.02</v>
      </c>
      <c r="G602" s="83">
        <v>316303</v>
      </c>
      <c r="H602" s="85">
        <v>6.0000000000000001E-3</v>
      </c>
      <c r="I602" s="97">
        <v>2.8999999999999998E-3</v>
      </c>
      <c r="J602" s="97">
        <f t="shared" si="9"/>
        <v>3.1000000000000003E-3</v>
      </c>
    </row>
    <row r="603" spans="2:10">
      <c r="B603" s="84">
        <v>44895</v>
      </c>
      <c r="C603" s="82">
        <v>270</v>
      </c>
      <c r="D603" s="83">
        <v>272.33</v>
      </c>
      <c r="E603" s="83">
        <v>272.74</v>
      </c>
      <c r="F603" s="83">
        <v>266.25</v>
      </c>
      <c r="G603" s="83">
        <v>203492</v>
      </c>
      <c r="H603" s="85">
        <v>-8.6E-3</v>
      </c>
      <c r="I603" s="97">
        <v>7.4999999999999997E-3</v>
      </c>
      <c r="J603" s="97">
        <f t="shared" si="9"/>
        <v>-1.61E-2</v>
      </c>
    </row>
    <row r="604" spans="2:10">
      <c r="B604" s="84">
        <v>44894</v>
      </c>
      <c r="C604" s="82">
        <v>272.33</v>
      </c>
      <c r="D604" s="83">
        <v>269.60000000000002</v>
      </c>
      <c r="E604" s="83">
        <v>274.8</v>
      </c>
      <c r="F604" s="83">
        <v>266.41000000000003</v>
      </c>
      <c r="G604" s="83">
        <v>319776</v>
      </c>
      <c r="H604" s="85">
        <v>2.24E-2</v>
      </c>
      <c r="I604" s="97">
        <v>3.0000000000000001E-3</v>
      </c>
      <c r="J604" s="97">
        <f t="shared" si="9"/>
        <v>1.9400000000000001E-2</v>
      </c>
    </row>
    <row r="605" spans="2:10">
      <c r="B605" s="84">
        <v>44893</v>
      </c>
      <c r="C605" s="82">
        <v>266.36</v>
      </c>
      <c r="D605" s="83">
        <v>265.79000000000002</v>
      </c>
      <c r="E605" s="83">
        <v>271.2</v>
      </c>
      <c r="F605" s="83">
        <v>264.56</v>
      </c>
      <c r="G605" s="83">
        <v>78866</v>
      </c>
      <c r="H605" s="85">
        <v>2.0999999999999999E-3</v>
      </c>
      <c r="I605" s="97">
        <v>2.7000000000000001E-3</v>
      </c>
      <c r="J605" s="97">
        <f t="shared" si="9"/>
        <v>-6.0000000000000027E-4</v>
      </c>
    </row>
    <row r="606" spans="2:10">
      <c r="B606" s="84">
        <v>44890</v>
      </c>
      <c r="C606" s="82">
        <v>265.79000000000002</v>
      </c>
      <c r="D606" s="83">
        <v>270</v>
      </c>
      <c r="E606" s="83">
        <v>270.99</v>
      </c>
      <c r="F606" s="83">
        <v>263.26</v>
      </c>
      <c r="G606" s="83">
        <v>296157</v>
      </c>
      <c r="H606" s="85">
        <v>-6.4999999999999997E-3</v>
      </c>
      <c r="I606" s="97">
        <v>1.6000000000000001E-3</v>
      </c>
      <c r="J606" s="97">
        <f t="shared" si="9"/>
        <v>-8.0999999999999996E-3</v>
      </c>
    </row>
    <row r="607" spans="2:10">
      <c r="B607" s="84">
        <v>44889</v>
      </c>
      <c r="C607" s="82">
        <v>267.52999999999997</v>
      </c>
      <c r="D607" s="83">
        <v>269</v>
      </c>
      <c r="E607" s="83">
        <v>270.16000000000003</v>
      </c>
      <c r="F607" s="83">
        <v>266.05</v>
      </c>
      <c r="G607" s="83">
        <v>23586</v>
      </c>
      <c r="H607" s="85">
        <v>-1.1999999999999999E-3</v>
      </c>
      <c r="I607" s="97">
        <v>1.1900000000000001E-2</v>
      </c>
      <c r="J607" s="97">
        <f t="shared" si="9"/>
        <v>-1.3100000000000001E-2</v>
      </c>
    </row>
    <row r="608" spans="2:10">
      <c r="B608" s="84">
        <v>44888</v>
      </c>
      <c r="C608" s="82">
        <v>267.86</v>
      </c>
      <c r="D608" s="83">
        <v>271.2</v>
      </c>
      <c r="E608" s="83">
        <v>274.24</v>
      </c>
      <c r="F608" s="83">
        <v>266.45</v>
      </c>
      <c r="G608" s="83">
        <v>83414</v>
      </c>
      <c r="H608" s="85">
        <v>-1.18E-2</v>
      </c>
      <c r="I608" s="97">
        <v>1.2999999999999999E-3</v>
      </c>
      <c r="J608" s="97">
        <f t="shared" si="9"/>
        <v>-1.3100000000000001E-2</v>
      </c>
    </row>
    <row r="609" spans="2:10">
      <c r="B609" s="84">
        <v>44887</v>
      </c>
      <c r="C609" s="82">
        <v>271.06</v>
      </c>
      <c r="D609" s="83">
        <v>270</v>
      </c>
      <c r="E609" s="83">
        <v>275.8</v>
      </c>
      <c r="F609" s="83">
        <v>267</v>
      </c>
      <c r="G609" s="83">
        <v>173281</v>
      </c>
      <c r="H609" s="85">
        <v>9.9000000000000008E-3</v>
      </c>
      <c r="I609" s="97">
        <v>4.5999999999999999E-3</v>
      </c>
      <c r="J609" s="97">
        <f t="shared" si="9"/>
        <v>5.3000000000000009E-3</v>
      </c>
    </row>
    <row r="610" spans="2:10">
      <c r="B610" s="84">
        <v>44886</v>
      </c>
      <c r="C610" s="82">
        <v>268.41000000000003</v>
      </c>
      <c r="D610" s="83">
        <v>268.5</v>
      </c>
      <c r="E610" s="83">
        <v>281.7</v>
      </c>
      <c r="F610" s="83">
        <v>264.55</v>
      </c>
      <c r="G610" s="83">
        <v>90750</v>
      </c>
      <c r="H610" s="85">
        <v>-2.9999999999999997E-4</v>
      </c>
      <c r="I610" s="97">
        <v>-8.0999999999999996E-3</v>
      </c>
      <c r="J610" s="97">
        <f t="shared" si="9"/>
        <v>7.7999999999999996E-3</v>
      </c>
    </row>
    <row r="611" spans="2:10">
      <c r="B611" s="84">
        <v>44883</v>
      </c>
      <c r="C611" s="82">
        <v>268.5</v>
      </c>
      <c r="D611" s="83">
        <v>267.2</v>
      </c>
      <c r="E611" s="83">
        <v>271.58</v>
      </c>
      <c r="F611" s="83">
        <v>266.20999999999998</v>
      </c>
      <c r="G611" s="83">
        <v>33282</v>
      </c>
      <c r="H611" s="85">
        <v>0</v>
      </c>
      <c r="I611" s="97">
        <v>-2E-3</v>
      </c>
      <c r="J611" s="97">
        <f t="shared" si="9"/>
        <v>2E-3</v>
      </c>
    </row>
    <row r="612" spans="2:10">
      <c r="B612" s="84">
        <v>44882</v>
      </c>
      <c r="C612" s="82">
        <v>268.51</v>
      </c>
      <c r="D612" s="83">
        <v>261.39999999999998</v>
      </c>
      <c r="E612" s="83">
        <v>273.95999999999998</v>
      </c>
      <c r="F612" s="83">
        <v>260.73</v>
      </c>
      <c r="G612" s="83">
        <v>38007</v>
      </c>
      <c r="H612" s="85">
        <v>1.5299999999999999E-2</v>
      </c>
      <c r="I612" s="97">
        <v>-3.5999999999999999E-3</v>
      </c>
      <c r="J612" s="97">
        <f t="shared" si="9"/>
        <v>1.89E-2</v>
      </c>
    </row>
    <row r="613" spans="2:10">
      <c r="B613" s="84">
        <v>44881</v>
      </c>
      <c r="C613" s="82">
        <v>264.47000000000003</v>
      </c>
      <c r="D613" s="83">
        <v>269.39999999999998</v>
      </c>
      <c r="E613" s="83">
        <v>271.01</v>
      </c>
      <c r="F613" s="83">
        <v>260.2</v>
      </c>
      <c r="G613" s="83">
        <v>189635</v>
      </c>
      <c r="H613" s="85">
        <v>-0.02</v>
      </c>
      <c r="I613" s="97">
        <v>2.9999999999999997E-4</v>
      </c>
      <c r="J613" s="97">
        <f t="shared" si="9"/>
        <v>-2.0300000000000002E-2</v>
      </c>
    </row>
    <row r="614" spans="2:10">
      <c r="B614" s="84">
        <v>44880</v>
      </c>
      <c r="C614" s="82">
        <v>269.86</v>
      </c>
      <c r="D614" s="83">
        <v>275.8</v>
      </c>
      <c r="E614" s="83">
        <v>278.98</v>
      </c>
      <c r="F614" s="83">
        <v>268.61</v>
      </c>
      <c r="G614" s="83">
        <v>251939</v>
      </c>
      <c r="H614" s="85">
        <v>-2.2200000000000001E-2</v>
      </c>
      <c r="I614" s="97">
        <v>4.1000000000000003E-3</v>
      </c>
      <c r="J614" s="97">
        <f t="shared" si="9"/>
        <v>-2.63E-2</v>
      </c>
    </row>
    <row r="615" spans="2:10">
      <c r="B615" s="84">
        <v>44879</v>
      </c>
      <c r="C615" s="82">
        <v>275.99</v>
      </c>
      <c r="D615" s="83">
        <v>272</v>
      </c>
      <c r="E615" s="83">
        <v>279</v>
      </c>
      <c r="F615" s="83">
        <v>271.94</v>
      </c>
      <c r="G615" s="83">
        <v>96043</v>
      </c>
      <c r="H615" s="85">
        <v>9.2999999999999992E-3</v>
      </c>
      <c r="I615" s="97">
        <v>-1.1000000000000001E-3</v>
      </c>
      <c r="J615" s="97">
        <f t="shared" si="9"/>
        <v>1.04E-2</v>
      </c>
    </row>
    <row r="616" spans="2:10">
      <c r="B616" s="84">
        <v>44876</v>
      </c>
      <c r="C616" s="82">
        <v>273.45</v>
      </c>
      <c r="D616" s="83">
        <v>269.60000000000002</v>
      </c>
      <c r="E616" s="83">
        <v>277.60000000000002</v>
      </c>
      <c r="F616" s="83">
        <v>269.60000000000002</v>
      </c>
      <c r="G616" s="83">
        <v>81499</v>
      </c>
      <c r="H616" s="85">
        <v>1.54E-2</v>
      </c>
      <c r="I616" s="97">
        <v>1.78E-2</v>
      </c>
      <c r="J616" s="97">
        <f t="shared" si="9"/>
        <v>-2.3999999999999994E-3</v>
      </c>
    </row>
    <row r="617" spans="2:10">
      <c r="B617" s="84">
        <v>44875</v>
      </c>
      <c r="C617" s="82">
        <v>269.31</v>
      </c>
      <c r="D617" s="83">
        <v>276.39999999999998</v>
      </c>
      <c r="E617" s="83">
        <v>277.81</v>
      </c>
      <c r="F617" s="83">
        <v>266.41000000000003</v>
      </c>
      <c r="G617" s="83">
        <v>91976</v>
      </c>
      <c r="H617" s="85">
        <v>-2.53E-2</v>
      </c>
      <c r="I617" s="97">
        <v>-7.1000000000000004E-3</v>
      </c>
      <c r="J617" s="97">
        <f t="shared" si="9"/>
        <v>-1.8200000000000001E-2</v>
      </c>
    </row>
    <row r="618" spans="2:10">
      <c r="B618" s="84">
        <v>44874</v>
      </c>
      <c r="C618" s="82">
        <v>276.29000000000002</v>
      </c>
      <c r="D618" s="83">
        <v>286.69</v>
      </c>
      <c r="E618" s="83">
        <v>288.2</v>
      </c>
      <c r="F618" s="83">
        <v>273.01</v>
      </c>
      <c r="G618" s="83">
        <v>93525</v>
      </c>
      <c r="H618" s="85">
        <v>-4.1399999999999999E-2</v>
      </c>
      <c r="I618" s="97">
        <v>-2.5000000000000001E-3</v>
      </c>
      <c r="J618" s="97">
        <f t="shared" si="9"/>
        <v>-3.8899999999999997E-2</v>
      </c>
    </row>
    <row r="619" spans="2:10">
      <c r="B619" s="84">
        <v>44872</v>
      </c>
      <c r="C619" s="82">
        <v>288.23</v>
      </c>
      <c r="D619" s="83">
        <v>286.20999999999998</v>
      </c>
      <c r="E619" s="83">
        <v>292</v>
      </c>
      <c r="F619" s="83">
        <v>284.60000000000002</v>
      </c>
      <c r="G619" s="83">
        <v>89277</v>
      </c>
      <c r="H619" s="85">
        <v>7.1000000000000004E-3</v>
      </c>
      <c r="I619" s="97">
        <v>4.7000000000000002E-3</v>
      </c>
      <c r="J619" s="97">
        <f t="shared" si="9"/>
        <v>2.4000000000000002E-3</v>
      </c>
    </row>
    <row r="620" spans="2:10">
      <c r="B620" s="84">
        <v>44869</v>
      </c>
      <c r="C620" s="82">
        <v>286.20999999999998</v>
      </c>
      <c r="D620" s="83">
        <v>293</v>
      </c>
      <c r="E620" s="83">
        <v>293.8</v>
      </c>
      <c r="F620" s="83">
        <v>272.75</v>
      </c>
      <c r="G620" s="83">
        <v>306984</v>
      </c>
      <c r="H620" s="85">
        <v>-1.6400000000000001E-2</v>
      </c>
      <c r="I620" s="97">
        <v>3.5999999999999999E-3</v>
      </c>
      <c r="J620" s="97">
        <f t="shared" si="9"/>
        <v>-0.02</v>
      </c>
    </row>
    <row r="621" spans="2:10">
      <c r="B621" s="84">
        <v>44868</v>
      </c>
      <c r="C621" s="82">
        <v>290.98</v>
      </c>
      <c r="D621" s="83">
        <v>296.60000000000002</v>
      </c>
      <c r="E621" s="83">
        <v>298.98</v>
      </c>
      <c r="F621" s="83">
        <v>287.39999999999998</v>
      </c>
      <c r="G621" s="83">
        <v>264598</v>
      </c>
      <c r="H621" s="85">
        <v>-8.2000000000000007E-3</v>
      </c>
      <c r="I621" s="97">
        <v>-1.6999999999999999E-3</v>
      </c>
      <c r="J621" s="97">
        <f t="shared" si="9"/>
        <v>-6.5000000000000006E-3</v>
      </c>
    </row>
    <row r="622" spans="2:10">
      <c r="B622" s="84">
        <v>44867</v>
      </c>
      <c r="C622" s="82">
        <v>293.39</v>
      </c>
      <c r="D622" s="83">
        <v>294.39999999999998</v>
      </c>
      <c r="E622" s="83">
        <v>297.60000000000002</v>
      </c>
      <c r="F622" s="83">
        <v>291.51</v>
      </c>
      <c r="G622" s="83">
        <v>113254</v>
      </c>
      <c r="H622" s="85">
        <v>-4.7999999999999996E-3</v>
      </c>
      <c r="I622" s="97">
        <v>-3.3999999999999998E-3</v>
      </c>
      <c r="J622" s="97">
        <f t="shared" si="9"/>
        <v>-1.3999999999999998E-3</v>
      </c>
    </row>
    <row r="623" spans="2:10">
      <c r="B623" s="84">
        <v>44866</v>
      </c>
      <c r="C623" s="82">
        <v>294.81</v>
      </c>
      <c r="D623" s="83">
        <v>294</v>
      </c>
      <c r="E623" s="83">
        <v>298.8</v>
      </c>
      <c r="F623" s="83">
        <v>290.39999999999998</v>
      </c>
      <c r="G623" s="83">
        <v>97821</v>
      </c>
      <c r="H623" s="85">
        <v>1.8599999999999998E-2</v>
      </c>
      <c r="I623" s="97">
        <v>7.4000000000000003E-3</v>
      </c>
      <c r="J623" s="97">
        <f t="shared" si="9"/>
        <v>1.1199999999999998E-2</v>
      </c>
    </row>
    <row r="624" spans="2:10">
      <c r="B624" s="84">
        <v>44865</v>
      </c>
      <c r="C624" s="82">
        <v>289.43</v>
      </c>
      <c r="D624" s="83">
        <v>293.39999999999998</v>
      </c>
      <c r="E624" s="83">
        <v>294.20999999999998</v>
      </c>
      <c r="F624" s="83">
        <v>285.01</v>
      </c>
      <c r="G624" s="83">
        <v>53611</v>
      </c>
      <c r="H624" s="85">
        <v>-1.6199999999999999E-2</v>
      </c>
      <c r="I624" s="97">
        <v>1.2699999999999999E-2</v>
      </c>
      <c r="J624" s="97">
        <f t="shared" si="9"/>
        <v>-2.8899999999999999E-2</v>
      </c>
    </row>
    <row r="625" spans="2:10">
      <c r="B625" s="84">
        <v>44862</v>
      </c>
      <c r="C625" s="82">
        <v>294.20999999999998</v>
      </c>
      <c r="D625" s="83">
        <v>295.8</v>
      </c>
      <c r="E625" s="83">
        <v>296.02</v>
      </c>
      <c r="F625" s="83">
        <v>293.31</v>
      </c>
      <c r="G625" s="83">
        <v>37667</v>
      </c>
      <c r="H625" s="85">
        <v>-5.4000000000000003E-3</v>
      </c>
      <c r="I625" s="97">
        <v>2.8E-3</v>
      </c>
      <c r="J625" s="97">
        <f t="shared" si="9"/>
        <v>-8.2000000000000007E-3</v>
      </c>
    </row>
    <row r="626" spans="2:10">
      <c r="B626" s="84">
        <v>44861</v>
      </c>
      <c r="C626" s="82">
        <v>295.81</v>
      </c>
      <c r="D626" s="83">
        <v>296.54000000000002</v>
      </c>
      <c r="E626" s="83">
        <v>298</v>
      </c>
      <c r="F626" s="83">
        <v>291.7</v>
      </c>
      <c r="G626" s="83">
        <v>162557</v>
      </c>
      <c r="H626" s="85">
        <v>1.41E-2</v>
      </c>
      <c r="I626" s="97">
        <v>4.5999999999999999E-3</v>
      </c>
      <c r="J626" s="97">
        <f t="shared" si="9"/>
        <v>9.4999999999999998E-3</v>
      </c>
    </row>
    <row r="627" spans="2:10">
      <c r="B627" s="84">
        <v>44859</v>
      </c>
      <c r="C627" s="82">
        <v>291.7</v>
      </c>
      <c r="D627" s="83">
        <v>292.86</v>
      </c>
      <c r="E627" s="83">
        <v>297.39999999999998</v>
      </c>
      <c r="F627" s="83">
        <v>288.01</v>
      </c>
      <c r="G627" s="83">
        <v>113875</v>
      </c>
      <c r="H627" s="85">
        <v>3.0000000000000001E-3</v>
      </c>
      <c r="I627" s="97">
        <v>-4.1999999999999997E-3</v>
      </c>
      <c r="J627" s="97">
        <f t="shared" si="9"/>
        <v>7.1999999999999998E-3</v>
      </c>
    </row>
    <row r="628" spans="2:10">
      <c r="B628" s="84">
        <v>44858</v>
      </c>
      <c r="C628" s="82">
        <v>290.82</v>
      </c>
      <c r="D628" s="83">
        <v>289.77999999999997</v>
      </c>
      <c r="E628" s="83">
        <v>292.02999999999997</v>
      </c>
      <c r="F628" s="83">
        <v>286.39999999999998</v>
      </c>
      <c r="G628" s="83">
        <v>11101</v>
      </c>
      <c r="H628" s="85">
        <v>1.3100000000000001E-2</v>
      </c>
      <c r="I628" s="97">
        <v>8.8000000000000005E-3</v>
      </c>
      <c r="J628" s="97">
        <f t="shared" si="9"/>
        <v>4.3E-3</v>
      </c>
    </row>
    <row r="629" spans="2:10">
      <c r="B629" s="84">
        <v>44855</v>
      </c>
      <c r="C629" s="82">
        <v>287.05</v>
      </c>
      <c r="D629" s="83">
        <v>290.2</v>
      </c>
      <c r="E629" s="83">
        <v>294.33999999999997</v>
      </c>
      <c r="F629" s="83">
        <v>284.18</v>
      </c>
      <c r="G629" s="83">
        <v>61768</v>
      </c>
      <c r="H629" s="85">
        <v>-4.4999999999999997E-3</v>
      </c>
      <c r="I629" s="97">
        <v>6.9999999999999999E-4</v>
      </c>
      <c r="J629" s="97">
        <f t="shared" si="9"/>
        <v>-5.1999999999999998E-3</v>
      </c>
    </row>
    <row r="630" spans="2:10">
      <c r="B630" s="84">
        <v>44854</v>
      </c>
      <c r="C630" s="82">
        <v>288.33999999999997</v>
      </c>
      <c r="D630" s="83">
        <v>289.60000000000002</v>
      </c>
      <c r="E630" s="83">
        <v>293.60000000000002</v>
      </c>
      <c r="F630" s="83">
        <v>284.63</v>
      </c>
      <c r="G630" s="83">
        <v>34936</v>
      </c>
      <c r="H630" s="85">
        <v>-1.5900000000000001E-2</v>
      </c>
      <c r="I630" s="97">
        <v>3.0000000000000001E-3</v>
      </c>
      <c r="J630" s="97">
        <f t="shared" si="9"/>
        <v>-1.89E-2</v>
      </c>
    </row>
    <row r="631" spans="2:10">
      <c r="B631" s="84">
        <v>44853</v>
      </c>
      <c r="C631" s="82">
        <v>293</v>
      </c>
      <c r="D631" s="83">
        <v>288</v>
      </c>
      <c r="E631" s="83">
        <v>295.99</v>
      </c>
      <c r="F631" s="83">
        <v>286</v>
      </c>
      <c r="G631" s="83">
        <v>68938</v>
      </c>
      <c r="H631" s="85">
        <v>2.29E-2</v>
      </c>
      <c r="I631" s="97">
        <v>1.4E-3</v>
      </c>
      <c r="J631" s="97">
        <f t="shared" si="9"/>
        <v>2.1500000000000002E-2</v>
      </c>
    </row>
    <row r="632" spans="2:10">
      <c r="B632" s="84">
        <v>44852</v>
      </c>
      <c r="C632" s="82">
        <v>286.44</v>
      </c>
      <c r="D632" s="83">
        <v>286.41000000000003</v>
      </c>
      <c r="E632" s="83">
        <v>289.58</v>
      </c>
      <c r="F632" s="83">
        <v>285.20999999999998</v>
      </c>
      <c r="G632" s="83">
        <v>420316</v>
      </c>
      <c r="H632" s="85">
        <v>4.1999999999999997E-3</v>
      </c>
      <c r="I632" s="97">
        <v>1.01E-2</v>
      </c>
      <c r="J632" s="97">
        <f t="shared" si="9"/>
        <v>-5.8999999999999999E-3</v>
      </c>
    </row>
    <row r="633" spans="2:10">
      <c r="B633" s="84">
        <v>44851</v>
      </c>
      <c r="C633" s="82">
        <v>285.23</v>
      </c>
      <c r="D633" s="83">
        <v>285.01</v>
      </c>
      <c r="E633" s="83">
        <v>287.14999999999998</v>
      </c>
      <c r="F633" s="83">
        <v>284.01</v>
      </c>
      <c r="G633" s="83">
        <v>73919</v>
      </c>
      <c r="H633" s="85">
        <v>-2E-3</v>
      </c>
      <c r="I633" s="97">
        <v>7.3000000000000001E-3</v>
      </c>
      <c r="J633" s="97">
        <f t="shared" si="9"/>
        <v>-9.2999999999999992E-3</v>
      </c>
    </row>
    <row r="634" spans="2:10">
      <c r="B634" s="84">
        <v>44848</v>
      </c>
      <c r="C634" s="82">
        <v>285.8</v>
      </c>
      <c r="D634" s="83">
        <v>284.5</v>
      </c>
      <c r="E634" s="83">
        <v>288.98</v>
      </c>
      <c r="F634" s="83">
        <v>278.41000000000003</v>
      </c>
      <c r="G634" s="83">
        <v>157834</v>
      </c>
      <c r="H634" s="85">
        <v>1.67E-2</v>
      </c>
      <c r="I634" s="97">
        <v>1.01E-2</v>
      </c>
      <c r="J634" s="97">
        <f t="shared" si="9"/>
        <v>6.6E-3</v>
      </c>
    </row>
    <row r="635" spans="2:10">
      <c r="B635" s="84">
        <v>44847</v>
      </c>
      <c r="C635" s="82">
        <v>281.11</v>
      </c>
      <c r="D635" s="83">
        <v>289</v>
      </c>
      <c r="E635" s="83">
        <v>290.99</v>
      </c>
      <c r="F635" s="83">
        <v>279.52999999999997</v>
      </c>
      <c r="G635" s="83">
        <v>69827</v>
      </c>
      <c r="H635" s="85">
        <v>-2.9600000000000001E-2</v>
      </c>
      <c r="I635" s="97">
        <v>-6.4000000000000003E-3</v>
      </c>
      <c r="J635" s="97">
        <f t="shared" si="9"/>
        <v>-2.3200000000000002E-2</v>
      </c>
    </row>
    <row r="636" spans="2:10">
      <c r="B636" s="84">
        <v>44846</v>
      </c>
      <c r="C636" s="82">
        <v>289.69</v>
      </c>
      <c r="D636" s="83">
        <v>296.2</v>
      </c>
      <c r="E636" s="83">
        <v>296.2</v>
      </c>
      <c r="F636" s="83">
        <v>288.24</v>
      </c>
      <c r="G636" s="83">
        <v>152955</v>
      </c>
      <c r="H636" s="85">
        <v>-2.2499999999999999E-2</v>
      </c>
      <c r="I636" s="97">
        <v>8.2000000000000007E-3</v>
      </c>
      <c r="J636" s="97">
        <f t="shared" si="9"/>
        <v>-3.0699999999999998E-2</v>
      </c>
    </row>
    <row r="637" spans="2:10">
      <c r="B637" s="84">
        <v>44845</v>
      </c>
      <c r="C637" s="82">
        <v>296.36</v>
      </c>
      <c r="D637" s="83">
        <v>288.26</v>
      </c>
      <c r="E637" s="83">
        <v>301.99</v>
      </c>
      <c r="F637" s="83">
        <v>288.26</v>
      </c>
      <c r="G637" s="83">
        <v>104781</v>
      </c>
      <c r="H637" s="85">
        <v>2.7799999999999998E-2</v>
      </c>
      <c r="I637" s="97">
        <v>-1.49E-2</v>
      </c>
      <c r="J637" s="97">
        <f t="shared" si="9"/>
        <v>4.2700000000000002E-2</v>
      </c>
    </row>
    <row r="638" spans="2:10">
      <c r="B638" s="84">
        <v>44844</v>
      </c>
      <c r="C638" s="82">
        <v>288.33999999999997</v>
      </c>
      <c r="D638" s="83">
        <v>291</v>
      </c>
      <c r="E638" s="83">
        <v>293.67</v>
      </c>
      <c r="F638" s="83">
        <v>286.81</v>
      </c>
      <c r="G638" s="83">
        <v>73475</v>
      </c>
      <c r="H638" s="85">
        <v>-2.2599999999999999E-2</v>
      </c>
      <c r="I638" s="97">
        <v>-4.3E-3</v>
      </c>
      <c r="J638" s="97">
        <f t="shared" si="9"/>
        <v>-1.8299999999999997E-2</v>
      </c>
    </row>
    <row r="639" spans="2:10">
      <c r="B639" s="84">
        <v>44841</v>
      </c>
      <c r="C639" s="82">
        <v>295</v>
      </c>
      <c r="D639" s="83">
        <v>300.01</v>
      </c>
      <c r="E639" s="83">
        <v>304.94</v>
      </c>
      <c r="F639" s="83">
        <v>291.38</v>
      </c>
      <c r="G639" s="83">
        <v>204364</v>
      </c>
      <c r="H639" s="85">
        <v>-1.7600000000000001E-2</v>
      </c>
      <c r="I639" s="97">
        <v>-1E-3</v>
      </c>
      <c r="J639" s="97">
        <f t="shared" si="9"/>
        <v>-1.66E-2</v>
      </c>
    </row>
    <row r="640" spans="2:10">
      <c r="B640" s="84">
        <v>44840</v>
      </c>
      <c r="C640" s="82">
        <v>300.29000000000002</v>
      </c>
      <c r="D640" s="83">
        <v>299.60000000000002</v>
      </c>
      <c r="E640" s="83">
        <v>314.8</v>
      </c>
      <c r="F640" s="83">
        <v>297.81</v>
      </c>
      <c r="G640" s="83">
        <v>313671</v>
      </c>
      <c r="H640" s="85">
        <v>1.06E-2</v>
      </c>
      <c r="I640" s="97">
        <v>3.3E-3</v>
      </c>
      <c r="J640" s="97">
        <f t="shared" si="9"/>
        <v>7.3000000000000001E-3</v>
      </c>
    </row>
    <row r="641" spans="2:10">
      <c r="B641" s="84">
        <v>44838</v>
      </c>
      <c r="C641" s="82">
        <v>297.13</v>
      </c>
      <c r="D641" s="83">
        <v>300</v>
      </c>
      <c r="E641" s="83">
        <v>300</v>
      </c>
      <c r="F641" s="83">
        <v>294.26</v>
      </c>
      <c r="G641" s="83">
        <v>42139</v>
      </c>
      <c r="H641" s="85">
        <v>4.5999999999999999E-3</v>
      </c>
      <c r="I641" s="97">
        <v>2.29E-2</v>
      </c>
      <c r="J641" s="97">
        <f t="shared" si="9"/>
        <v>-1.83E-2</v>
      </c>
    </row>
    <row r="642" spans="2:10">
      <c r="B642" s="84">
        <v>44837</v>
      </c>
      <c r="C642" s="82">
        <v>295.76</v>
      </c>
      <c r="D642" s="83">
        <v>297.75</v>
      </c>
      <c r="E642" s="83">
        <v>302.8</v>
      </c>
      <c r="F642" s="83">
        <v>292.2</v>
      </c>
      <c r="G642" s="83">
        <v>99094</v>
      </c>
      <c r="H642" s="85">
        <v>-6.7000000000000002E-3</v>
      </c>
      <c r="I642" s="97">
        <v>-1.21E-2</v>
      </c>
      <c r="J642" s="97">
        <f t="shared" si="9"/>
        <v>5.3999999999999994E-3</v>
      </c>
    </row>
    <row r="643" spans="2:10">
      <c r="B643" s="84">
        <v>44834</v>
      </c>
      <c r="C643" s="82">
        <v>297.75</v>
      </c>
      <c r="D643" s="83">
        <v>282.2</v>
      </c>
      <c r="E643" s="83">
        <v>303.8</v>
      </c>
      <c r="F643" s="83">
        <v>281.52999999999997</v>
      </c>
      <c r="G643" s="83">
        <v>71457</v>
      </c>
      <c r="H643" s="85">
        <v>4.7699999999999999E-2</v>
      </c>
      <c r="I643" s="97">
        <v>1.6400000000000001E-2</v>
      </c>
      <c r="J643" s="97">
        <f t="shared" si="9"/>
        <v>3.1299999999999994E-2</v>
      </c>
    </row>
    <row r="644" spans="2:10">
      <c r="B644" s="84">
        <v>44833</v>
      </c>
      <c r="C644" s="82">
        <v>284.19</v>
      </c>
      <c r="D644" s="83">
        <v>288.8</v>
      </c>
      <c r="E644" s="83">
        <v>292.92</v>
      </c>
      <c r="F644" s="83">
        <v>282</v>
      </c>
      <c r="G644" s="83">
        <v>42620</v>
      </c>
      <c r="H644" s="85">
        <v>-1.09E-2</v>
      </c>
      <c r="I644" s="97">
        <v>-2.3999999999999998E-3</v>
      </c>
      <c r="J644" s="97">
        <f t="shared" si="9"/>
        <v>-8.5000000000000006E-3</v>
      </c>
    </row>
    <row r="645" spans="2:10">
      <c r="B645" s="84">
        <v>44832</v>
      </c>
      <c r="C645" s="82">
        <v>287.31</v>
      </c>
      <c r="D645" s="83">
        <v>282.8</v>
      </c>
      <c r="E645" s="83">
        <v>289.58999999999997</v>
      </c>
      <c r="F645" s="83">
        <v>281.37</v>
      </c>
      <c r="G645" s="83">
        <v>31511</v>
      </c>
      <c r="H645" s="85">
        <v>7.1999999999999998E-3</v>
      </c>
      <c r="I645" s="97">
        <v>-8.6999999999999994E-3</v>
      </c>
      <c r="J645" s="97">
        <f t="shared" si="9"/>
        <v>1.5899999999999997E-2</v>
      </c>
    </row>
    <row r="646" spans="2:10">
      <c r="B646" s="84">
        <v>44831</v>
      </c>
      <c r="C646" s="82">
        <v>285.26</v>
      </c>
      <c r="D646" s="83">
        <v>278.2</v>
      </c>
      <c r="E646" s="83">
        <v>287.33999999999997</v>
      </c>
      <c r="F646" s="83">
        <v>278.2</v>
      </c>
      <c r="G646" s="83">
        <v>52149</v>
      </c>
      <c r="H646" s="85">
        <v>1.17E-2</v>
      </c>
      <c r="I646" s="97">
        <v>-5.0000000000000001E-4</v>
      </c>
      <c r="J646" s="97">
        <f t="shared" si="9"/>
        <v>1.2200000000000001E-2</v>
      </c>
    </row>
    <row r="647" spans="2:10">
      <c r="B647" s="84">
        <v>44830</v>
      </c>
      <c r="C647" s="82">
        <v>281.95</v>
      </c>
      <c r="D647" s="83">
        <v>285.8</v>
      </c>
      <c r="E647" s="83">
        <v>289.77999999999997</v>
      </c>
      <c r="F647" s="83">
        <v>274.49</v>
      </c>
      <c r="G647" s="83">
        <v>145400</v>
      </c>
      <c r="H647" s="85">
        <v>-2.7699999999999999E-2</v>
      </c>
      <c r="I647" s="97">
        <v>-1.7999999999999999E-2</v>
      </c>
      <c r="J647" s="97">
        <f t="shared" si="9"/>
        <v>-9.7000000000000003E-3</v>
      </c>
    </row>
    <row r="648" spans="2:10">
      <c r="B648" s="84">
        <v>44827</v>
      </c>
      <c r="C648" s="82">
        <v>289.97000000000003</v>
      </c>
      <c r="D648" s="83">
        <v>288.99</v>
      </c>
      <c r="E648" s="83">
        <v>291.11</v>
      </c>
      <c r="F648" s="83">
        <v>284.60000000000002</v>
      </c>
      <c r="G648" s="83">
        <v>92247</v>
      </c>
      <c r="H648" s="85">
        <v>9.7999999999999997E-3</v>
      </c>
      <c r="I648" s="97">
        <v>-1.72E-2</v>
      </c>
      <c r="J648" s="97">
        <f t="shared" si="9"/>
        <v>2.7E-2</v>
      </c>
    </row>
    <row r="649" spans="2:10">
      <c r="B649" s="84">
        <v>44826</v>
      </c>
      <c r="C649" s="82">
        <v>287.14999999999998</v>
      </c>
      <c r="D649" s="83">
        <v>294.20999999999998</v>
      </c>
      <c r="E649" s="83">
        <v>299.8</v>
      </c>
      <c r="F649" s="83">
        <v>279.13</v>
      </c>
      <c r="G649" s="83">
        <v>111725</v>
      </c>
      <c r="H649" s="85">
        <v>-2.7699999999999999E-2</v>
      </c>
      <c r="I649" s="97">
        <v>-5.0000000000000001E-3</v>
      </c>
      <c r="J649" s="97">
        <f t="shared" si="9"/>
        <v>-2.2699999999999998E-2</v>
      </c>
    </row>
    <row r="650" spans="2:10">
      <c r="B650" s="84">
        <v>44825</v>
      </c>
      <c r="C650" s="82">
        <v>295.32</v>
      </c>
      <c r="D650" s="83">
        <v>292.8</v>
      </c>
      <c r="E650" s="83">
        <v>299.8</v>
      </c>
      <c r="F650" s="83">
        <v>290.97000000000003</v>
      </c>
      <c r="G650" s="83">
        <v>94073</v>
      </c>
      <c r="H650" s="85">
        <v>7.4000000000000003E-3</v>
      </c>
      <c r="I650" s="97">
        <v>-5.4999999999999997E-3</v>
      </c>
      <c r="J650" s="97">
        <f t="shared" ref="J650:J713" si="10">H650-I650</f>
        <v>1.29E-2</v>
      </c>
    </row>
    <row r="651" spans="2:10">
      <c r="B651" s="84">
        <v>44824</v>
      </c>
      <c r="C651" s="82">
        <v>293.14</v>
      </c>
      <c r="D651" s="83">
        <v>297.62</v>
      </c>
      <c r="E651" s="83">
        <v>297.62</v>
      </c>
      <c r="F651" s="83">
        <v>287.07</v>
      </c>
      <c r="G651" s="83">
        <v>60853</v>
      </c>
      <c r="H651" s="85">
        <v>2.7000000000000001E-3</v>
      </c>
      <c r="I651" s="97">
        <v>1.0999999999999999E-2</v>
      </c>
      <c r="J651" s="97">
        <f t="shared" si="10"/>
        <v>-8.2999999999999984E-3</v>
      </c>
    </row>
    <row r="652" spans="2:10">
      <c r="B652" s="84">
        <v>44823</v>
      </c>
      <c r="C652" s="82">
        <v>292.35000000000002</v>
      </c>
      <c r="D652" s="83">
        <v>293.60000000000002</v>
      </c>
      <c r="E652" s="83">
        <v>308.8</v>
      </c>
      <c r="F652" s="83">
        <v>286</v>
      </c>
      <c r="G652" s="83">
        <v>138374</v>
      </c>
      <c r="H652" s="85">
        <v>4.4000000000000003E-3</v>
      </c>
      <c r="I652" s="97">
        <v>5.1999999999999998E-3</v>
      </c>
      <c r="J652" s="97">
        <f t="shared" si="10"/>
        <v>-7.999999999999995E-4</v>
      </c>
    </row>
    <row r="653" spans="2:10">
      <c r="B653" s="84">
        <v>44820</v>
      </c>
      <c r="C653" s="82">
        <v>291.07</v>
      </c>
      <c r="D653" s="83">
        <v>286</v>
      </c>
      <c r="E653" s="83">
        <v>294.02</v>
      </c>
      <c r="F653" s="83">
        <v>285.39999999999998</v>
      </c>
      <c r="G653" s="83">
        <v>160906</v>
      </c>
      <c r="H653" s="85">
        <v>1.04E-2</v>
      </c>
      <c r="I653" s="97">
        <v>-1.9400000000000001E-2</v>
      </c>
      <c r="J653" s="97">
        <f t="shared" si="10"/>
        <v>2.98E-2</v>
      </c>
    </row>
    <row r="654" spans="2:10">
      <c r="B654" s="84">
        <v>44819</v>
      </c>
      <c r="C654" s="82">
        <v>288.07</v>
      </c>
      <c r="D654" s="83">
        <v>290</v>
      </c>
      <c r="E654" s="83">
        <v>290</v>
      </c>
      <c r="F654" s="83">
        <v>284.01</v>
      </c>
      <c r="G654" s="83">
        <v>36772</v>
      </c>
      <c r="H654" s="85">
        <v>1.2999999999999999E-3</v>
      </c>
      <c r="I654" s="97">
        <v>-7.0000000000000001E-3</v>
      </c>
      <c r="J654" s="97">
        <f t="shared" si="10"/>
        <v>8.3000000000000001E-3</v>
      </c>
    </row>
    <row r="655" spans="2:10">
      <c r="B655" s="84">
        <v>44818</v>
      </c>
      <c r="C655" s="82">
        <v>287.70999999999998</v>
      </c>
      <c r="D655" s="83">
        <v>280.8</v>
      </c>
      <c r="E655" s="83">
        <v>293</v>
      </c>
      <c r="F655" s="83">
        <v>272.22000000000003</v>
      </c>
      <c r="G655" s="83">
        <v>151938</v>
      </c>
      <c r="H655" s="85">
        <v>2.1299999999999999E-2</v>
      </c>
      <c r="I655" s="97">
        <v>-3.7000000000000002E-3</v>
      </c>
      <c r="J655" s="97">
        <f t="shared" si="10"/>
        <v>2.5000000000000001E-2</v>
      </c>
    </row>
    <row r="656" spans="2:10">
      <c r="B656" s="84">
        <v>44817</v>
      </c>
      <c r="C656" s="82">
        <v>281.72000000000003</v>
      </c>
      <c r="D656" s="83">
        <v>289.3</v>
      </c>
      <c r="E656" s="83">
        <v>293.18</v>
      </c>
      <c r="F656" s="83">
        <v>280.2</v>
      </c>
      <c r="G656" s="83">
        <v>67926</v>
      </c>
      <c r="H656" s="85">
        <v>-1.6500000000000001E-2</v>
      </c>
      <c r="I656" s="97">
        <v>7.4999999999999997E-3</v>
      </c>
      <c r="J656" s="97">
        <f t="shared" si="10"/>
        <v>-2.4E-2</v>
      </c>
    </row>
    <row r="657" spans="2:11">
      <c r="B657" s="84">
        <v>44816</v>
      </c>
      <c r="C657" s="82">
        <v>286.45999999999998</v>
      </c>
      <c r="D657" s="83">
        <v>282.91000000000003</v>
      </c>
      <c r="E657" s="83">
        <v>295</v>
      </c>
      <c r="F657" s="83">
        <v>277</v>
      </c>
      <c r="G657" s="83">
        <v>189186</v>
      </c>
      <c r="H657" s="85">
        <v>1.2500000000000001E-2</v>
      </c>
      <c r="I657" s="97">
        <v>5.7999999999999996E-3</v>
      </c>
      <c r="J657" s="97">
        <f t="shared" si="10"/>
        <v>6.7000000000000011E-3</v>
      </c>
    </row>
    <row r="658" spans="2:11">
      <c r="B658" s="84">
        <v>44813</v>
      </c>
      <c r="C658" s="82">
        <v>282.91000000000003</v>
      </c>
      <c r="D658" s="83">
        <v>289.38</v>
      </c>
      <c r="E658" s="83">
        <v>289.58999999999997</v>
      </c>
      <c r="F658" s="83">
        <v>280.74</v>
      </c>
      <c r="G658" s="83">
        <v>34383</v>
      </c>
      <c r="H658" s="85">
        <v>-1.0699999999999999E-2</v>
      </c>
      <c r="I658" s="97">
        <v>1.9E-3</v>
      </c>
      <c r="J658" s="97">
        <f t="shared" si="10"/>
        <v>-1.26E-2</v>
      </c>
    </row>
    <row r="659" spans="2:11">
      <c r="B659" s="84">
        <v>44812</v>
      </c>
      <c r="C659" s="82">
        <v>285.95999999999998</v>
      </c>
      <c r="D659" s="83">
        <v>296</v>
      </c>
      <c r="E659" s="83">
        <v>296</v>
      </c>
      <c r="F659" s="83">
        <v>284.2</v>
      </c>
      <c r="G659" s="83">
        <v>155754</v>
      </c>
      <c r="H659" s="85">
        <v>-2.1700000000000001E-2</v>
      </c>
      <c r="I659" s="97">
        <v>9.9000000000000008E-3</v>
      </c>
      <c r="J659" s="97">
        <f t="shared" si="10"/>
        <v>-3.1600000000000003E-2</v>
      </c>
    </row>
    <row r="660" spans="2:11">
      <c r="B660" s="84">
        <v>44811</v>
      </c>
      <c r="C660" s="82">
        <v>292.29000000000002</v>
      </c>
      <c r="D660" s="83">
        <v>276</v>
      </c>
      <c r="E660" s="83">
        <v>294.8</v>
      </c>
      <c r="F660" s="83">
        <v>273.85000000000002</v>
      </c>
      <c r="G660" s="83">
        <v>359090</v>
      </c>
      <c r="H660" s="85">
        <v>5.3900000000000003E-2</v>
      </c>
      <c r="I660" s="97">
        <v>-1.8E-3</v>
      </c>
      <c r="J660" s="97">
        <f t="shared" si="10"/>
        <v>5.5700000000000006E-2</v>
      </c>
      <c r="K660" s="87"/>
    </row>
    <row r="661" spans="2:11">
      <c r="B661" s="84">
        <v>44810</v>
      </c>
      <c r="C661" s="82">
        <v>277.35000000000002</v>
      </c>
      <c r="D661" s="83">
        <v>274.22000000000003</v>
      </c>
      <c r="E661" s="83">
        <v>280</v>
      </c>
      <c r="F661" s="83">
        <v>274.13</v>
      </c>
      <c r="G661" s="83">
        <v>166316</v>
      </c>
      <c r="H661" s="85">
        <v>1.8100000000000002E-2</v>
      </c>
      <c r="I661" s="97">
        <v>-5.9999999999999995E-4</v>
      </c>
      <c r="J661" s="97">
        <f t="shared" si="10"/>
        <v>1.8700000000000001E-2</v>
      </c>
    </row>
    <row r="662" spans="2:11">
      <c r="B662" s="84">
        <v>44809</v>
      </c>
      <c r="C662" s="82">
        <v>272.43</v>
      </c>
      <c r="D662" s="83">
        <v>271.99</v>
      </c>
      <c r="E662" s="83">
        <v>276</v>
      </c>
      <c r="F662" s="83">
        <v>268.2</v>
      </c>
      <c r="G662" s="83">
        <v>54273</v>
      </c>
      <c r="H662" s="85">
        <v>6.8999999999999999E-3</v>
      </c>
      <c r="I662" s="97">
        <v>7.1999999999999998E-3</v>
      </c>
      <c r="J662" s="97">
        <f t="shared" si="10"/>
        <v>-2.9999999999999992E-4</v>
      </c>
    </row>
    <row r="663" spans="2:11">
      <c r="B663" s="84">
        <v>44806</v>
      </c>
      <c r="C663" s="82">
        <v>270.56</v>
      </c>
      <c r="D663" s="83">
        <v>279.99</v>
      </c>
      <c r="E663" s="83">
        <v>282.7</v>
      </c>
      <c r="F663" s="83">
        <v>268.8</v>
      </c>
      <c r="G663" s="83">
        <v>330170</v>
      </c>
      <c r="H663" s="85">
        <v>-3.1E-2</v>
      </c>
      <c r="I663" s="97">
        <v>-2.0000000000000001E-4</v>
      </c>
      <c r="J663" s="97">
        <f t="shared" si="10"/>
        <v>-3.0800000000000001E-2</v>
      </c>
    </row>
    <row r="664" spans="2:11">
      <c r="B664" s="84">
        <v>44805</v>
      </c>
      <c r="C664" s="82">
        <v>279.22000000000003</v>
      </c>
      <c r="D664" s="83">
        <v>273.57</v>
      </c>
      <c r="E664" s="83">
        <v>280</v>
      </c>
      <c r="F664" s="83">
        <v>266.2</v>
      </c>
      <c r="G664" s="83">
        <v>250527</v>
      </c>
      <c r="H664" s="85">
        <v>4.07E-2</v>
      </c>
      <c r="I664" s="97">
        <v>-1.2200000000000001E-2</v>
      </c>
      <c r="J664" s="97">
        <f t="shared" si="10"/>
        <v>5.2900000000000003E-2</v>
      </c>
      <c r="K664" s="87"/>
    </row>
    <row r="665" spans="2:11">
      <c r="B665" s="84">
        <v>44803</v>
      </c>
      <c r="C665" s="82">
        <v>268.3</v>
      </c>
      <c r="D665" s="83">
        <v>259.79000000000002</v>
      </c>
      <c r="E665" s="83">
        <v>281</v>
      </c>
      <c r="F665" s="83">
        <v>256.56</v>
      </c>
      <c r="G665" s="83">
        <v>373958</v>
      </c>
      <c r="H665" s="85">
        <v>3.6799999999999999E-2</v>
      </c>
      <c r="I665" s="97">
        <v>2.58E-2</v>
      </c>
      <c r="J665" s="97">
        <f t="shared" si="10"/>
        <v>1.0999999999999999E-2</v>
      </c>
    </row>
    <row r="666" spans="2:11">
      <c r="B666" s="84">
        <v>44802</v>
      </c>
      <c r="C666" s="82">
        <v>258.77999999999997</v>
      </c>
      <c r="D666" s="83">
        <v>242.6</v>
      </c>
      <c r="E666" s="83">
        <v>260.2</v>
      </c>
      <c r="F666" s="83">
        <v>242.6</v>
      </c>
      <c r="G666" s="83">
        <v>123805</v>
      </c>
      <c r="H666" s="85">
        <v>2.7799999999999998E-2</v>
      </c>
      <c r="I666" s="97">
        <v>-1.4E-2</v>
      </c>
      <c r="J666" s="97">
        <f t="shared" si="10"/>
        <v>4.1799999999999997E-2</v>
      </c>
    </row>
    <row r="667" spans="2:11">
      <c r="B667" s="84">
        <v>44799</v>
      </c>
      <c r="C667" s="82">
        <v>251.78</v>
      </c>
      <c r="D667" s="83">
        <v>245</v>
      </c>
      <c r="E667" s="83">
        <v>254.07</v>
      </c>
      <c r="F667" s="83">
        <v>242.65</v>
      </c>
      <c r="G667" s="83">
        <v>478425</v>
      </c>
      <c r="H667" s="85">
        <v>3.1399999999999997E-2</v>
      </c>
      <c r="I667" s="97">
        <v>2.0999999999999999E-3</v>
      </c>
      <c r="J667" s="97">
        <f t="shared" si="10"/>
        <v>2.9299999999999996E-2</v>
      </c>
    </row>
    <row r="668" spans="2:11">
      <c r="B668" s="84">
        <v>44798</v>
      </c>
      <c r="C668" s="82">
        <v>244.11</v>
      </c>
      <c r="D668" s="83">
        <v>243.4</v>
      </c>
      <c r="E668" s="83">
        <v>248.8</v>
      </c>
      <c r="F668" s="83">
        <v>242.4</v>
      </c>
      <c r="G668" s="83">
        <v>284626</v>
      </c>
      <c r="H668" s="85">
        <v>3.5999999999999999E-3</v>
      </c>
      <c r="I668" s="97">
        <v>-4.7000000000000002E-3</v>
      </c>
      <c r="J668" s="97">
        <f t="shared" si="10"/>
        <v>8.3000000000000001E-3</v>
      </c>
    </row>
    <row r="669" spans="2:11">
      <c r="B669" s="84">
        <v>44797</v>
      </c>
      <c r="C669" s="82">
        <v>243.24</v>
      </c>
      <c r="D669" s="83">
        <v>247</v>
      </c>
      <c r="E669" s="83">
        <v>250.22</v>
      </c>
      <c r="F669" s="83">
        <v>242.4</v>
      </c>
      <c r="G669" s="83">
        <v>48321</v>
      </c>
      <c r="H669" s="85">
        <v>-1.61E-2</v>
      </c>
      <c r="I669" s="97">
        <v>1.6000000000000001E-3</v>
      </c>
      <c r="J669" s="97">
        <f t="shared" si="10"/>
        <v>-1.77E-2</v>
      </c>
    </row>
    <row r="670" spans="2:11">
      <c r="B670" s="84">
        <v>44796</v>
      </c>
      <c r="C670" s="82">
        <v>247.21</v>
      </c>
      <c r="D670" s="83">
        <v>249.8</v>
      </c>
      <c r="E670" s="83">
        <v>250.32</v>
      </c>
      <c r="F670" s="83">
        <v>243.2</v>
      </c>
      <c r="G670" s="83">
        <v>60804</v>
      </c>
      <c r="H670" s="85">
        <v>-6.7000000000000002E-3</v>
      </c>
      <c r="I670" s="97">
        <v>5.0000000000000001E-3</v>
      </c>
      <c r="J670" s="97">
        <f t="shared" si="10"/>
        <v>-1.17E-2</v>
      </c>
    </row>
    <row r="671" spans="2:11">
      <c r="B671" s="84">
        <v>44795</v>
      </c>
      <c r="C671" s="82">
        <v>248.89</v>
      </c>
      <c r="D671" s="83">
        <v>254.85</v>
      </c>
      <c r="E671" s="83">
        <v>254.85</v>
      </c>
      <c r="F671" s="83">
        <v>246.8</v>
      </c>
      <c r="G671" s="83">
        <v>96355</v>
      </c>
      <c r="H671" s="85">
        <v>-3.0700000000000002E-2</v>
      </c>
      <c r="I671" s="97">
        <v>-1.5100000000000001E-2</v>
      </c>
      <c r="J671" s="97">
        <f t="shared" si="10"/>
        <v>-1.5600000000000001E-2</v>
      </c>
    </row>
    <row r="672" spans="2:11">
      <c r="B672" s="84">
        <v>44792</v>
      </c>
      <c r="C672" s="82">
        <v>256.77</v>
      </c>
      <c r="D672" s="83">
        <v>261.01</v>
      </c>
      <c r="E672" s="83">
        <v>262.56</v>
      </c>
      <c r="F672" s="83">
        <v>252.6</v>
      </c>
      <c r="G672" s="83">
        <v>60915</v>
      </c>
      <c r="H672" s="85">
        <v>-1.7399999999999999E-2</v>
      </c>
      <c r="I672" s="97">
        <v>-1.0999999999999999E-2</v>
      </c>
      <c r="J672" s="97">
        <f t="shared" si="10"/>
        <v>-6.3999999999999994E-3</v>
      </c>
    </row>
    <row r="673" spans="2:11">
      <c r="B673" s="84">
        <v>44791</v>
      </c>
      <c r="C673" s="82">
        <v>261.32</v>
      </c>
      <c r="D673" s="83">
        <v>269.2</v>
      </c>
      <c r="E673" s="83">
        <v>269.2</v>
      </c>
      <c r="F673" s="83">
        <v>258</v>
      </c>
      <c r="G673" s="83">
        <v>139410</v>
      </c>
      <c r="H673" s="85">
        <v>0.01</v>
      </c>
      <c r="I673" s="97">
        <v>6.9999999999999999E-4</v>
      </c>
      <c r="J673" s="97">
        <f t="shared" si="10"/>
        <v>9.300000000000001E-3</v>
      </c>
    </row>
    <row r="674" spans="2:11">
      <c r="B674" s="84">
        <v>44790</v>
      </c>
      <c r="C674" s="82">
        <v>258.73</v>
      </c>
      <c r="D674" s="83">
        <v>257.8</v>
      </c>
      <c r="E674" s="83">
        <v>262.08</v>
      </c>
      <c r="F674" s="83">
        <v>256</v>
      </c>
      <c r="G674" s="83">
        <v>125373</v>
      </c>
      <c r="H674" s="85">
        <v>3.8E-3</v>
      </c>
      <c r="I674" s="97">
        <v>6.7000000000000002E-3</v>
      </c>
      <c r="J674" s="97">
        <f t="shared" si="10"/>
        <v>-2.9000000000000002E-3</v>
      </c>
    </row>
    <row r="675" spans="2:11">
      <c r="B675" s="84">
        <v>44789</v>
      </c>
      <c r="C675" s="82">
        <v>257.75</v>
      </c>
      <c r="D675" s="83">
        <v>262.02999999999997</v>
      </c>
      <c r="E675" s="83">
        <v>266.99</v>
      </c>
      <c r="F675" s="83">
        <v>256.32</v>
      </c>
      <c r="G675" s="83">
        <v>149591</v>
      </c>
      <c r="H675" s="85">
        <v>-2.5399999999999999E-2</v>
      </c>
      <c r="I675" s="97">
        <v>7.1999999999999998E-3</v>
      </c>
      <c r="J675" s="97">
        <f t="shared" si="10"/>
        <v>-3.2599999999999997E-2</v>
      </c>
    </row>
    <row r="676" spans="2:11">
      <c r="B676" s="84">
        <v>44785</v>
      </c>
      <c r="C676" s="82">
        <v>264.48</v>
      </c>
      <c r="D676" s="83">
        <v>254</v>
      </c>
      <c r="E676" s="83">
        <v>267.8</v>
      </c>
      <c r="F676" s="83">
        <v>254</v>
      </c>
      <c r="G676" s="83">
        <v>259851</v>
      </c>
      <c r="H676" s="85">
        <v>4.4299999999999999E-2</v>
      </c>
      <c r="I676" s="97">
        <v>2.2000000000000001E-3</v>
      </c>
      <c r="J676" s="97">
        <f t="shared" si="10"/>
        <v>4.2099999999999999E-2</v>
      </c>
    </row>
    <row r="677" spans="2:11">
      <c r="B677" s="84">
        <v>44784</v>
      </c>
      <c r="C677" s="82">
        <v>253.25</v>
      </c>
      <c r="D677" s="83">
        <v>257.60000000000002</v>
      </c>
      <c r="E677" s="83">
        <v>265</v>
      </c>
      <c r="F677" s="83">
        <v>247.34</v>
      </c>
      <c r="G677" s="83">
        <v>456349</v>
      </c>
      <c r="H677" s="85">
        <v>-3.0999999999999999E-3</v>
      </c>
      <c r="I677" s="97">
        <v>7.1000000000000004E-3</v>
      </c>
      <c r="J677" s="97">
        <f t="shared" si="10"/>
        <v>-1.0200000000000001E-2</v>
      </c>
    </row>
    <row r="678" spans="2:11">
      <c r="B678" s="84">
        <v>44783</v>
      </c>
      <c r="C678" s="82">
        <v>254.05</v>
      </c>
      <c r="D678" s="83">
        <v>255</v>
      </c>
      <c r="E678" s="83">
        <v>255.78</v>
      </c>
      <c r="F678" s="83">
        <v>251</v>
      </c>
      <c r="G678" s="83">
        <v>37869</v>
      </c>
      <c r="H678" s="85">
        <v>-5.4000000000000003E-3</v>
      </c>
      <c r="I678" s="97">
        <v>5.9999999999999995E-4</v>
      </c>
      <c r="J678" s="97">
        <f t="shared" si="10"/>
        <v>-6.0000000000000001E-3</v>
      </c>
    </row>
    <row r="679" spans="2:11">
      <c r="B679" s="84">
        <v>44781</v>
      </c>
      <c r="C679" s="82">
        <v>255.44</v>
      </c>
      <c r="D679" s="83">
        <v>255.2</v>
      </c>
      <c r="E679" s="83">
        <v>260.64999999999998</v>
      </c>
      <c r="F679" s="83">
        <v>250</v>
      </c>
      <c r="G679" s="83">
        <v>63597</v>
      </c>
      <c r="H679" s="85">
        <v>-6.3E-3</v>
      </c>
      <c r="I679" s="97">
        <v>7.3000000000000001E-3</v>
      </c>
      <c r="J679" s="97">
        <f t="shared" si="10"/>
        <v>-1.3600000000000001E-2</v>
      </c>
    </row>
    <row r="680" spans="2:11">
      <c r="B680" s="84">
        <v>44778</v>
      </c>
      <c r="C680" s="82">
        <v>257.05</v>
      </c>
      <c r="D680" s="83">
        <v>241.2</v>
      </c>
      <c r="E680" s="83">
        <v>262.60000000000002</v>
      </c>
      <c r="F680" s="83">
        <v>241.2</v>
      </c>
      <c r="G680" s="83">
        <v>434856</v>
      </c>
      <c r="H680" s="85">
        <v>5.7099999999999998E-2</v>
      </c>
      <c r="I680" s="97">
        <v>8.9999999999999998E-4</v>
      </c>
      <c r="J680" s="97">
        <f t="shared" si="10"/>
        <v>5.62E-2</v>
      </c>
      <c r="K680" s="87"/>
    </row>
    <row r="681" spans="2:11">
      <c r="B681" s="84">
        <v>44777</v>
      </c>
      <c r="C681" s="82">
        <v>243.16</v>
      </c>
      <c r="D681" s="83">
        <v>253.8</v>
      </c>
      <c r="E681" s="83">
        <v>253.8</v>
      </c>
      <c r="F681" s="83">
        <v>236.2</v>
      </c>
      <c r="G681" s="83">
        <v>165926</v>
      </c>
      <c r="H681" s="85">
        <v>-2.2700000000000001E-2</v>
      </c>
      <c r="I681" s="97">
        <v>-4.0000000000000002E-4</v>
      </c>
      <c r="J681" s="97">
        <f t="shared" si="10"/>
        <v>-2.23E-2</v>
      </c>
    </row>
    <row r="682" spans="2:11">
      <c r="B682" s="84">
        <v>44776</v>
      </c>
      <c r="C682" s="82">
        <v>248.81</v>
      </c>
      <c r="D682" s="83">
        <v>237.45</v>
      </c>
      <c r="E682" s="83">
        <v>252.98</v>
      </c>
      <c r="F682" s="83">
        <v>234.12</v>
      </c>
      <c r="G682" s="83">
        <v>243564</v>
      </c>
      <c r="H682" s="85">
        <v>3.7400000000000003E-2</v>
      </c>
      <c r="I682" s="97">
        <v>2.5000000000000001E-3</v>
      </c>
      <c r="J682" s="97">
        <f t="shared" si="10"/>
        <v>3.49E-2</v>
      </c>
    </row>
    <row r="683" spans="2:11">
      <c r="B683" s="84">
        <v>44775</v>
      </c>
      <c r="C683" s="82">
        <v>239.83</v>
      </c>
      <c r="D683" s="83">
        <v>246</v>
      </c>
      <c r="E683" s="83">
        <v>246.01</v>
      </c>
      <c r="F683" s="83">
        <v>236.3</v>
      </c>
      <c r="G683" s="83">
        <v>65519</v>
      </c>
      <c r="H683" s="85">
        <v>-1.83E-2</v>
      </c>
      <c r="I683" s="97">
        <v>2.9999999999999997E-4</v>
      </c>
      <c r="J683" s="97">
        <f t="shared" si="10"/>
        <v>-1.8600000000000002E-2</v>
      </c>
    </row>
    <row r="684" spans="2:11">
      <c r="B684" s="84">
        <v>44774</v>
      </c>
      <c r="C684" s="82">
        <v>244.3</v>
      </c>
      <c r="D684" s="83">
        <v>235.6</v>
      </c>
      <c r="E684" s="83">
        <v>246.75</v>
      </c>
      <c r="F684" s="83">
        <v>233.6</v>
      </c>
      <c r="G684" s="83">
        <v>209216</v>
      </c>
      <c r="H684" s="85">
        <v>6.4399999999999999E-2</v>
      </c>
      <c r="I684" s="97">
        <v>1.06E-2</v>
      </c>
      <c r="J684" s="97">
        <f t="shared" si="10"/>
        <v>5.3800000000000001E-2</v>
      </c>
      <c r="K684" s="87"/>
    </row>
    <row r="685" spans="2:11">
      <c r="B685" s="84">
        <v>44771</v>
      </c>
      <c r="C685" s="82">
        <v>229.52</v>
      </c>
      <c r="D685" s="83">
        <v>225</v>
      </c>
      <c r="E685" s="83">
        <v>231.53</v>
      </c>
      <c r="F685" s="83">
        <v>222.75</v>
      </c>
      <c r="G685" s="83">
        <v>192831</v>
      </c>
      <c r="H685" s="85">
        <v>3.2199999999999999E-2</v>
      </c>
      <c r="I685" s="97">
        <v>1.35E-2</v>
      </c>
      <c r="J685" s="97">
        <f t="shared" si="10"/>
        <v>1.8700000000000001E-2</v>
      </c>
    </row>
    <row r="686" spans="2:11">
      <c r="B686" s="84">
        <v>44770</v>
      </c>
      <c r="C686" s="82">
        <v>222.37</v>
      </c>
      <c r="D686" s="83">
        <v>224.22</v>
      </c>
      <c r="E686" s="83">
        <v>227.55</v>
      </c>
      <c r="F686" s="83">
        <v>220.4</v>
      </c>
      <c r="G686" s="83">
        <v>102408</v>
      </c>
      <c r="H686" s="85">
        <v>-5.7999999999999996E-3</v>
      </c>
      <c r="I686" s="97">
        <v>1.7299999999999999E-2</v>
      </c>
      <c r="J686" s="97">
        <f t="shared" si="10"/>
        <v>-2.3099999999999999E-2</v>
      </c>
    </row>
    <row r="687" spans="2:11">
      <c r="B687" s="84">
        <v>44769</v>
      </c>
      <c r="C687" s="82">
        <v>223.67</v>
      </c>
      <c r="D687" s="83">
        <v>226.78</v>
      </c>
      <c r="E687" s="83">
        <v>227.66</v>
      </c>
      <c r="F687" s="83">
        <v>220.81</v>
      </c>
      <c r="G687" s="83">
        <v>66753</v>
      </c>
      <c r="H687" s="85">
        <v>-1.37E-2</v>
      </c>
      <c r="I687" s="97">
        <v>9.5999999999999992E-3</v>
      </c>
      <c r="J687" s="97">
        <f t="shared" si="10"/>
        <v>-2.3300000000000001E-2</v>
      </c>
    </row>
    <row r="688" spans="2:11">
      <c r="B688" s="84">
        <v>44768</v>
      </c>
      <c r="C688" s="82">
        <v>226.78</v>
      </c>
      <c r="D688" s="83">
        <v>223.55</v>
      </c>
      <c r="E688" s="83">
        <v>229.66</v>
      </c>
      <c r="F688" s="83">
        <v>216.31</v>
      </c>
      <c r="G688" s="83">
        <v>337183</v>
      </c>
      <c r="H688" s="85">
        <v>2.7300000000000001E-2</v>
      </c>
      <c r="I688" s="97">
        <v>-8.8000000000000005E-3</v>
      </c>
      <c r="J688" s="97">
        <f t="shared" si="10"/>
        <v>3.61E-2</v>
      </c>
    </row>
    <row r="689" spans="2:10">
      <c r="B689" s="84">
        <v>44767</v>
      </c>
      <c r="C689" s="82">
        <v>220.76</v>
      </c>
      <c r="D689" s="83">
        <v>222</v>
      </c>
      <c r="E689" s="83">
        <v>224</v>
      </c>
      <c r="F689" s="83">
        <v>218.83</v>
      </c>
      <c r="G689" s="83">
        <v>67774</v>
      </c>
      <c r="H689" s="85">
        <v>-5.4999999999999997E-3</v>
      </c>
      <c r="I689" s="97">
        <v>-5.3E-3</v>
      </c>
      <c r="J689" s="97">
        <f t="shared" si="10"/>
        <v>-1.9999999999999966E-4</v>
      </c>
    </row>
    <row r="690" spans="2:10">
      <c r="B690" s="84">
        <v>44764</v>
      </c>
      <c r="C690" s="82">
        <v>221.98</v>
      </c>
      <c r="D690" s="83">
        <v>223.78</v>
      </c>
      <c r="E690" s="83">
        <v>224.6</v>
      </c>
      <c r="F690" s="83">
        <v>220.94</v>
      </c>
      <c r="G690" s="83">
        <v>22705</v>
      </c>
      <c r="H690" s="85">
        <v>8.9999999999999998E-4</v>
      </c>
      <c r="I690" s="97">
        <v>6.8999999999999999E-3</v>
      </c>
      <c r="J690" s="97">
        <f t="shared" si="10"/>
        <v>-6.0000000000000001E-3</v>
      </c>
    </row>
    <row r="691" spans="2:10">
      <c r="B691" s="84">
        <v>44763</v>
      </c>
      <c r="C691" s="82">
        <v>221.78</v>
      </c>
      <c r="D691" s="83">
        <v>222.6</v>
      </c>
      <c r="E691" s="83">
        <v>224.82</v>
      </c>
      <c r="F691" s="83">
        <v>220.92</v>
      </c>
      <c r="G691" s="83">
        <v>34361</v>
      </c>
      <c r="H691" s="85">
        <v>-2.2000000000000001E-3</v>
      </c>
      <c r="I691" s="97">
        <v>5.1000000000000004E-3</v>
      </c>
      <c r="J691" s="97">
        <f t="shared" si="10"/>
        <v>-7.3000000000000009E-3</v>
      </c>
    </row>
    <row r="692" spans="2:10">
      <c r="B692" s="84">
        <v>44762</v>
      </c>
      <c r="C692" s="82">
        <v>222.28</v>
      </c>
      <c r="D692" s="83">
        <v>227.78</v>
      </c>
      <c r="E692" s="83">
        <v>227.78</v>
      </c>
      <c r="F692" s="83">
        <v>221.4</v>
      </c>
      <c r="G692" s="83">
        <v>77767</v>
      </c>
      <c r="H692" s="85">
        <v>-5.8999999999999999E-3</v>
      </c>
      <c r="I692" s="97">
        <v>1.0999999999999999E-2</v>
      </c>
      <c r="J692" s="97">
        <f t="shared" si="10"/>
        <v>-1.6899999999999998E-2</v>
      </c>
    </row>
    <row r="693" spans="2:10">
      <c r="B693" s="84">
        <v>44761</v>
      </c>
      <c r="C693" s="82">
        <v>223.61</v>
      </c>
      <c r="D693" s="83">
        <v>223.08</v>
      </c>
      <c r="E693" s="83">
        <v>225.8</v>
      </c>
      <c r="F693" s="83">
        <v>220.41</v>
      </c>
      <c r="G693" s="83">
        <v>87558</v>
      </c>
      <c r="H693" s="85">
        <v>7.7999999999999996E-3</v>
      </c>
      <c r="I693" s="97">
        <v>3.8E-3</v>
      </c>
      <c r="J693" s="97">
        <f t="shared" si="10"/>
        <v>4.0000000000000001E-3</v>
      </c>
    </row>
    <row r="694" spans="2:10">
      <c r="B694" s="84">
        <v>44760</v>
      </c>
      <c r="C694" s="82">
        <v>221.89</v>
      </c>
      <c r="D694" s="83">
        <v>220.17</v>
      </c>
      <c r="E694" s="83">
        <v>228.75</v>
      </c>
      <c r="F694" s="83">
        <v>220.17</v>
      </c>
      <c r="G694" s="83">
        <v>78111</v>
      </c>
      <c r="H694" s="85">
        <v>8.0000000000000002E-3</v>
      </c>
      <c r="I694" s="97">
        <v>1.43E-2</v>
      </c>
      <c r="J694" s="97">
        <f t="shared" si="10"/>
        <v>-6.3E-3</v>
      </c>
    </row>
    <row r="695" spans="2:10">
      <c r="B695" s="84">
        <v>44757</v>
      </c>
      <c r="C695" s="82">
        <v>220.12</v>
      </c>
      <c r="D695" s="83">
        <v>218</v>
      </c>
      <c r="E695" s="83">
        <v>221.34</v>
      </c>
      <c r="F695" s="83">
        <v>218</v>
      </c>
      <c r="G695" s="83">
        <v>130489</v>
      </c>
      <c r="H695" s="85">
        <v>8.9999999999999998E-4</v>
      </c>
      <c r="I695" s="97">
        <v>6.8999999999999999E-3</v>
      </c>
      <c r="J695" s="97">
        <f t="shared" si="10"/>
        <v>-6.0000000000000001E-3</v>
      </c>
    </row>
    <row r="696" spans="2:10">
      <c r="B696" s="84">
        <v>44756</v>
      </c>
      <c r="C696" s="82">
        <v>219.93</v>
      </c>
      <c r="D696" s="83">
        <v>223.2</v>
      </c>
      <c r="E696" s="83">
        <v>225.76</v>
      </c>
      <c r="F696" s="83">
        <v>215.46</v>
      </c>
      <c r="G696" s="83">
        <v>94566</v>
      </c>
      <c r="H696" s="85">
        <v>-2.0999999999999999E-3</v>
      </c>
      <c r="I696" s="97">
        <v>-1.8E-3</v>
      </c>
      <c r="J696" s="97">
        <f t="shared" si="10"/>
        <v>-2.9999999999999992E-4</v>
      </c>
    </row>
    <row r="697" spans="2:10">
      <c r="B697" s="84">
        <v>44755</v>
      </c>
      <c r="C697" s="82">
        <v>220.39</v>
      </c>
      <c r="D697" s="83">
        <v>216.22</v>
      </c>
      <c r="E697" s="83">
        <v>221.8</v>
      </c>
      <c r="F697" s="83">
        <v>216.22</v>
      </c>
      <c r="G697" s="83">
        <v>86475</v>
      </c>
      <c r="H697" s="85">
        <v>1.15E-2</v>
      </c>
      <c r="I697" s="97">
        <v>-5.7000000000000002E-3</v>
      </c>
      <c r="J697" s="97">
        <f t="shared" si="10"/>
        <v>1.72E-2</v>
      </c>
    </row>
    <row r="698" spans="2:10">
      <c r="B698" s="84">
        <v>44754</v>
      </c>
      <c r="C698" s="82">
        <v>217.88</v>
      </c>
      <c r="D698" s="83">
        <v>218.27</v>
      </c>
      <c r="E698" s="83">
        <v>219.8</v>
      </c>
      <c r="F698" s="83">
        <v>213.12</v>
      </c>
      <c r="G698" s="83">
        <v>129212</v>
      </c>
      <c r="H698" s="85">
        <v>-1.67E-2</v>
      </c>
      <c r="I698" s="97">
        <v>-9.7000000000000003E-3</v>
      </c>
      <c r="J698" s="97">
        <f t="shared" si="10"/>
        <v>-6.9999999999999993E-3</v>
      </c>
    </row>
    <row r="699" spans="2:10">
      <c r="B699" s="84">
        <v>44753</v>
      </c>
      <c r="C699" s="82">
        <v>221.59</v>
      </c>
      <c r="D699" s="83">
        <v>224</v>
      </c>
      <c r="E699" s="83">
        <v>224</v>
      </c>
      <c r="F699" s="83">
        <v>218.24</v>
      </c>
      <c r="G699" s="83">
        <v>94753</v>
      </c>
      <c r="H699" s="85">
        <v>-1.18E-2</v>
      </c>
      <c r="I699" s="97">
        <v>-2.9999999999999997E-4</v>
      </c>
      <c r="J699" s="97">
        <f t="shared" si="10"/>
        <v>-1.15E-2</v>
      </c>
    </row>
    <row r="700" spans="2:10">
      <c r="B700" s="84">
        <v>44750</v>
      </c>
      <c r="C700" s="82">
        <v>224.24</v>
      </c>
      <c r="D700" s="83">
        <v>225</v>
      </c>
      <c r="E700" s="83">
        <v>225.99</v>
      </c>
      <c r="F700" s="83">
        <v>218.97</v>
      </c>
      <c r="G700" s="83">
        <v>171208</v>
      </c>
      <c r="H700" s="85">
        <v>1.1000000000000001E-3</v>
      </c>
      <c r="I700" s="97">
        <v>5.4000000000000003E-3</v>
      </c>
      <c r="J700" s="97">
        <f t="shared" si="10"/>
        <v>-4.3E-3</v>
      </c>
    </row>
    <row r="701" spans="2:10">
      <c r="B701" s="84">
        <v>44749</v>
      </c>
      <c r="C701" s="82">
        <v>223.99</v>
      </c>
      <c r="D701" s="83">
        <v>230.28</v>
      </c>
      <c r="E701" s="83">
        <v>231.8</v>
      </c>
      <c r="F701" s="83">
        <v>221.2</v>
      </c>
      <c r="G701" s="83">
        <v>70597</v>
      </c>
      <c r="H701" s="85">
        <v>-1.8800000000000001E-2</v>
      </c>
      <c r="I701" s="97">
        <v>8.8999999999999999E-3</v>
      </c>
      <c r="J701" s="97">
        <f t="shared" si="10"/>
        <v>-2.7700000000000002E-2</v>
      </c>
    </row>
    <row r="702" spans="2:10">
      <c r="B702" s="84">
        <v>44748</v>
      </c>
      <c r="C702" s="82">
        <v>228.29</v>
      </c>
      <c r="D702" s="83">
        <v>230.98</v>
      </c>
      <c r="E702" s="83">
        <v>248.16</v>
      </c>
      <c r="F702" s="83">
        <v>225.43</v>
      </c>
      <c r="G702" s="83">
        <v>157522</v>
      </c>
      <c r="H702" s="85">
        <v>2.7000000000000001E-3</v>
      </c>
      <c r="I702" s="97">
        <v>1.1299999999999999E-2</v>
      </c>
      <c r="J702" s="97">
        <f t="shared" si="10"/>
        <v>-8.6E-3</v>
      </c>
    </row>
    <row r="703" spans="2:10">
      <c r="B703" s="84">
        <v>44747</v>
      </c>
      <c r="C703" s="82">
        <v>227.67</v>
      </c>
      <c r="D703" s="83">
        <v>221</v>
      </c>
      <c r="E703" s="83">
        <v>229.76</v>
      </c>
      <c r="F703" s="83">
        <v>221</v>
      </c>
      <c r="G703" s="83">
        <v>188476</v>
      </c>
      <c r="H703" s="85">
        <v>2.63E-2</v>
      </c>
      <c r="I703" s="97">
        <v>-1.5E-3</v>
      </c>
      <c r="J703" s="97">
        <f t="shared" si="10"/>
        <v>2.7800000000000002E-2</v>
      </c>
    </row>
    <row r="704" spans="2:10">
      <c r="B704" s="84">
        <v>44746</v>
      </c>
      <c r="C704" s="82">
        <v>221.84</v>
      </c>
      <c r="D704" s="83">
        <v>215.05</v>
      </c>
      <c r="E704" s="83">
        <v>228.8</v>
      </c>
      <c r="F704" s="83">
        <v>215.05</v>
      </c>
      <c r="G704" s="83">
        <v>221772</v>
      </c>
      <c r="H704" s="85">
        <v>2.24E-2</v>
      </c>
      <c r="I704" s="97">
        <v>5.3E-3</v>
      </c>
      <c r="J704" s="97">
        <f t="shared" si="10"/>
        <v>1.7100000000000001E-2</v>
      </c>
    </row>
    <row r="705" spans="2:10">
      <c r="B705" s="84">
        <v>44743</v>
      </c>
      <c r="C705" s="82">
        <v>216.99</v>
      </c>
      <c r="D705" s="83">
        <v>216.8</v>
      </c>
      <c r="E705" s="83">
        <v>220.8</v>
      </c>
      <c r="F705" s="83">
        <v>214.09</v>
      </c>
      <c r="G705" s="83">
        <v>145969</v>
      </c>
      <c r="H705" s="85">
        <v>0</v>
      </c>
      <c r="I705" s="97">
        <v>-1.8E-3</v>
      </c>
      <c r="J705" s="97">
        <f t="shared" si="10"/>
        <v>1.8E-3</v>
      </c>
    </row>
    <row r="706" spans="2:10">
      <c r="B706" s="84">
        <v>44742</v>
      </c>
      <c r="C706" s="82">
        <v>217</v>
      </c>
      <c r="D706" s="83">
        <v>212.95</v>
      </c>
      <c r="E706" s="83">
        <v>218</v>
      </c>
      <c r="F706" s="83">
        <v>211.84</v>
      </c>
      <c r="G706" s="83">
        <v>141940</v>
      </c>
      <c r="H706" s="85">
        <v>1.9E-2</v>
      </c>
      <c r="I706" s="97">
        <v>-1.1999999999999999E-3</v>
      </c>
      <c r="J706" s="97">
        <f t="shared" si="10"/>
        <v>2.0199999999999999E-2</v>
      </c>
    </row>
    <row r="707" spans="2:10">
      <c r="B707" s="84">
        <v>44741</v>
      </c>
      <c r="C707" s="82">
        <v>212.95</v>
      </c>
      <c r="D707" s="83">
        <v>208.3</v>
      </c>
      <c r="E707" s="83">
        <v>214</v>
      </c>
      <c r="F707" s="83">
        <v>206.84</v>
      </c>
      <c r="G707" s="83">
        <v>105827</v>
      </c>
      <c r="H707" s="85">
        <v>2.23E-2</v>
      </c>
      <c r="I707" s="97">
        <v>-3.2000000000000002E-3</v>
      </c>
      <c r="J707" s="97">
        <f t="shared" si="10"/>
        <v>2.5500000000000002E-2</v>
      </c>
    </row>
    <row r="708" spans="2:10">
      <c r="B708" s="84">
        <v>44740</v>
      </c>
      <c r="C708" s="82">
        <v>208.3</v>
      </c>
      <c r="D708" s="83">
        <v>203.81</v>
      </c>
      <c r="E708" s="83">
        <v>209.76</v>
      </c>
      <c r="F708" s="83">
        <v>202.25</v>
      </c>
      <c r="G708" s="83">
        <v>39562</v>
      </c>
      <c r="H708" s="85">
        <v>2.1999999999999999E-2</v>
      </c>
      <c r="I708" s="97">
        <v>1.1000000000000001E-3</v>
      </c>
      <c r="J708" s="97">
        <f t="shared" si="10"/>
        <v>2.0899999999999998E-2</v>
      </c>
    </row>
    <row r="709" spans="2:10">
      <c r="B709" s="84">
        <v>44739</v>
      </c>
      <c r="C709" s="82">
        <v>203.81</v>
      </c>
      <c r="D709" s="83">
        <v>213</v>
      </c>
      <c r="E709" s="83">
        <v>214.95</v>
      </c>
      <c r="F709" s="83">
        <v>202.4</v>
      </c>
      <c r="G709" s="83">
        <v>78979</v>
      </c>
      <c r="H709" s="85">
        <v>-3.15E-2</v>
      </c>
      <c r="I709" s="97">
        <v>8.5000000000000006E-3</v>
      </c>
      <c r="J709" s="97">
        <f t="shared" si="10"/>
        <v>-0.04</v>
      </c>
    </row>
    <row r="710" spans="2:10">
      <c r="B710" s="84">
        <v>44736</v>
      </c>
      <c r="C710" s="82">
        <v>210.43</v>
      </c>
      <c r="D710" s="83">
        <v>208.2</v>
      </c>
      <c r="E710" s="83">
        <v>213.6</v>
      </c>
      <c r="F710" s="83">
        <v>205.01</v>
      </c>
      <c r="G710" s="83">
        <v>103221</v>
      </c>
      <c r="H710" s="85">
        <v>2.06E-2</v>
      </c>
      <c r="I710" s="97">
        <v>9.1999999999999998E-3</v>
      </c>
      <c r="J710" s="97">
        <f t="shared" si="10"/>
        <v>1.14E-2</v>
      </c>
    </row>
    <row r="711" spans="2:10">
      <c r="B711" s="84">
        <v>44735</v>
      </c>
      <c r="C711" s="82">
        <v>206.18</v>
      </c>
      <c r="D711" s="83">
        <v>196.22</v>
      </c>
      <c r="E711" s="83">
        <v>209.59</v>
      </c>
      <c r="F711" s="83">
        <v>196.22</v>
      </c>
      <c r="G711" s="83">
        <v>261947</v>
      </c>
      <c r="H711" s="85">
        <v>5.5100000000000003E-2</v>
      </c>
      <c r="I711" s="97">
        <v>9.2999999999999992E-3</v>
      </c>
      <c r="J711" s="97">
        <f t="shared" si="10"/>
        <v>4.5800000000000007E-2</v>
      </c>
    </row>
    <row r="712" spans="2:10">
      <c r="B712" s="84">
        <v>44734</v>
      </c>
      <c r="C712" s="82">
        <v>195.41</v>
      </c>
      <c r="D712" s="83">
        <v>189.98</v>
      </c>
      <c r="E712" s="83">
        <v>198</v>
      </c>
      <c r="F712" s="83">
        <v>188.83</v>
      </c>
      <c r="G712" s="83">
        <v>87412</v>
      </c>
      <c r="H712" s="85">
        <v>2.5899999999999999E-2</v>
      </c>
      <c r="I712" s="97">
        <v>-1.44E-2</v>
      </c>
      <c r="J712" s="97">
        <f t="shared" si="10"/>
        <v>4.0300000000000002E-2</v>
      </c>
    </row>
    <row r="713" spans="2:10">
      <c r="B713" s="84">
        <v>44733</v>
      </c>
      <c r="C713" s="82">
        <v>190.47</v>
      </c>
      <c r="D713" s="83">
        <v>197.4</v>
      </c>
      <c r="E713" s="83">
        <v>197.4</v>
      </c>
      <c r="F713" s="83">
        <v>188.65</v>
      </c>
      <c r="G713" s="83">
        <v>39388</v>
      </c>
      <c r="H713" s="85">
        <v>-6.1999999999999998E-3</v>
      </c>
      <c r="I713" s="97">
        <v>1.8800000000000001E-2</v>
      </c>
      <c r="J713" s="97">
        <f t="shared" si="10"/>
        <v>-2.5000000000000001E-2</v>
      </c>
    </row>
    <row r="714" spans="2:10">
      <c r="B714" s="84">
        <v>44732</v>
      </c>
      <c r="C714" s="82">
        <v>191.65</v>
      </c>
      <c r="D714" s="83">
        <v>189.02</v>
      </c>
      <c r="E714" s="83">
        <v>193.36</v>
      </c>
      <c r="F714" s="83">
        <v>186</v>
      </c>
      <c r="G714" s="83">
        <v>91965</v>
      </c>
      <c r="H714" s="85">
        <v>7.3000000000000001E-3</v>
      </c>
      <c r="I714" s="97">
        <v>3.7000000000000002E-3</v>
      </c>
      <c r="J714" s="97">
        <f t="shared" ref="J714:J777" si="11">H714-I714</f>
        <v>3.5999999999999999E-3</v>
      </c>
    </row>
    <row r="715" spans="2:10">
      <c r="B715" s="84">
        <v>44729</v>
      </c>
      <c r="C715" s="82">
        <v>190.27</v>
      </c>
      <c r="D715" s="83">
        <v>190.92</v>
      </c>
      <c r="E715" s="83">
        <v>193.51</v>
      </c>
      <c r="F715" s="83">
        <v>188.2</v>
      </c>
      <c r="G715" s="83">
        <v>93419</v>
      </c>
      <c r="H715" s="85">
        <v>-1.84E-2</v>
      </c>
      <c r="I715" s="97">
        <v>-4.4000000000000003E-3</v>
      </c>
      <c r="J715" s="97">
        <f t="shared" si="11"/>
        <v>-1.3999999999999999E-2</v>
      </c>
    </row>
    <row r="716" spans="2:10">
      <c r="B716" s="84">
        <v>44728</v>
      </c>
      <c r="C716" s="82">
        <v>193.83</v>
      </c>
      <c r="D716" s="83">
        <v>195.02</v>
      </c>
      <c r="E716" s="83">
        <v>197.26</v>
      </c>
      <c r="F716" s="83">
        <v>192.2</v>
      </c>
      <c r="G716" s="83">
        <v>139325</v>
      </c>
      <c r="H716" s="85">
        <v>-2.8E-3</v>
      </c>
      <c r="I716" s="97">
        <v>-2.1100000000000001E-2</v>
      </c>
      <c r="J716" s="97">
        <f t="shared" si="11"/>
        <v>1.83E-2</v>
      </c>
    </row>
    <row r="717" spans="2:10">
      <c r="B717" s="84">
        <v>44727</v>
      </c>
      <c r="C717" s="82">
        <v>194.37</v>
      </c>
      <c r="D717" s="83">
        <v>195</v>
      </c>
      <c r="E717" s="83">
        <v>195.4</v>
      </c>
      <c r="F717" s="83">
        <v>189.84</v>
      </c>
      <c r="G717" s="83">
        <v>86581</v>
      </c>
      <c r="H717" s="85">
        <v>6.6E-3</v>
      </c>
      <c r="I717" s="97">
        <v>-2.5000000000000001E-3</v>
      </c>
      <c r="J717" s="97">
        <f t="shared" si="11"/>
        <v>9.1000000000000004E-3</v>
      </c>
    </row>
    <row r="718" spans="2:10">
      <c r="B718" s="84">
        <v>44726</v>
      </c>
      <c r="C718" s="82">
        <v>193.09</v>
      </c>
      <c r="D718" s="83">
        <v>193</v>
      </c>
      <c r="E718" s="83">
        <v>195.83</v>
      </c>
      <c r="F718" s="83">
        <v>189</v>
      </c>
      <c r="G718" s="83">
        <v>90011</v>
      </c>
      <c r="H718" s="85">
        <v>-8.8000000000000005E-3</v>
      </c>
      <c r="I718" s="97">
        <v>-2.7000000000000001E-3</v>
      </c>
      <c r="J718" s="97">
        <f t="shared" si="11"/>
        <v>-6.1000000000000004E-3</v>
      </c>
    </row>
    <row r="719" spans="2:10">
      <c r="B719" s="84">
        <v>44725</v>
      </c>
      <c r="C719" s="82">
        <v>194.8</v>
      </c>
      <c r="D719" s="83">
        <v>198.8</v>
      </c>
      <c r="E719" s="83">
        <v>198.8</v>
      </c>
      <c r="F719" s="83">
        <v>191.32</v>
      </c>
      <c r="G719" s="83">
        <v>131333</v>
      </c>
      <c r="H719" s="85">
        <v>-3.27E-2</v>
      </c>
      <c r="I719" s="97">
        <v>-2.64E-2</v>
      </c>
      <c r="J719" s="97">
        <f t="shared" si="11"/>
        <v>-6.3E-3</v>
      </c>
    </row>
    <row r="720" spans="2:10">
      <c r="B720" s="84">
        <v>44722</v>
      </c>
      <c r="C720" s="82">
        <v>201.39</v>
      </c>
      <c r="D720" s="83">
        <v>193.8</v>
      </c>
      <c r="E720" s="83">
        <v>203.78</v>
      </c>
      <c r="F720" s="83">
        <v>192.27</v>
      </c>
      <c r="G720" s="83">
        <v>357203</v>
      </c>
      <c r="H720" s="85">
        <v>2.8199999999999999E-2</v>
      </c>
      <c r="I720" s="97">
        <v>-1.6799999999999999E-2</v>
      </c>
      <c r="J720" s="97">
        <f t="shared" si="11"/>
        <v>4.4999999999999998E-2</v>
      </c>
    </row>
    <row r="721" spans="2:10">
      <c r="B721" s="84">
        <v>44721</v>
      </c>
      <c r="C721" s="82">
        <v>195.87</v>
      </c>
      <c r="D721" s="83">
        <v>186.6</v>
      </c>
      <c r="E721" s="83">
        <v>198</v>
      </c>
      <c r="F721" s="83">
        <v>184.83</v>
      </c>
      <c r="G721" s="83">
        <v>429776</v>
      </c>
      <c r="H721" s="85">
        <v>4.8800000000000003E-2</v>
      </c>
      <c r="I721" s="97">
        <v>7.4000000000000003E-3</v>
      </c>
      <c r="J721" s="97">
        <f t="shared" si="11"/>
        <v>4.1400000000000006E-2</v>
      </c>
    </row>
    <row r="722" spans="2:10">
      <c r="B722" s="84">
        <v>44720</v>
      </c>
      <c r="C722" s="82">
        <v>186.75</v>
      </c>
      <c r="D722" s="83">
        <v>194.75</v>
      </c>
      <c r="E722" s="83">
        <v>194.75</v>
      </c>
      <c r="F722" s="83">
        <v>181.8</v>
      </c>
      <c r="G722" s="83">
        <v>162789</v>
      </c>
      <c r="H722" s="85">
        <v>-2.6700000000000002E-2</v>
      </c>
      <c r="I722" s="97">
        <v>-3.7000000000000002E-3</v>
      </c>
      <c r="J722" s="97">
        <f t="shared" si="11"/>
        <v>-2.3E-2</v>
      </c>
    </row>
    <row r="723" spans="2:10">
      <c r="B723" s="84">
        <v>44719</v>
      </c>
      <c r="C723" s="82">
        <v>191.87</v>
      </c>
      <c r="D723" s="83">
        <v>196.99</v>
      </c>
      <c r="E723" s="83">
        <v>197.8</v>
      </c>
      <c r="F723" s="83">
        <v>189.8</v>
      </c>
      <c r="G723" s="83">
        <v>64794</v>
      </c>
      <c r="H723" s="85">
        <v>-1.77E-2</v>
      </c>
      <c r="I723" s="97">
        <v>-9.1999999999999998E-3</v>
      </c>
      <c r="J723" s="97">
        <f t="shared" si="11"/>
        <v>-8.5000000000000006E-3</v>
      </c>
    </row>
    <row r="724" spans="2:10">
      <c r="B724" s="84">
        <v>44718</v>
      </c>
      <c r="C724" s="82">
        <v>195.32</v>
      </c>
      <c r="D724" s="83">
        <v>199.8</v>
      </c>
      <c r="E724" s="83">
        <v>199.8</v>
      </c>
      <c r="F724" s="83">
        <v>194.1</v>
      </c>
      <c r="G724" s="83">
        <v>61931</v>
      </c>
      <c r="H724" s="85">
        <v>-2.1399999999999999E-2</v>
      </c>
      <c r="I724" s="97">
        <v>-8.9999999999999998E-4</v>
      </c>
      <c r="J724" s="97">
        <f t="shared" si="11"/>
        <v>-2.0499999999999997E-2</v>
      </c>
    </row>
    <row r="725" spans="2:10">
      <c r="B725" s="84">
        <v>44715</v>
      </c>
      <c r="C725" s="82">
        <v>199.6</v>
      </c>
      <c r="D725" s="83">
        <v>200.4</v>
      </c>
      <c r="E725" s="83">
        <v>202.34</v>
      </c>
      <c r="F725" s="83">
        <v>198.42</v>
      </c>
      <c r="G725" s="83">
        <v>75934</v>
      </c>
      <c r="H725" s="85">
        <v>-2.8E-3</v>
      </c>
      <c r="I725" s="97">
        <v>-2.5999999999999999E-3</v>
      </c>
      <c r="J725" s="97">
        <f t="shared" si="11"/>
        <v>-2.0000000000000009E-4</v>
      </c>
    </row>
    <row r="726" spans="2:10">
      <c r="B726" s="84">
        <v>44714</v>
      </c>
      <c r="C726" s="82">
        <v>200.17</v>
      </c>
      <c r="D726" s="83">
        <v>202</v>
      </c>
      <c r="E726" s="83">
        <v>204</v>
      </c>
      <c r="F726" s="83">
        <v>198.3</v>
      </c>
      <c r="G726" s="83">
        <v>83318</v>
      </c>
      <c r="H726" s="85">
        <v>-1.14E-2</v>
      </c>
      <c r="I726" s="97">
        <v>6.4000000000000003E-3</v>
      </c>
      <c r="J726" s="97">
        <f t="shared" si="11"/>
        <v>-1.78E-2</v>
      </c>
    </row>
    <row r="727" spans="2:10">
      <c r="B727" s="84">
        <v>44713</v>
      </c>
      <c r="C727" s="82">
        <v>202.47</v>
      </c>
      <c r="D727" s="83">
        <v>212.8</v>
      </c>
      <c r="E727" s="83">
        <v>213.06</v>
      </c>
      <c r="F727" s="83">
        <v>201.2</v>
      </c>
      <c r="G727" s="83">
        <v>89421</v>
      </c>
      <c r="H727" s="85">
        <v>-4.7399999999999998E-2</v>
      </c>
      <c r="I727" s="97">
        <v>-3.7000000000000002E-3</v>
      </c>
      <c r="J727" s="97">
        <f t="shared" si="11"/>
        <v>-4.3699999999999996E-2</v>
      </c>
    </row>
    <row r="728" spans="2:10">
      <c r="B728" s="84">
        <v>44712</v>
      </c>
      <c r="C728" s="82">
        <v>212.55</v>
      </c>
      <c r="D728" s="83">
        <v>216.01</v>
      </c>
      <c r="E728" s="83">
        <v>227.09</v>
      </c>
      <c r="F728" s="83">
        <v>210.05</v>
      </c>
      <c r="G728" s="83">
        <v>402358</v>
      </c>
      <c r="H728" s="85">
        <v>-3.8899999999999997E-2</v>
      </c>
      <c r="I728" s="97">
        <v>-4.5999999999999999E-3</v>
      </c>
      <c r="J728" s="97">
        <f t="shared" si="11"/>
        <v>-3.4299999999999997E-2</v>
      </c>
    </row>
    <row r="729" spans="2:10">
      <c r="B729" s="84">
        <v>44711</v>
      </c>
      <c r="C729" s="82">
        <v>221.16</v>
      </c>
      <c r="D729" s="83">
        <v>212</v>
      </c>
      <c r="E729" s="83">
        <v>225.98</v>
      </c>
      <c r="F729" s="83">
        <v>206</v>
      </c>
      <c r="G729" s="83">
        <v>232331</v>
      </c>
      <c r="H729" s="85">
        <v>5.2299999999999999E-2</v>
      </c>
      <c r="I729" s="97">
        <v>1.89E-2</v>
      </c>
      <c r="J729" s="97">
        <f t="shared" si="11"/>
        <v>3.3399999999999999E-2</v>
      </c>
    </row>
    <row r="730" spans="2:10">
      <c r="B730" s="84">
        <v>44708</v>
      </c>
      <c r="C730" s="82">
        <v>210.17</v>
      </c>
      <c r="D730" s="83">
        <v>210.92</v>
      </c>
      <c r="E730" s="83">
        <v>213</v>
      </c>
      <c r="F730" s="83">
        <v>200.4</v>
      </c>
      <c r="G730" s="83">
        <v>138631</v>
      </c>
      <c r="H730" s="85">
        <v>2.64E-2</v>
      </c>
      <c r="I730" s="97">
        <v>1.1299999999999999E-2</v>
      </c>
      <c r="J730" s="97">
        <f t="shared" si="11"/>
        <v>1.5100000000000001E-2</v>
      </c>
    </row>
    <row r="731" spans="2:10">
      <c r="B731" s="84">
        <v>44707</v>
      </c>
      <c r="C731" s="82">
        <v>204.77</v>
      </c>
      <c r="D731" s="83">
        <v>196.9</v>
      </c>
      <c r="E731" s="83">
        <v>209.8</v>
      </c>
      <c r="F731" s="83">
        <v>189.23</v>
      </c>
      <c r="G731" s="83">
        <v>188554</v>
      </c>
      <c r="H731" s="85">
        <v>4.1599999999999998E-2</v>
      </c>
      <c r="I731" s="97">
        <v>8.9999999999999993E-3</v>
      </c>
      <c r="J731" s="97">
        <f t="shared" si="11"/>
        <v>3.2599999999999997E-2</v>
      </c>
    </row>
    <row r="732" spans="2:10">
      <c r="B732" s="84">
        <v>44706</v>
      </c>
      <c r="C732" s="82">
        <v>196.59</v>
      </c>
      <c r="D732" s="83">
        <v>204.8</v>
      </c>
      <c r="E732" s="83">
        <v>204.8</v>
      </c>
      <c r="F732" s="83">
        <v>195.01</v>
      </c>
      <c r="G732" s="83">
        <v>139333</v>
      </c>
      <c r="H732" s="85">
        <v>-1.4800000000000001E-2</v>
      </c>
      <c r="I732" s="97">
        <v>-6.1999999999999998E-3</v>
      </c>
      <c r="J732" s="97">
        <f t="shared" si="11"/>
        <v>-8.6E-3</v>
      </c>
    </row>
    <row r="733" spans="2:10">
      <c r="B733" s="84">
        <v>44705</v>
      </c>
      <c r="C733" s="82">
        <v>199.55</v>
      </c>
      <c r="D733" s="83">
        <v>208.48</v>
      </c>
      <c r="E733" s="83">
        <v>208.48</v>
      </c>
      <c r="F733" s="83">
        <v>195</v>
      </c>
      <c r="G733" s="83">
        <v>124101</v>
      </c>
      <c r="H733" s="85">
        <v>-3.2599999999999997E-2</v>
      </c>
      <c r="I733" s="97">
        <v>-5.4999999999999997E-3</v>
      </c>
      <c r="J733" s="97">
        <f t="shared" si="11"/>
        <v>-2.7099999999999999E-2</v>
      </c>
    </row>
    <row r="734" spans="2:10">
      <c r="B734" s="84">
        <v>44704</v>
      </c>
      <c r="C734" s="82">
        <v>206.27</v>
      </c>
      <c r="D734" s="83">
        <v>213.96</v>
      </c>
      <c r="E734" s="83">
        <v>215.14</v>
      </c>
      <c r="F734" s="83">
        <v>204.08</v>
      </c>
      <c r="G734" s="83">
        <v>50763</v>
      </c>
      <c r="H734" s="85">
        <v>-0.03</v>
      </c>
      <c r="I734" s="97">
        <v>-3.2000000000000002E-3</v>
      </c>
      <c r="J734" s="97">
        <f t="shared" si="11"/>
        <v>-2.6799999999999997E-2</v>
      </c>
    </row>
    <row r="735" spans="2:10">
      <c r="B735" s="84">
        <v>44701</v>
      </c>
      <c r="C735" s="82">
        <v>212.66</v>
      </c>
      <c r="D735" s="83">
        <v>210.09</v>
      </c>
      <c r="E735" s="83">
        <v>214.46</v>
      </c>
      <c r="F735" s="83">
        <v>207.04</v>
      </c>
      <c r="G735" s="83">
        <v>70822</v>
      </c>
      <c r="H735" s="85">
        <v>2.7400000000000001E-2</v>
      </c>
      <c r="I735" s="97">
        <v>2.8899999999999999E-2</v>
      </c>
      <c r="J735" s="97">
        <f t="shared" si="11"/>
        <v>-1.4999999999999979E-3</v>
      </c>
    </row>
    <row r="736" spans="2:10">
      <c r="B736" s="84">
        <v>44700</v>
      </c>
      <c r="C736" s="82">
        <v>206.99</v>
      </c>
      <c r="D736" s="83">
        <v>207.57</v>
      </c>
      <c r="E736" s="83">
        <v>210</v>
      </c>
      <c r="F736" s="83">
        <v>202.6</v>
      </c>
      <c r="G736" s="83">
        <v>88679</v>
      </c>
      <c r="H736" s="85">
        <v>-3.2300000000000002E-2</v>
      </c>
      <c r="I736" s="97">
        <v>-2.6499999999999999E-2</v>
      </c>
      <c r="J736" s="97">
        <f t="shared" si="11"/>
        <v>-5.8000000000000031E-3</v>
      </c>
    </row>
    <row r="737" spans="2:11">
      <c r="B737" s="84">
        <v>44699</v>
      </c>
      <c r="C737" s="82">
        <v>213.9</v>
      </c>
      <c r="D737" s="83">
        <v>221.6</v>
      </c>
      <c r="E737" s="83">
        <v>221.6</v>
      </c>
      <c r="F737" s="83">
        <v>211.8</v>
      </c>
      <c r="G737" s="83">
        <v>97880</v>
      </c>
      <c r="H737" s="85">
        <v>-3.6400000000000002E-2</v>
      </c>
      <c r="I737" s="97">
        <v>-1.1999999999999999E-3</v>
      </c>
      <c r="J737" s="97">
        <f t="shared" si="11"/>
        <v>-3.5200000000000002E-2</v>
      </c>
    </row>
    <row r="738" spans="2:11">
      <c r="B738" s="84">
        <v>44698</v>
      </c>
      <c r="C738" s="82">
        <v>221.98</v>
      </c>
      <c r="D738" s="83">
        <v>221</v>
      </c>
      <c r="E738" s="83">
        <v>227.8</v>
      </c>
      <c r="F738" s="83">
        <v>212.2</v>
      </c>
      <c r="G738" s="83">
        <v>366738</v>
      </c>
      <c r="H738" s="85">
        <v>2.07E-2</v>
      </c>
      <c r="I738" s="97">
        <v>2.63E-2</v>
      </c>
      <c r="J738" s="97">
        <f t="shared" si="11"/>
        <v>-5.6000000000000008E-3</v>
      </c>
    </row>
    <row r="739" spans="2:11">
      <c r="B739" s="84">
        <v>44697</v>
      </c>
      <c r="C739" s="82">
        <v>217.47</v>
      </c>
      <c r="D739" s="83">
        <v>203.06</v>
      </c>
      <c r="E739" s="83">
        <v>219.38</v>
      </c>
      <c r="F739" s="83">
        <v>202.8</v>
      </c>
      <c r="G739" s="83">
        <v>99203</v>
      </c>
      <c r="H739" s="85">
        <v>7.2999999999999995E-2</v>
      </c>
      <c r="I739" s="97">
        <v>3.8E-3</v>
      </c>
      <c r="J739" s="97">
        <f t="shared" si="11"/>
        <v>6.9199999999999998E-2</v>
      </c>
      <c r="K739" s="87"/>
    </row>
    <row r="740" spans="2:11">
      <c r="B740" s="84">
        <v>44694</v>
      </c>
      <c r="C740" s="82">
        <v>202.68</v>
      </c>
      <c r="D740" s="83">
        <v>219.97</v>
      </c>
      <c r="E740" s="83">
        <v>219.97</v>
      </c>
      <c r="F740" s="83">
        <v>199.6</v>
      </c>
      <c r="G740" s="83">
        <v>262862</v>
      </c>
      <c r="H740" s="85">
        <v>-2.5700000000000001E-2</v>
      </c>
      <c r="I740" s="97">
        <v>-1.6000000000000001E-3</v>
      </c>
      <c r="J740" s="97">
        <f t="shared" si="11"/>
        <v>-2.41E-2</v>
      </c>
    </row>
    <row r="741" spans="2:11">
      <c r="B741" s="84">
        <v>44693</v>
      </c>
      <c r="C741" s="82">
        <v>208.02</v>
      </c>
      <c r="D741" s="83">
        <v>216.29</v>
      </c>
      <c r="E741" s="83">
        <v>218.09</v>
      </c>
      <c r="F741" s="83">
        <v>204.27</v>
      </c>
      <c r="G741" s="83">
        <v>137348</v>
      </c>
      <c r="H741" s="85">
        <v>-5.0599999999999999E-2</v>
      </c>
      <c r="I741" s="97">
        <v>-2.2200000000000001E-2</v>
      </c>
      <c r="J741" s="97">
        <f t="shared" si="11"/>
        <v>-2.8399999999999998E-2</v>
      </c>
    </row>
    <row r="742" spans="2:11">
      <c r="B742" s="84">
        <v>44692</v>
      </c>
      <c r="C742" s="82">
        <v>219.1</v>
      </c>
      <c r="D742" s="83">
        <v>221</v>
      </c>
      <c r="E742" s="83">
        <v>225.44</v>
      </c>
      <c r="F742" s="83">
        <v>213.58</v>
      </c>
      <c r="G742" s="83">
        <v>145508</v>
      </c>
      <c r="H742" s="85">
        <v>6.7000000000000002E-3</v>
      </c>
      <c r="I742" s="97">
        <v>-4.4999999999999997E-3</v>
      </c>
      <c r="J742" s="97">
        <f t="shared" si="11"/>
        <v>1.12E-2</v>
      </c>
    </row>
    <row r="743" spans="2:11">
      <c r="B743" s="84">
        <v>44691</v>
      </c>
      <c r="C743" s="82">
        <v>217.65</v>
      </c>
      <c r="D743" s="83">
        <v>226.8</v>
      </c>
      <c r="E743" s="83">
        <v>230.11</v>
      </c>
      <c r="F743" s="83">
        <v>214.42</v>
      </c>
      <c r="G743" s="83">
        <v>354983</v>
      </c>
      <c r="H743" s="85">
        <v>-4.7699999999999999E-2</v>
      </c>
      <c r="I743" s="97">
        <v>-3.8E-3</v>
      </c>
      <c r="J743" s="97">
        <f t="shared" si="11"/>
        <v>-4.3900000000000002E-2</v>
      </c>
    </row>
    <row r="744" spans="2:11">
      <c r="B744" s="84">
        <v>44690</v>
      </c>
      <c r="C744" s="82">
        <v>228.55</v>
      </c>
      <c r="D744" s="83">
        <v>239.8</v>
      </c>
      <c r="E744" s="83">
        <v>239.8</v>
      </c>
      <c r="F744" s="83">
        <v>221.1</v>
      </c>
      <c r="G744" s="83">
        <v>318500</v>
      </c>
      <c r="H744" s="85">
        <v>-4.6899999999999997E-2</v>
      </c>
      <c r="I744" s="97">
        <v>-6.7000000000000002E-3</v>
      </c>
      <c r="J744" s="97">
        <f t="shared" si="11"/>
        <v>-4.02E-2</v>
      </c>
    </row>
    <row r="745" spans="2:11">
      <c r="B745" s="84">
        <v>44687</v>
      </c>
      <c r="C745" s="82">
        <v>239.8</v>
      </c>
      <c r="D745" s="83">
        <v>248.6</v>
      </c>
      <c r="E745" s="83">
        <v>248.6</v>
      </c>
      <c r="F745" s="83">
        <v>236.22</v>
      </c>
      <c r="G745" s="83">
        <v>238124</v>
      </c>
      <c r="H745" s="85">
        <v>-4.5400000000000003E-2</v>
      </c>
      <c r="I745" s="97">
        <v>-1.6299999999999999E-2</v>
      </c>
      <c r="J745" s="97">
        <f t="shared" si="11"/>
        <v>-2.9100000000000004E-2</v>
      </c>
    </row>
    <row r="746" spans="2:11">
      <c r="B746" s="84">
        <v>44686</v>
      </c>
      <c r="C746" s="82">
        <v>251.2</v>
      </c>
      <c r="D746" s="83">
        <v>254</v>
      </c>
      <c r="E746" s="83">
        <v>254.71</v>
      </c>
      <c r="F746" s="83">
        <v>249.01</v>
      </c>
      <c r="G746" s="83">
        <v>52309</v>
      </c>
      <c r="H746" s="85">
        <v>-1.7600000000000001E-2</v>
      </c>
      <c r="I746" s="97">
        <v>2.9999999999999997E-4</v>
      </c>
      <c r="J746" s="97">
        <f t="shared" si="11"/>
        <v>-1.7900000000000003E-2</v>
      </c>
    </row>
    <row r="747" spans="2:11">
      <c r="B747" s="84">
        <v>44685</v>
      </c>
      <c r="C747" s="82">
        <v>255.69</v>
      </c>
      <c r="D747" s="83">
        <v>262</v>
      </c>
      <c r="E747" s="83">
        <v>266.45999999999998</v>
      </c>
      <c r="F747" s="83">
        <v>250</v>
      </c>
      <c r="G747" s="83">
        <v>101221</v>
      </c>
      <c r="H747" s="85">
        <v>-2.1299999999999999E-2</v>
      </c>
      <c r="I747" s="97">
        <v>-2.29E-2</v>
      </c>
      <c r="J747" s="97">
        <f t="shared" si="11"/>
        <v>1.6000000000000007E-3</v>
      </c>
    </row>
    <row r="748" spans="2:11">
      <c r="B748" s="84">
        <v>44683</v>
      </c>
      <c r="C748" s="82">
        <v>261.25</v>
      </c>
      <c r="D748" s="83">
        <v>264.2</v>
      </c>
      <c r="E748" s="83">
        <v>264.2</v>
      </c>
      <c r="F748" s="83">
        <v>258.22000000000003</v>
      </c>
      <c r="G748" s="83">
        <v>37958</v>
      </c>
      <c r="H748" s="85">
        <v>-1.6E-2</v>
      </c>
      <c r="I748" s="97">
        <v>-2E-3</v>
      </c>
      <c r="J748" s="97">
        <f t="shared" si="11"/>
        <v>-1.4E-2</v>
      </c>
    </row>
    <row r="749" spans="2:11">
      <c r="B749" s="84">
        <v>44680</v>
      </c>
      <c r="C749" s="82">
        <v>265.49</v>
      </c>
      <c r="D749" s="83">
        <v>259.99</v>
      </c>
      <c r="E749" s="83">
        <v>267.31</v>
      </c>
      <c r="F749" s="83">
        <v>251.21</v>
      </c>
      <c r="G749" s="83">
        <v>176210</v>
      </c>
      <c r="H749" s="85">
        <v>3.3399999999999999E-2</v>
      </c>
      <c r="I749" s="97">
        <v>-8.3000000000000001E-3</v>
      </c>
      <c r="J749" s="97">
        <f t="shared" si="11"/>
        <v>4.1700000000000001E-2</v>
      </c>
    </row>
    <row r="750" spans="2:11">
      <c r="B750" s="84">
        <v>44679</v>
      </c>
      <c r="C750" s="82">
        <v>256.91000000000003</v>
      </c>
      <c r="D750" s="83">
        <v>254</v>
      </c>
      <c r="E750" s="83">
        <v>259.8</v>
      </c>
      <c r="F750" s="83">
        <v>248.2</v>
      </c>
      <c r="G750" s="83">
        <v>46454</v>
      </c>
      <c r="H750" s="85">
        <v>3.5499999999999997E-2</v>
      </c>
      <c r="I750" s="97">
        <v>1.21E-2</v>
      </c>
      <c r="J750" s="97">
        <f t="shared" si="11"/>
        <v>2.3399999999999997E-2</v>
      </c>
    </row>
    <row r="751" spans="2:11">
      <c r="B751" s="84">
        <v>44678</v>
      </c>
      <c r="C751" s="82">
        <v>248.11</v>
      </c>
      <c r="D751" s="83">
        <v>251.05</v>
      </c>
      <c r="E751" s="83">
        <v>252</v>
      </c>
      <c r="F751" s="83">
        <v>245.4</v>
      </c>
      <c r="G751" s="83">
        <v>34554</v>
      </c>
      <c r="H751" s="85">
        <v>-4.3E-3</v>
      </c>
      <c r="I751" s="97">
        <v>-9.4000000000000004E-3</v>
      </c>
      <c r="J751" s="97">
        <f t="shared" si="11"/>
        <v>5.1000000000000004E-3</v>
      </c>
    </row>
    <row r="752" spans="2:11">
      <c r="B752" s="84">
        <v>44677</v>
      </c>
      <c r="C752" s="82">
        <v>249.19</v>
      </c>
      <c r="D752" s="83">
        <v>254</v>
      </c>
      <c r="E752" s="83">
        <v>259.99</v>
      </c>
      <c r="F752" s="83">
        <v>245</v>
      </c>
      <c r="G752" s="83">
        <v>27459</v>
      </c>
      <c r="H752" s="85">
        <v>-1.7399999999999999E-2</v>
      </c>
      <c r="I752" s="97">
        <v>1.46E-2</v>
      </c>
      <c r="J752" s="97">
        <f t="shared" si="11"/>
        <v>-3.2000000000000001E-2</v>
      </c>
    </row>
    <row r="753" spans="2:10">
      <c r="B753" s="84">
        <v>44676</v>
      </c>
      <c r="C753" s="82">
        <v>253.59</v>
      </c>
      <c r="D753" s="83">
        <v>248</v>
      </c>
      <c r="E753" s="83">
        <v>257.38</v>
      </c>
      <c r="F753" s="83">
        <v>248</v>
      </c>
      <c r="G753" s="83">
        <v>30416</v>
      </c>
      <c r="H753" s="85">
        <v>4.1999999999999997E-3</v>
      </c>
      <c r="I753" s="97">
        <v>-1.2699999999999999E-2</v>
      </c>
      <c r="J753" s="97">
        <f t="shared" si="11"/>
        <v>1.6899999999999998E-2</v>
      </c>
    </row>
    <row r="754" spans="2:10">
      <c r="B754" s="84">
        <v>44673</v>
      </c>
      <c r="C754" s="82">
        <v>252.53</v>
      </c>
      <c r="D754" s="83">
        <v>249.5</v>
      </c>
      <c r="E754" s="83">
        <v>258.39999999999998</v>
      </c>
      <c r="F754" s="83">
        <v>246</v>
      </c>
      <c r="G754" s="83">
        <v>126769</v>
      </c>
      <c r="H754" s="85">
        <v>5.1000000000000004E-3</v>
      </c>
      <c r="I754" s="97">
        <v>-1.2699999999999999E-2</v>
      </c>
      <c r="J754" s="97">
        <f t="shared" si="11"/>
        <v>1.78E-2</v>
      </c>
    </row>
    <row r="755" spans="2:10">
      <c r="B755" s="84">
        <v>44672</v>
      </c>
      <c r="C755" s="82">
        <v>251.26</v>
      </c>
      <c r="D755" s="83">
        <v>251</v>
      </c>
      <c r="E755" s="83">
        <v>254.02</v>
      </c>
      <c r="F755" s="83">
        <v>247.12</v>
      </c>
      <c r="G755" s="83">
        <v>107406</v>
      </c>
      <c r="H755" s="85">
        <v>1.3100000000000001E-2</v>
      </c>
      <c r="I755" s="97">
        <v>1.49E-2</v>
      </c>
      <c r="J755" s="97">
        <f t="shared" si="11"/>
        <v>-1.7999999999999995E-3</v>
      </c>
    </row>
    <row r="756" spans="2:10">
      <c r="B756" s="84">
        <v>44671</v>
      </c>
      <c r="C756" s="82">
        <v>248.02</v>
      </c>
      <c r="D756" s="83">
        <v>250</v>
      </c>
      <c r="E756" s="83">
        <v>252.77</v>
      </c>
      <c r="F756" s="83">
        <v>246</v>
      </c>
      <c r="G756" s="83">
        <v>91711</v>
      </c>
      <c r="H756" s="85">
        <v>3.2000000000000002E-3</v>
      </c>
      <c r="I756" s="97">
        <v>1.0500000000000001E-2</v>
      </c>
      <c r="J756" s="97">
        <f t="shared" si="11"/>
        <v>-7.3000000000000009E-3</v>
      </c>
    </row>
    <row r="757" spans="2:10">
      <c r="B757" s="84">
        <v>44670</v>
      </c>
      <c r="C757" s="82">
        <v>247.22</v>
      </c>
      <c r="D757" s="83">
        <v>255.4</v>
      </c>
      <c r="E757" s="83">
        <v>256.77999999999997</v>
      </c>
      <c r="F757" s="83">
        <v>245.01</v>
      </c>
      <c r="G757" s="83">
        <v>41201</v>
      </c>
      <c r="H757" s="85">
        <v>-1.47E-2</v>
      </c>
      <c r="I757" s="97">
        <v>-1.2500000000000001E-2</v>
      </c>
      <c r="J757" s="97">
        <f t="shared" si="11"/>
        <v>-2.1999999999999988E-3</v>
      </c>
    </row>
    <row r="758" spans="2:10">
      <c r="B758" s="84">
        <v>44669</v>
      </c>
      <c r="C758" s="82">
        <v>250.91</v>
      </c>
      <c r="D758" s="83">
        <v>250.45</v>
      </c>
      <c r="E758" s="83">
        <v>255.51</v>
      </c>
      <c r="F758" s="83">
        <v>245.01</v>
      </c>
      <c r="G758" s="83">
        <v>141253</v>
      </c>
      <c r="H758" s="85">
        <v>-1.34E-2</v>
      </c>
      <c r="I758" s="97">
        <v>-1.7299999999999999E-2</v>
      </c>
      <c r="J758" s="97">
        <f t="shared" si="11"/>
        <v>3.899999999999999E-3</v>
      </c>
    </row>
    <row r="759" spans="2:10">
      <c r="B759" s="84">
        <v>44664</v>
      </c>
      <c r="C759" s="82">
        <v>254.33</v>
      </c>
      <c r="D759" s="83">
        <v>255.56</v>
      </c>
      <c r="E759" s="83">
        <v>256.8</v>
      </c>
      <c r="F759" s="83">
        <v>251.54</v>
      </c>
      <c r="G759" s="83">
        <v>61205</v>
      </c>
      <c r="H759" s="85">
        <v>1.5900000000000001E-2</v>
      </c>
      <c r="I759" s="97">
        <v>-3.0999999999999999E-3</v>
      </c>
      <c r="J759" s="97">
        <f t="shared" si="11"/>
        <v>1.9E-2</v>
      </c>
    </row>
    <row r="760" spans="2:10">
      <c r="B760" s="84">
        <v>44663</v>
      </c>
      <c r="C760" s="82">
        <v>250.35</v>
      </c>
      <c r="D760" s="83">
        <v>258</v>
      </c>
      <c r="E760" s="83">
        <v>258.89999999999998</v>
      </c>
      <c r="F760" s="83">
        <v>245.41</v>
      </c>
      <c r="G760" s="83">
        <v>182629</v>
      </c>
      <c r="H760" s="85">
        <v>-3.3500000000000002E-2</v>
      </c>
      <c r="I760" s="97">
        <v>-8.2000000000000007E-3</v>
      </c>
      <c r="J760" s="97">
        <f t="shared" si="11"/>
        <v>-2.5300000000000003E-2</v>
      </c>
    </row>
    <row r="761" spans="2:10">
      <c r="B761" s="84">
        <v>44662</v>
      </c>
      <c r="C761" s="82">
        <v>259.04000000000002</v>
      </c>
      <c r="D761" s="83">
        <v>266</v>
      </c>
      <c r="E761" s="83">
        <v>268.39999999999998</v>
      </c>
      <c r="F761" s="83">
        <v>257</v>
      </c>
      <c r="G761" s="83">
        <v>156857</v>
      </c>
      <c r="H761" s="85">
        <v>-4.2900000000000001E-2</v>
      </c>
      <c r="I761" s="97">
        <v>-6.1999999999999998E-3</v>
      </c>
      <c r="J761" s="97">
        <f t="shared" si="11"/>
        <v>-3.6700000000000003E-2</v>
      </c>
    </row>
    <row r="762" spans="2:10">
      <c r="B762" s="84">
        <v>44659</v>
      </c>
      <c r="C762" s="82">
        <v>270.66000000000003</v>
      </c>
      <c r="D762" s="83">
        <v>277.60000000000002</v>
      </c>
      <c r="E762" s="83">
        <v>278.64</v>
      </c>
      <c r="F762" s="83">
        <v>269</v>
      </c>
      <c r="G762" s="83">
        <v>55049</v>
      </c>
      <c r="H762" s="85">
        <v>-1.0200000000000001E-2</v>
      </c>
      <c r="I762" s="97">
        <v>8.2000000000000007E-3</v>
      </c>
      <c r="J762" s="97">
        <f t="shared" si="11"/>
        <v>-1.84E-2</v>
      </c>
    </row>
    <row r="763" spans="2:10">
      <c r="B763" s="84">
        <v>44658</v>
      </c>
      <c r="C763" s="82">
        <v>273.45999999999998</v>
      </c>
      <c r="D763" s="83">
        <v>280.42</v>
      </c>
      <c r="E763" s="83">
        <v>281.3</v>
      </c>
      <c r="F763" s="83">
        <v>270.49</v>
      </c>
      <c r="G763" s="83">
        <v>51906</v>
      </c>
      <c r="H763" s="85">
        <v>-2.4400000000000002E-2</v>
      </c>
      <c r="I763" s="97">
        <v>-9.4000000000000004E-3</v>
      </c>
      <c r="J763" s="97">
        <f t="shared" si="11"/>
        <v>-1.5000000000000001E-2</v>
      </c>
    </row>
    <row r="764" spans="2:10">
      <c r="B764" s="84">
        <v>44657</v>
      </c>
      <c r="C764" s="82">
        <v>280.29000000000002</v>
      </c>
      <c r="D764" s="83">
        <v>284.8</v>
      </c>
      <c r="E764" s="83">
        <v>287.08999999999997</v>
      </c>
      <c r="F764" s="83">
        <v>277.8</v>
      </c>
      <c r="G764" s="83">
        <v>53947</v>
      </c>
      <c r="H764" s="85">
        <v>-1.23E-2</v>
      </c>
      <c r="I764" s="97">
        <v>-8.3000000000000001E-3</v>
      </c>
      <c r="J764" s="97">
        <f t="shared" si="11"/>
        <v>-4.0000000000000001E-3</v>
      </c>
    </row>
    <row r="765" spans="2:10">
      <c r="B765" s="84">
        <v>44656</v>
      </c>
      <c r="C765" s="82">
        <v>283.79000000000002</v>
      </c>
      <c r="D765" s="83">
        <v>284</v>
      </c>
      <c r="E765" s="83">
        <v>290.8</v>
      </c>
      <c r="F765" s="83">
        <v>281.79000000000002</v>
      </c>
      <c r="G765" s="83">
        <v>51042</v>
      </c>
      <c r="H765" s="85">
        <v>4.7000000000000002E-3</v>
      </c>
      <c r="I765" s="97">
        <v>-5.3E-3</v>
      </c>
      <c r="J765" s="97">
        <f t="shared" si="11"/>
        <v>0.01</v>
      </c>
    </row>
    <row r="766" spans="2:10">
      <c r="B766" s="84">
        <v>44655</v>
      </c>
      <c r="C766" s="82">
        <v>282.45999999999998</v>
      </c>
      <c r="D766" s="83">
        <v>289.02</v>
      </c>
      <c r="E766" s="83">
        <v>290</v>
      </c>
      <c r="F766" s="83">
        <v>278.04000000000002</v>
      </c>
      <c r="G766" s="83">
        <v>88412</v>
      </c>
      <c r="H766" s="85">
        <v>-2.2700000000000001E-2</v>
      </c>
      <c r="I766" s="97">
        <v>2.1700000000000001E-2</v>
      </c>
      <c r="J766" s="97">
        <f t="shared" si="11"/>
        <v>-4.4400000000000002E-2</v>
      </c>
    </row>
    <row r="767" spans="2:10">
      <c r="B767" s="84">
        <v>44652</v>
      </c>
      <c r="C767" s="82">
        <v>289.02</v>
      </c>
      <c r="D767" s="83">
        <v>289.8</v>
      </c>
      <c r="E767" s="83">
        <v>297.8</v>
      </c>
      <c r="F767" s="83">
        <v>287</v>
      </c>
      <c r="G767" s="83">
        <v>81213</v>
      </c>
      <c r="H767" s="85">
        <v>-2.5000000000000001E-2</v>
      </c>
      <c r="I767" s="97">
        <v>1.18E-2</v>
      </c>
      <c r="J767" s="97">
        <f t="shared" si="11"/>
        <v>-3.6799999999999999E-2</v>
      </c>
    </row>
    <row r="768" spans="2:10">
      <c r="B768" s="84">
        <v>44651</v>
      </c>
      <c r="C768" s="82">
        <v>296.44</v>
      </c>
      <c r="D768" s="83">
        <v>286</v>
      </c>
      <c r="E768" s="83">
        <v>299.8</v>
      </c>
      <c r="F768" s="83">
        <v>275.12</v>
      </c>
      <c r="G768" s="83">
        <v>219472</v>
      </c>
      <c r="H768" s="85">
        <v>3.9699999999999999E-2</v>
      </c>
      <c r="I768" s="97">
        <v>-1.9E-3</v>
      </c>
      <c r="J768" s="97">
        <f t="shared" si="11"/>
        <v>4.1599999999999998E-2</v>
      </c>
    </row>
    <row r="769" spans="2:10">
      <c r="B769" s="84">
        <v>44650</v>
      </c>
      <c r="C769" s="82">
        <v>285.11</v>
      </c>
      <c r="D769" s="83">
        <v>282</v>
      </c>
      <c r="E769" s="83">
        <v>289.8</v>
      </c>
      <c r="F769" s="83">
        <v>275.11</v>
      </c>
      <c r="G769" s="83">
        <v>85955</v>
      </c>
      <c r="H769" s="85">
        <v>1.4500000000000001E-2</v>
      </c>
      <c r="I769" s="97">
        <v>0.01</v>
      </c>
      <c r="J769" s="97">
        <f t="shared" si="11"/>
        <v>4.5000000000000005E-3</v>
      </c>
    </row>
    <row r="770" spans="2:10">
      <c r="B770" s="84">
        <v>44649</v>
      </c>
      <c r="C770" s="82">
        <v>281.04000000000002</v>
      </c>
      <c r="D770" s="83">
        <v>268.02</v>
      </c>
      <c r="E770" s="83">
        <v>282.8</v>
      </c>
      <c r="F770" s="83">
        <v>265</v>
      </c>
      <c r="G770" s="83">
        <v>126955</v>
      </c>
      <c r="H770" s="85">
        <v>5.1799999999999999E-2</v>
      </c>
      <c r="I770" s="97">
        <v>6.0000000000000001E-3</v>
      </c>
      <c r="J770" s="97">
        <f t="shared" si="11"/>
        <v>4.58E-2</v>
      </c>
    </row>
    <row r="771" spans="2:10">
      <c r="B771" s="84">
        <v>44648</v>
      </c>
      <c r="C771" s="82">
        <v>267.20999999999998</v>
      </c>
      <c r="D771" s="83">
        <v>262.39999999999998</v>
      </c>
      <c r="E771" s="83">
        <v>271</v>
      </c>
      <c r="F771" s="83">
        <v>258.77999999999997</v>
      </c>
      <c r="G771" s="83">
        <v>94609</v>
      </c>
      <c r="H771" s="85">
        <v>1.8200000000000001E-2</v>
      </c>
      <c r="I771" s="97">
        <v>4.0000000000000001E-3</v>
      </c>
      <c r="J771" s="97">
        <f t="shared" si="11"/>
        <v>1.4200000000000001E-2</v>
      </c>
    </row>
    <row r="772" spans="2:10">
      <c r="B772" s="84">
        <v>44645</v>
      </c>
      <c r="C772" s="82">
        <v>262.43</v>
      </c>
      <c r="D772" s="83">
        <v>265.36</v>
      </c>
      <c r="E772" s="83">
        <v>267.32</v>
      </c>
      <c r="F772" s="83">
        <v>260.14</v>
      </c>
      <c r="G772" s="83">
        <v>35012</v>
      </c>
      <c r="H772" s="85">
        <v>3.3E-3</v>
      </c>
      <c r="I772" s="97">
        <v>-4.0000000000000001E-3</v>
      </c>
      <c r="J772" s="97">
        <f t="shared" si="11"/>
        <v>7.3000000000000001E-3</v>
      </c>
    </row>
    <row r="773" spans="2:10">
      <c r="B773" s="84">
        <v>44644</v>
      </c>
      <c r="C773" s="82">
        <v>261.56</v>
      </c>
      <c r="D773" s="83">
        <v>264.8</v>
      </c>
      <c r="E773" s="83">
        <v>267.58999999999997</v>
      </c>
      <c r="F773" s="83">
        <v>257.60000000000002</v>
      </c>
      <c r="G773" s="83">
        <v>78207</v>
      </c>
      <c r="H773" s="85">
        <v>-1.2200000000000001E-2</v>
      </c>
      <c r="I773" s="97">
        <v>-1.2999999999999999E-3</v>
      </c>
      <c r="J773" s="97">
        <f t="shared" si="11"/>
        <v>-1.09E-2</v>
      </c>
    </row>
    <row r="774" spans="2:10">
      <c r="B774" s="84">
        <v>44643</v>
      </c>
      <c r="C774" s="82">
        <v>264.79000000000002</v>
      </c>
      <c r="D774" s="83">
        <v>274.39</v>
      </c>
      <c r="E774" s="83">
        <v>274.39</v>
      </c>
      <c r="F774" s="83">
        <v>262</v>
      </c>
      <c r="G774" s="83">
        <v>63689</v>
      </c>
      <c r="H774" s="85">
        <v>-3.32E-2</v>
      </c>
      <c r="I774" s="97">
        <v>-4.0000000000000001E-3</v>
      </c>
      <c r="J774" s="97">
        <f t="shared" si="11"/>
        <v>-2.92E-2</v>
      </c>
    </row>
    <row r="775" spans="2:10">
      <c r="B775" s="84">
        <v>44642</v>
      </c>
      <c r="C775" s="82">
        <v>273.88</v>
      </c>
      <c r="D775" s="83">
        <v>258.2</v>
      </c>
      <c r="E775" s="83">
        <v>276</v>
      </c>
      <c r="F775" s="83">
        <v>258.2</v>
      </c>
      <c r="G775" s="83">
        <v>228095</v>
      </c>
      <c r="H775" s="85">
        <v>6.0600000000000001E-2</v>
      </c>
      <c r="I775" s="97">
        <v>1.1599999999999999E-2</v>
      </c>
      <c r="J775" s="97">
        <f t="shared" si="11"/>
        <v>4.9000000000000002E-2</v>
      </c>
    </row>
    <row r="776" spans="2:10">
      <c r="B776" s="84">
        <v>44641</v>
      </c>
      <c r="C776" s="82">
        <v>258.24</v>
      </c>
      <c r="D776" s="83">
        <v>258.8</v>
      </c>
      <c r="E776" s="83">
        <v>259.39999999999998</v>
      </c>
      <c r="F776" s="83">
        <v>248.74</v>
      </c>
      <c r="G776" s="83">
        <v>48461</v>
      </c>
      <c r="H776" s="85">
        <v>8.0000000000000002E-3</v>
      </c>
      <c r="I776" s="97">
        <v>-9.7999999999999997E-3</v>
      </c>
      <c r="J776" s="97">
        <f t="shared" si="11"/>
        <v>1.78E-2</v>
      </c>
    </row>
    <row r="777" spans="2:10">
      <c r="B777" s="84">
        <v>44637</v>
      </c>
      <c r="C777" s="82">
        <v>256.19</v>
      </c>
      <c r="D777" s="83">
        <v>250</v>
      </c>
      <c r="E777" s="83">
        <v>257.8</v>
      </c>
      <c r="F777" s="83">
        <v>250</v>
      </c>
      <c r="G777" s="83">
        <v>45828</v>
      </c>
      <c r="H777" s="85">
        <v>2.5999999999999999E-2</v>
      </c>
      <c r="I777" s="97">
        <v>1.84E-2</v>
      </c>
      <c r="J777" s="97">
        <f t="shared" si="11"/>
        <v>7.5999999999999991E-3</v>
      </c>
    </row>
    <row r="778" spans="2:10">
      <c r="B778" s="84">
        <v>44636</v>
      </c>
      <c r="C778" s="82">
        <v>249.69</v>
      </c>
      <c r="D778" s="83">
        <v>251.2</v>
      </c>
      <c r="E778" s="83">
        <v>252.01</v>
      </c>
      <c r="F778" s="83">
        <v>246.21</v>
      </c>
      <c r="G778" s="83">
        <v>32082</v>
      </c>
      <c r="H778" s="85">
        <v>1.5599999999999999E-2</v>
      </c>
      <c r="I778" s="97">
        <v>1.8700000000000001E-2</v>
      </c>
      <c r="J778" s="97">
        <f t="shared" ref="J778:J841" si="12">H778-I778</f>
        <v>-3.1000000000000021E-3</v>
      </c>
    </row>
    <row r="779" spans="2:10">
      <c r="B779" s="84">
        <v>44635</v>
      </c>
      <c r="C779" s="82">
        <v>245.86</v>
      </c>
      <c r="D779" s="83">
        <v>258</v>
      </c>
      <c r="E779" s="83">
        <v>259.60000000000002</v>
      </c>
      <c r="F779" s="83">
        <v>242.51</v>
      </c>
      <c r="G779" s="83">
        <v>53632</v>
      </c>
      <c r="H779" s="85">
        <v>-4.5900000000000003E-2</v>
      </c>
      <c r="I779" s="97">
        <v>-1.23E-2</v>
      </c>
      <c r="J779" s="97">
        <f t="shared" si="12"/>
        <v>-3.3600000000000005E-2</v>
      </c>
    </row>
    <row r="780" spans="2:10">
      <c r="B780" s="84">
        <v>44634</v>
      </c>
      <c r="C780" s="82">
        <v>257.69</v>
      </c>
      <c r="D780" s="83">
        <v>255.93</v>
      </c>
      <c r="E780" s="83">
        <v>259.52999999999997</v>
      </c>
      <c r="F780" s="83">
        <v>250.54</v>
      </c>
      <c r="G780" s="83">
        <v>37637</v>
      </c>
      <c r="H780" s="85">
        <v>6.8999999999999999E-3</v>
      </c>
      <c r="I780" s="97">
        <v>1.4500000000000001E-2</v>
      </c>
      <c r="J780" s="97">
        <f t="shared" si="12"/>
        <v>-7.6000000000000009E-3</v>
      </c>
    </row>
    <row r="781" spans="2:10">
      <c r="B781" s="84">
        <v>44631</v>
      </c>
      <c r="C781" s="82">
        <v>255.93</v>
      </c>
      <c r="D781" s="83">
        <v>254.8</v>
      </c>
      <c r="E781" s="83">
        <v>258</v>
      </c>
      <c r="F781" s="83">
        <v>247</v>
      </c>
      <c r="G781" s="83">
        <v>78471</v>
      </c>
      <c r="H781" s="85">
        <v>1.17E-2</v>
      </c>
      <c r="I781" s="97">
        <v>2.0999999999999999E-3</v>
      </c>
      <c r="J781" s="97">
        <f t="shared" si="12"/>
        <v>9.6000000000000009E-3</v>
      </c>
    </row>
    <row r="782" spans="2:10">
      <c r="B782" s="84">
        <v>44630</v>
      </c>
      <c r="C782" s="82">
        <v>252.96</v>
      </c>
      <c r="D782" s="83">
        <v>258.2</v>
      </c>
      <c r="E782" s="83">
        <v>259.8</v>
      </c>
      <c r="F782" s="83">
        <v>245.02</v>
      </c>
      <c r="G782" s="83">
        <v>77873</v>
      </c>
      <c r="H782" s="85">
        <v>1.2999999999999999E-3</v>
      </c>
      <c r="I782" s="97">
        <v>1.5299999999999999E-2</v>
      </c>
      <c r="J782" s="97">
        <f t="shared" si="12"/>
        <v>-1.3999999999999999E-2</v>
      </c>
    </row>
    <row r="783" spans="2:10">
      <c r="B783" s="84">
        <v>44629</v>
      </c>
      <c r="C783" s="82">
        <v>252.62</v>
      </c>
      <c r="D783" s="83">
        <v>247.6</v>
      </c>
      <c r="E783" s="83">
        <v>255.61</v>
      </c>
      <c r="F783" s="83">
        <v>238.81</v>
      </c>
      <c r="G783" s="83">
        <v>250825</v>
      </c>
      <c r="H783" s="85">
        <v>4.9500000000000002E-2</v>
      </c>
      <c r="I783" s="97">
        <v>2.07E-2</v>
      </c>
      <c r="J783" s="97">
        <f t="shared" si="12"/>
        <v>2.8800000000000003E-2</v>
      </c>
    </row>
    <row r="784" spans="2:10">
      <c r="B784" s="84">
        <v>44628</v>
      </c>
      <c r="C784" s="82">
        <v>240.71</v>
      </c>
      <c r="D784" s="83">
        <v>234.2</v>
      </c>
      <c r="E784" s="83">
        <v>249</v>
      </c>
      <c r="F784" s="83">
        <v>226.28</v>
      </c>
      <c r="G784" s="83">
        <v>196000</v>
      </c>
      <c r="H784" s="85">
        <v>9.9000000000000008E-3</v>
      </c>
      <c r="I784" s="97">
        <v>9.4999999999999998E-3</v>
      </c>
      <c r="J784" s="97">
        <f t="shared" si="12"/>
        <v>4.0000000000000105E-4</v>
      </c>
    </row>
    <row r="785" spans="2:11">
      <c r="B785" s="84">
        <v>44627</v>
      </c>
      <c r="C785" s="82">
        <v>238.36</v>
      </c>
      <c r="D785" s="83">
        <v>243</v>
      </c>
      <c r="E785" s="83">
        <v>244.99</v>
      </c>
      <c r="F785" s="83">
        <v>233.46</v>
      </c>
      <c r="G785" s="83">
        <v>107528</v>
      </c>
      <c r="H785" s="85">
        <v>-3.7600000000000001E-2</v>
      </c>
      <c r="I785" s="97">
        <v>-2.35E-2</v>
      </c>
      <c r="J785" s="97">
        <f t="shared" si="12"/>
        <v>-1.4100000000000001E-2</v>
      </c>
    </row>
    <row r="786" spans="2:11">
      <c r="B786" s="84">
        <v>44624</v>
      </c>
      <c r="C786" s="82">
        <v>247.66</v>
      </c>
      <c r="D786" s="83">
        <v>248</v>
      </c>
      <c r="E786" s="83">
        <v>253.78</v>
      </c>
      <c r="F786" s="83">
        <v>244</v>
      </c>
      <c r="G786" s="83">
        <v>37180</v>
      </c>
      <c r="H786" s="85">
        <v>-1.1900000000000001E-2</v>
      </c>
      <c r="I786" s="97">
        <v>-1.5299999999999999E-2</v>
      </c>
      <c r="J786" s="97">
        <f t="shared" si="12"/>
        <v>3.3999999999999985E-3</v>
      </c>
    </row>
    <row r="787" spans="2:11">
      <c r="B787" s="84">
        <v>44623</v>
      </c>
      <c r="C787" s="82">
        <v>250.65</v>
      </c>
      <c r="D787" s="83">
        <v>259.8</v>
      </c>
      <c r="E787" s="83">
        <v>259.8</v>
      </c>
      <c r="F787" s="83">
        <v>249</v>
      </c>
      <c r="G787" s="83">
        <v>48997</v>
      </c>
      <c r="H787" s="85">
        <v>-1.7299999999999999E-2</v>
      </c>
      <c r="I787" s="97">
        <v>-6.4999999999999997E-3</v>
      </c>
      <c r="J787" s="97">
        <f t="shared" si="12"/>
        <v>-1.0800000000000001E-2</v>
      </c>
    </row>
    <row r="788" spans="2:11">
      <c r="B788" s="84">
        <v>44622</v>
      </c>
      <c r="C788" s="82">
        <v>255.06</v>
      </c>
      <c r="D788" s="83">
        <v>250</v>
      </c>
      <c r="E788" s="83">
        <v>258.99</v>
      </c>
      <c r="F788" s="83">
        <v>249.2</v>
      </c>
      <c r="G788" s="83">
        <v>195144</v>
      </c>
      <c r="H788" s="85">
        <v>1.5E-3</v>
      </c>
      <c r="I788" s="97">
        <v>-1.12E-2</v>
      </c>
      <c r="J788" s="97">
        <f t="shared" si="12"/>
        <v>1.2699999999999999E-2</v>
      </c>
    </row>
    <row r="789" spans="2:11">
      <c r="B789" s="84">
        <v>44620</v>
      </c>
      <c r="C789" s="82">
        <v>254.68</v>
      </c>
      <c r="D789" s="83">
        <v>261.99</v>
      </c>
      <c r="E789" s="83">
        <v>262.60000000000002</v>
      </c>
      <c r="F789" s="83">
        <v>247.83</v>
      </c>
      <c r="G789" s="83">
        <v>328829</v>
      </c>
      <c r="H789" s="85">
        <v>-1.6799999999999999E-2</v>
      </c>
      <c r="I789" s="97">
        <v>8.0999999999999996E-3</v>
      </c>
      <c r="J789" s="97">
        <f t="shared" si="12"/>
        <v>-2.4899999999999999E-2</v>
      </c>
    </row>
    <row r="790" spans="2:11">
      <c r="B790" s="84">
        <v>44617</v>
      </c>
      <c r="C790" s="82">
        <v>259.02999999999997</v>
      </c>
      <c r="D790" s="83">
        <v>257.69</v>
      </c>
      <c r="E790" s="83">
        <v>268.04000000000002</v>
      </c>
      <c r="F790" s="83">
        <v>256.93</v>
      </c>
      <c r="G790" s="83">
        <v>95215</v>
      </c>
      <c r="H790" s="85">
        <v>1.2999999999999999E-2</v>
      </c>
      <c r="I790" s="97">
        <v>2.53E-2</v>
      </c>
      <c r="J790" s="97">
        <f t="shared" si="12"/>
        <v>-1.23E-2</v>
      </c>
    </row>
    <row r="791" spans="2:11">
      <c r="B791" s="84">
        <v>44616</v>
      </c>
      <c r="C791" s="82">
        <v>255.7</v>
      </c>
      <c r="D791" s="83">
        <v>260</v>
      </c>
      <c r="E791" s="83">
        <v>263.41000000000003</v>
      </c>
      <c r="F791" s="83">
        <v>250.01</v>
      </c>
      <c r="G791" s="83">
        <v>249999</v>
      </c>
      <c r="H791" s="85">
        <v>-5.7200000000000001E-2</v>
      </c>
      <c r="I791" s="97">
        <v>-4.7800000000000002E-2</v>
      </c>
      <c r="J791" s="97">
        <f t="shared" si="12"/>
        <v>-9.3999999999999986E-3</v>
      </c>
    </row>
    <row r="792" spans="2:11">
      <c r="B792" s="84">
        <v>44615</v>
      </c>
      <c r="C792" s="82">
        <v>271.2</v>
      </c>
      <c r="D792" s="83">
        <v>267</v>
      </c>
      <c r="E792" s="83">
        <v>274.89999999999998</v>
      </c>
      <c r="F792" s="83">
        <v>265.2</v>
      </c>
      <c r="G792" s="83">
        <v>74492</v>
      </c>
      <c r="H792" s="85">
        <v>3.9699999999999999E-2</v>
      </c>
      <c r="I792" s="97">
        <v>-1.6999999999999999E-3</v>
      </c>
      <c r="J792" s="97">
        <f t="shared" si="12"/>
        <v>4.1399999999999999E-2</v>
      </c>
    </row>
    <row r="793" spans="2:11">
      <c r="B793" s="84">
        <v>44614</v>
      </c>
      <c r="C793" s="82">
        <v>260.83999999999997</v>
      </c>
      <c r="D793" s="83">
        <v>260</v>
      </c>
      <c r="E793" s="83">
        <v>264.06</v>
      </c>
      <c r="F793" s="83">
        <v>252.31</v>
      </c>
      <c r="G793" s="83">
        <v>190492</v>
      </c>
      <c r="H793" s="85">
        <v>-2.0199999999999999E-2</v>
      </c>
      <c r="I793" s="97">
        <v>-6.7000000000000002E-3</v>
      </c>
      <c r="J793" s="97">
        <f t="shared" si="12"/>
        <v>-1.3499999999999998E-2</v>
      </c>
    </row>
    <row r="794" spans="2:11">
      <c r="B794" s="84">
        <v>44613</v>
      </c>
      <c r="C794" s="82">
        <v>266.23</v>
      </c>
      <c r="D794" s="83">
        <v>280</v>
      </c>
      <c r="E794" s="83">
        <v>280</v>
      </c>
      <c r="F794" s="83">
        <v>261.60000000000002</v>
      </c>
      <c r="G794" s="83">
        <v>243284</v>
      </c>
      <c r="H794" s="85">
        <v>-5.9499999999999997E-2</v>
      </c>
      <c r="I794" s="97">
        <v>-4.0000000000000001E-3</v>
      </c>
      <c r="J794" s="97">
        <f t="shared" si="12"/>
        <v>-5.5499999999999994E-2</v>
      </c>
      <c r="K794" s="87"/>
    </row>
    <row r="795" spans="2:11">
      <c r="B795" s="84">
        <v>44610</v>
      </c>
      <c r="C795" s="82">
        <v>283.07</v>
      </c>
      <c r="D795" s="83">
        <v>292</v>
      </c>
      <c r="E795" s="83">
        <v>293.39999999999998</v>
      </c>
      <c r="F795" s="83">
        <v>281</v>
      </c>
      <c r="G795" s="83">
        <v>51910</v>
      </c>
      <c r="H795" s="85">
        <v>-3.6700000000000003E-2</v>
      </c>
      <c r="I795" s="97">
        <v>-1.6000000000000001E-3</v>
      </c>
      <c r="J795" s="97">
        <f t="shared" si="12"/>
        <v>-3.5100000000000006E-2</v>
      </c>
    </row>
    <row r="796" spans="2:11">
      <c r="B796" s="84">
        <v>44609</v>
      </c>
      <c r="C796" s="82">
        <v>293.85000000000002</v>
      </c>
      <c r="D796" s="83">
        <v>290</v>
      </c>
      <c r="E796" s="83">
        <v>300.2</v>
      </c>
      <c r="F796" s="83">
        <v>288.20999999999998</v>
      </c>
      <c r="G796" s="83">
        <v>86869</v>
      </c>
      <c r="H796" s="85">
        <v>8.3999999999999995E-3</v>
      </c>
      <c r="I796" s="97">
        <v>-1E-3</v>
      </c>
      <c r="J796" s="97">
        <f t="shared" si="12"/>
        <v>9.3999999999999986E-3</v>
      </c>
    </row>
    <row r="797" spans="2:11">
      <c r="B797" s="84">
        <v>44608</v>
      </c>
      <c r="C797" s="82">
        <v>291.39999999999998</v>
      </c>
      <c r="D797" s="83">
        <v>288.2</v>
      </c>
      <c r="E797" s="83">
        <v>301.8</v>
      </c>
      <c r="F797" s="83">
        <v>282.29000000000002</v>
      </c>
      <c r="G797" s="83">
        <v>216550</v>
      </c>
      <c r="H797" s="85">
        <v>2.23E-2</v>
      </c>
      <c r="I797" s="97">
        <v>-1.6999999999999999E-3</v>
      </c>
      <c r="J797" s="97">
        <f t="shared" si="12"/>
        <v>2.4E-2</v>
      </c>
    </row>
    <row r="798" spans="2:11">
      <c r="B798" s="84">
        <v>44607</v>
      </c>
      <c r="C798" s="82">
        <v>285.05</v>
      </c>
      <c r="D798" s="83">
        <v>289.39999999999998</v>
      </c>
      <c r="E798" s="83">
        <v>295.77</v>
      </c>
      <c r="F798" s="83">
        <v>280.91000000000003</v>
      </c>
      <c r="G798" s="83">
        <v>142151</v>
      </c>
      <c r="H798" s="85">
        <v>-4.1000000000000003E-3</v>
      </c>
      <c r="I798" s="97">
        <v>3.0300000000000001E-2</v>
      </c>
      <c r="J798" s="97">
        <f t="shared" si="12"/>
        <v>-3.44E-2</v>
      </c>
    </row>
    <row r="799" spans="2:11">
      <c r="B799" s="84">
        <v>44606</v>
      </c>
      <c r="C799" s="82">
        <v>286.20999999999998</v>
      </c>
      <c r="D799" s="83">
        <v>297.8</v>
      </c>
      <c r="E799" s="83">
        <v>308</v>
      </c>
      <c r="F799" s="83">
        <v>276.39999999999998</v>
      </c>
      <c r="G799" s="83">
        <v>731927</v>
      </c>
      <c r="H799" s="85">
        <v>-6.7000000000000002E-3</v>
      </c>
      <c r="I799" s="97">
        <v>-3.0599999999999999E-2</v>
      </c>
      <c r="J799" s="97">
        <f t="shared" si="12"/>
        <v>2.3899999999999998E-2</v>
      </c>
    </row>
    <row r="800" spans="2:11">
      <c r="B800" s="84">
        <v>44603</v>
      </c>
      <c r="C800" s="82">
        <v>288.13</v>
      </c>
      <c r="D800" s="83">
        <v>259.60000000000002</v>
      </c>
      <c r="E800" s="83">
        <v>307.77999999999997</v>
      </c>
      <c r="F800" s="83">
        <v>255.14</v>
      </c>
      <c r="G800" s="83">
        <v>794674</v>
      </c>
      <c r="H800" s="85">
        <v>0.1109</v>
      </c>
      <c r="I800" s="97">
        <v>-1.3100000000000001E-2</v>
      </c>
      <c r="J800" s="97">
        <f t="shared" si="12"/>
        <v>0.124</v>
      </c>
      <c r="K800" s="87"/>
    </row>
    <row r="801" spans="2:11">
      <c r="B801" s="84">
        <v>44602</v>
      </c>
      <c r="C801" s="82">
        <v>259.37</v>
      </c>
      <c r="D801" s="83">
        <v>256</v>
      </c>
      <c r="E801" s="83">
        <v>261.38</v>
      </c>
      <c r="F801" s="83">
        <v>255.8</v>
      </c>
      <c r="G801" s="83">
        <v>40597</v>
      </c>
      <c r="H801" s="85">
        <v>1.78E-2</v>
      </c>
      <c r="I801" s="97">
        <v>8.0999999999999996E-3</v>
      </c>
      <c r="J801" s="97">
        <f t="shared" si="12"/>
        <v>9.7000000000000003E-3</v>
      </c>
    </row>
    <row r="802" spans="2:11">
      <c r="B802" s="84">
        <v>44601</v>
      </c>
      <c r="C802" s="82">
        <v>254.83</v>
      </c>
      <c r="D802" s="83">
        <v>254.4</v>
      </c>
      <c r="E802" s="83">
        <v>262.29000000000002</v>
      </c>
      <c r="F802" s="83">
        <v>252.71</v>
      </c>
      <c r="G802" s="83">
        <v>19777</v>
      </c>
      <c r="H802" s="85">
        <v>4.7999999999999996E-3</v>
      </c>
      <c r="I802" s="97">
        <v>1.14E-2</v>
      </c>
      <c r="J802" s="97">
        <f t="shared" si="12"/>
        <v>-6.6000000000000008E-3</v>
      </c>
    </row>
    <row r="803" spans="2:11">
      <c r="B803" s="84">
        <v>44600</v>
      </c>
      <c r="C803" s="82">
        <v>253.61</v>
      </c>
      <c r="D803" s="83">
        <v>262.8</v>
      </c>
      <c r="E803" s="83">
        <v>262.8</v>
      </c>
      <c r="F803" s="83">
        <v>249.8</v>
      </c>
      <c r="G803" s="83">
        <v>41302</v>
      </c>
      <c r="H803" s="85">
        <v>-2.4799999999999999E-2</v>
      </c>
      <c r="I803" s="97">
        <v>3.0999999999999999E-3</v>
      </c>
      <c r="J803" s="97">
        <f t="shared" si="12"/>
        <v>-2.7899999999999998E-2</v>
      </c>
    </row>
    <row r="804" spans="2:11">
      <c r="B804" s="84">
        <v>44599</v>
      </c>
      <c r="C804" s="82">
        <v>260.06</v>
      </c>
      <c r="D804" s="83">
        <v>266.8</v>
      </c>
      <c r="E804" s="83">
        <v>267.52</v>
      </c>
      <c r="F804" s="83">
        <v>258.33999999999997</v>
      </c>
      <c r="G804" s="83">
        <v>72859</v>
      </c>
      <c r="H804" s="85">
        <v>-1.9800000000000002E-2</v>
      </c>
      <c r="I804" s="97">
        <v>-1.7299999999999999E-2</v>
      </c>
      <c r="J804" s="97">
        <f t="shared" si="12"/>
        <v>-2.5000000000000022E-3</v>
      </c>
    </row>
    <row r="805" spans="2:11">
      <c r="B805" s="84">
        <v>44596</v>
      </c>
      <c r="C805" s="82">
        <v>265.3</v>
      </c>
      <c r="D805" s="83">
        <v>272</v>
      </c>
      <c r="E805" s="83">
        <v>272.8</v>
      </c>
      <c r="F805" s="83">
        <v>262.2</v>
      </c>
      <c r="G805" s="83">
        <v>124304</v>
      </c>
      <c r="H805" s="85">
        <v>-2.1299999999999999E-2</v>
      </c>
      <c r="I805" s="97">
        <v>-2.5000000000000001E-3</v>
      </c>
      <c r="J805" s="97">
        <f t="shared" si="12"/>
        <v>-1.8800000000000001E-2</v>
      </c>
    </row>
    <row r="806" spans="2:11">
      <c r="B806" s="84">
        <v>44595</v>
      </c>
      <c r="C806" s="82">
        <v>271.08</v>
      </c>
      <c r="D806" s="83">
        <v>272.61</v>
      </c>
      <c r="E806" s="83">
        <v>274.19</v>
      </c>
      <c r="F806" s="83">
        <v>269.60000000000002</v>
      </c>
      <c r="G806" s="83">
        <v>112707</v>
      </c>
      <c r="H806" s="85">
        <v>-4.8999999999999998E-3</v>
      </c>
      <c r="I806" s="97">
        <v>-1.24E-2</v>
      </c>
      <c r="J806" s="97">
        <f t="shared" si="12"/>
        <v>7.4999999999999997E-3</v>
      </c>
    </row>
    <row r="807" spans="2:11">
      <c r="B807" s="84">
        <v>44594</v>
      </c>
      <c r="C807" s="82">
        <v>272.42</v>
      </c>
      <c r="D807" s="83">
        <v>272</v>
      </c>
      <c r="E807" s="83">
        <v>281.73</v>
      </c>
      <c r="F807" s="83">
        <v>269.01</v>
      </c>
      <c r="G807" s="83">
        <v>155046</v>
      </c>
      <c r="H807" s="85">
        <v>6.4999999999999997E-3</v>
      </c>
      <c r="I807" s="97">
        <v>1.1599999999999999E-2</v>
      </c>
      <c r="J807" s="97">
        <f t="shared" si="12"/>
        <v>-5.0999999999999995E-3</v>
      </c>
    </row>
    <row r="808" spans="2:11">
      <c r="B808" s="84">
        <v>44593</v>
      </c>
      <c r="C808" s="82">
        <v>270.67</v>
      </c>
      <c r="D808" s="83">
        <v>272.76</v>
      </c>
      <c r="E808" s="83">
        <v>274</v>
      </c>
      <c r="F808" s="83">
        <v>264.19</v>
      </c>
      <c r="G808" s="83">
        <v>77170</v>
      </c>
      <c r="H808" s="85">
        <v>2.2000000000000001E-3</v>
      </c>
      <c r="I808" s="97">
        <v>1.37E-2</v>
      </c>
      <c r="J808" s="97">
        <f t="shared" si="12"/>
        <v>-1.15E-2</v>
      </c>
    </row>
    <row r="809" spans="2:11">
      <c r="B809" s="84">
        <v>44592</v>
      </c>
      <c r="C809" s="82">
        <v>270.08</v>
      </c>
      <c r="D809" s="83">
        <v>265</v>
      </c>
      <c r="E809" s="83">
        <v>275.44</v>
      </c>
      <c r="F809" s="83">
        <v>258.01</v>
      </c>
      <c r="G809" s="83">
        <v>145814</v>
      </c>
      <c r="H809" s="85">
        <v>2.3699999999999999E-2</v>
      </c>
      <c r="I809" s="97">
        <v>1.3899999999999999E-2</v>
      </c>
      <c r="J809" s="97">
        <f t="shared" si="12"/>
        <v>9.7999999999999997E-3</v>
      </c>
    </row>
    <row r="810" spans="2:11">
      <c r="B810" s="84">
        <v>44589</v>
      </c>
      <c r="C810" s="82">
        <v>263.83</v>
      </c>
      <c r="D810" s="83">
        <v>253.87</v>
      </c>
      <c r="E810" s="83">
        <v>282.06</v>
      </c>
      <c r="F810" s="83">
        <v>252.34</v>
      </c>
      <c r="G810" s="83">
        <v>99204</v>
      </c>
      <c r="H810" s="85">
        <v>5.7000000000000002E-2</v>
      </c>
      <c r="I810" s="97">
        <v>-5.0000000000000001E-4</v>
      </c>
      <c r="J810" s="97">
        <f t="shared" si="12"/>
        <v>5.7500000000000002E-2</v>
      </c>
      <c r="K810" s="87"/>
    </row>
    <row r="811" spans="2:11">
      <c r="B811" s="84">
        <v>44588</v>
      </c>
      <c r="C811" s="82">
        <v>249.61</v>
      </c>
      <c r="D811" s="83">
        <v>254</v>
      </c>
      <c r="E811" s="83">
        <v>259.77</v>
      </c>
      <c r="F811" s="83">
        <v>246.22</v>
      </c>
      <c r="G811" s="83">
        <v>129110</v>
      </c>
      <c r="H811" s="85">
        <v>-2.2200000000000001E-2</v>
      </c>
      <c r="I811" s="97">
        <v>-9.7000000000000003E-3</v>
      </c>
      <c r="J811" s="97">
        <f t="shared" si="12"/>
        <v>-1.2500000000000001E-2</v>
      </c>
    </row>
    <row r="812" spans="2:11">
      <c r="B812" s="84">
        <v>44586</v>
      </c>
      <c r="C812" s="82">
        <v>255.27</v>
      </c>
      <c r="D812" s="83">
        <v>252</v>
      </c>
      <c r="E812" s="83">
        <v>265.95999999999998</v>
      </c>
      <c r="F812" s="83">
        <v>251.03</v>
      </c>
      <c r="G812" s="83">
        <v>147862</v>
      </c>
      <c r="H812" s="85">
        <v>-6.3E-3</v>
      </c>
      <c r="I812" s="97">
        <v>7.4999999999999997E-3</v>
      </c>
      <c r="J812" s="97">
        <f t="shared" si="12"/>
        <v>-1.38E-2</v>
      </c>
    </row>
    <row r="813" spans="2:11">
      <c r="B813" s="84">
        <v>44585</v>
      </c>
      <c r="C813" s="82">
        <v>256.89999999999998</v>
      </c>
      <c r="D813" s="83">
        <v>274.39999999999998</v>
      </c>
      <c r="E813" s="83">
        <v>275.8</v>
      </c>
      <c r="F813" s="83">
        <v>253.32</v>
      </c>
      <c r="G813" s="83">
        <v>202552</v>
      </c>
      <c r="H813" s="85">
        <v>-7.0999999999999994E-2</v>
      </c>
      <c r="I813" s="97">
        <v>-2.6599999999999999E-2</v>
      </c>
      <c r="J813" s="97">
        <f t="shared" si="12"/>
        <v>-4.4399999999999995E-2</v>
      </c>
    </row>
    <row r="814" spans="2:11">
      <c r="B814" s="84">
        <v>44582</v>
      </c>
      <c r="C814" s="82">
        <v>276.54000000000002</v>
      </c>
      <c r="D814" s="83">
        <v>283.97000000000003</v>
      </c>
      <c r="E814" s="83">
        <v>283.97000000000003</v>
      </c>
      <c r="F814" s="83">
        <v>264</v>
      </c>
      <c r="G814" s="83">
        <v>313170</v>
      </c>
      <c r="H814" s="85">
        <v>-2.63E-2</v>
      </c>
      <c r="I814" s="97">
        <v>-7.9000000000000008E-3</v>
      </c>
      <c r="J814" s="97">
        <f t="shared" si="12"/>
        <v>-1.84E-2</v>
      </c>
    </row>
    <row r="815" spans="2:11">
      <c r="B815" s="84">
        <v>44581</v>
      </c>
      <c r="C815" s="82">
        <v>284.02</v>
      </c>
      <c r="D815" s="83">
        <v>282.99</v>
      </c>
      <c r="E815" s="83">
        <v>290</v>
      </c>
      <c r="F815" s="83">
        <v>278.10000000000002</v>
      </c>
      <c r="G815" s="83">
        <v>172683</v>
      </c>
      <c r="H815" s="85">
        <v>8.8000000000000005E-3</v>
      </c>
      <c r="I815" s="97">
        <v>-1.01E-2</v>
      </c>
      <c r="J815" s="97">
        <f t="shared" si="12"/>
        <v>1.89E-2</v>
      </c>
    </row>
    <row r="816" spans="2:11">
      <c r="B816" s="84">
        <v>44580</v>
      </c>
      <c r="C816" s="82">
        <v>281.55</v>
      </c>
      <c r="D816" s="83">
        <v>287.74</v>
      </c>
      <c r="E816" s="83">
        <v>298</v>
      </c>
      <c r="F816" s="83">
        <v>278.12</v>
      </c>
      <c r="G816" s="83">
        <v>311271</v>
      </c>
      <c r="H816" s="85">
        <v>-1.66E-2</v>
      </c>
      <c r="I816" s="97">
        <v>-9.5999999999999992E-3</v>
      </c>
      <c r="J816" s="97">
        <f t="shared" si="12"/>
        <v>-7.000000000000001E-3</v>
      </c>
    </row>
    <row r="817" spans="2:11">
      <c r="B817" s="84">
        <v>44579</v>
      </c>
      <c r="C817" s="82">
        <v>286.3</v>
      </c>
      <c r="D817" s="83">
        <v>292</v>
      </c>
      <c r="E817" s="83">
        <v>292</v>
      </c>
      <c r="F817" s="83">
        <v>280.64999999999998</v>
      </c>
      <c r="G817" s="83">
        <v>175205</v>
      </c>
      <c r="H817" s="85">
        <v>-5.7000000000000002E-3</v>
      </c>
      <c r="I817" s="97">
        <v>-1.0699999999999999E-2</v>
      </c>
      <c r="J817" s="97">
        <f t="shared" si="12"/>
        <v>4.9999999999999992E-3</v>
      </c>
    </row>
    <row r="818" spans="2:11">
      <c r="B818" s="84">
        <v>44578</v>
      </c>
      <c r="C818" s="82">
        <v>287.93</v>
      </c>
      <c r="D818" s="83">
        <v>280</v>
      </c>
      <c r="E818" s="83">
        <v>290</v>
      </c>
      <c r="F818" s="83">
        <v>280</v>
      </c>
      <c r="G818" s="83">
        <v>102742</v>
      </c>
      <c r="H818" s="85">
        <v>1.72E-2</v>
      </c>
      <c r="I818" s="97">
        <v>2.8999999999999998E-3</v>
      </c>
      <c r="J818" s="97">
        <f t="shared" si="12"/>
        <v>1.43E-2</v>
      </c>
    </row>
    <row r="819" spans="2:11">
      <c r="B819" s="84">
        <v>44575</v>
      </c>
      <c r="C819" s="82">
        <v>283.06</v>
      </c>
      <c r="D819" s="83">
        <v>282</v>
      </c>
      <c r="E819" s="83">
        <v>288.10000000000002</v>
      </c>
      <c r="F819" s="83">
        <v>276.42</v>
      </c>
      <c r="G819" s="83">
        <v>67006</v>
      </c>
      <c r="H819" s="85">
        <v>3.8E-3</v>
      </c>
      <c r="I819" s="97">
        <v>-1E-4</v>
      </c>
      <c r="J819" s="97">
        <f t="shared" si="12"/>
        <v>3.8999999999999998E-3</v>
      </c>
    </row>
    <row r="820" spans="2:11">
      <c r="B820" s="84">
        <v>44574</v>
      </c>
      <c r="C820" s="82">
        <v>281.98</v>
      </c>
      <c r="D820" s="83">
        <v>273.3</v>
      </c>
      <c r="E820" s="83">
        <v>285</v>
      </c>
      <c r="F820" s="83">
        <v>271.27999999999997</v>
      </c>
      <c r="G820" s="83">
        <v>193876</v>
      </c>
      <c r="H820" s="85">
        <v>3.2599999999999997E-2</v>
      </c>
      <c r="I820" s="97">
        <v>2.5000000000000001E-3</v>
      </c>
      <c r="J820" s="97">
        <f t="shared" si="12"/>
        <v>3.0099999999999998E-2</v>
      </c>
    </row>
    <row r="821" spans="2:11">
      <c r="B821" s="84">
        <v>44573</v>
      </c>
      <c r="C821" s="82">
        <v>273.08999999999997</v>
      </c>
      <c r="D821" s="83">
        <v>277</v>
      </c>
      <c r="E821" s="83">
        <v>283.16000000000003</v>
      </c>
      <c r="F821" s="83">
        <v>270.48</v>
      </c>
      <c r="G821" s="83">
        <v>166213</v>
      </c>
      <c r="H821" s="85">
        <v>-1.46E-2</v>
      </c>
      <c r="I821" s="97">
        <v>8.6999999999999994E-3</v>
      </c>
      <c r="J821" s="97">
        <f t="shared" si="12"/>
        <v>-2.3300000000000001E-2</v>
      </c>
    </row>
    <row r="822" spans="2:11">
      <c r="B822" s="84">
        <v>44572</v>
      </c>
      <c r="C822" s="82">
        <v>277.14</v>
      </c>
      <c r="D822" s="83">
        <v>277.60000000000002</v>
      </c>
      <c r="E822" s="83">
        <v>281.52999999999997</v>
      </c>
      <c r="F822" s="83">
        <v>270.49</v>
      </c>
      <c r="G822" s="83">
        <v>185714</v>
      </c>
      <c r="H822" s="85">
        <v>-2.5999999999999999E-3</v>
      </c>
      <c r="I822" s="97">
        <v>2.8999999999999998E-3</v>
      </c>
      <c r="J822" s="97">
        <f t="shared" si="12"/>
        <v>-5.4999999999999997E-3</v>
      </c>
    </row>
    <row r="823" spans="2:11">
      <c r="B823" s="84">
        <v>44571</v>
      </c>
      <c r="C823" s="82">
        <v>277.87</v>
      </c>
      <c r="D823" s="83">
        <v>268.04000000000002</v>
      </c>
      <c r="E823" s="83">
        <v>291.88</v>
      </c>
      <c r="F823" s="83">
        <v>268.04000000000002</v>
      </c>
      <c r="G823" s="83">
        <v>566078</v>
      </c>
      <c r="H823" s="85">
        <v>3.9300000000000002E-2</v>
      </c>
      <c r="I823" s="97">
        <v>1.0699999999999999E-2</v>
      </c>
      <c r="J823" s="97">
        <f t="shared" si="12"/>
        <v>2.86E-2</v>
      </c>
    </row>
    <row r="824" spans="2:11">
      <c r="B824" s="84">
        <v>44568</v>
      </c>
      <c r="C824" s="82">
        <v>267.37</v>
      </c>
      <c r="D824" s="83">
        <v>249</v>
      </c>
      <c r="E824" s="83">
        <v>269</v>
      </c>
      <c r="F824" s="83">
        <v>249</v>
      </c>
      <c r="G824" s="83">
        <v>576906</v>
      </c>
      <c r="H824" s="85">
        <v>7.3300000000000004E-2</v>
      </c>
      <c r="I824" s="97">
        <v>3.8E-3</v>
      </c>
      <c r="J824" s="97">
        <f t="shared" si="12"/>
        <v>6.9500000000000006E-2</v>
      </c>
      <c r="K824" s="87"/>
    </row>
    <row r="825" spans="2:11">
      <c r="B825" s="84">
        <v>44567</v>
      </c>
      <c r="C825" s="82">
        <v>249.11</v>
      </c>
      <c r="D825" s="83">
        <v>253.8</v>
      </c>
      <c r="E825" s="83">
        <v>255</v>
      </c>
      <c r="F825" s="83">
        <v>248</v>
      </c>
      <c r="G825" s="83">
        <v>80105</v>
      </c>
      <c r="H825" s="85">
        <v>-1.7999999999999999E-2</v>
      </c>
      <c r="I825" s="97">
        <v>-0.01</v>
      </c>
      <c r="J825" s="97">
        <f t="shared" si="12"/>
        <v>-7.9999999999999984E-3</v>
      </c>
    </row>
    <row r="826" spans="2:11">
      <c r="B826" s="84">
        <v>44566</v>
      </c>
      <c r="C826" s="82">
        <v>253.68</v>
      </c>
      <c r="D826" s="83">
        <v>240.6</v>
      </c>
      <c r="E826" s="83">
        <v>263.56</v>
      </c>
      <c r="F826" s="83">
        <v>237.15</v>
      </c>
      <c r="G826" s="83">
        <v>414699</v>
      </c>
      <c r="H826" s="85">
        <v>5.2499999999999998E-2</v>
      </c>
      <c r="I826" s="97">
        <v>6.7000000000000002E-3</v>
      </c>
      <c r="J826" s="97">
        <f t="shared" si="12"/>
        <v>4.58E-2</v>
      </c>
    </row>
    <row r="827" spans="2:11">
      <c r="B827" s="84">
        <v>44565</v>
      </c>
      <c r="C827" s="82">
        <v>241.02</v>
      </c>
      <c r="D827" s="83">
        <v>241.6</v>
      </c>
      <c r="E827" s="83">
        <v>242.55</v>
      </c>
      <c r="F827" s="83">
        <v>239.11</v>
      </c>
      <c r="G827" s="83">
        <v>41360</v>
      </c>
      <c r="H827" s="85">
        <v>-1E-4</v>
      </c>
      <c r="I827" s="97">
        <v>1.0200000000000001E-2</v>
      </c>
      <c r="J827" s="97">
        <f t="shared" si="12"/>
        <v>-1.03E-2</v>
      </c>
    </row>
    <row r="828" spans="2:11">
      <c r="B828" s="84">
        <v>44564</v>
      </c>
      <c r="C828" s="82">
        <v>241.05</v>
      </c>
      <c r="D828" s="83">
        <v>242.71</v>
      </c>
      <c r="E828" s="83">
        <v>244.57</v>
      </c>
      <c r="F828" s="83">
        <v>240.8</v>
      </c>
      <c r="G828" s="83">
        <v>40649</v>
      </c>
      <c r="H828" s="85">
        <v>-1.14E-2</v>
      </c>
      <c r="I828" s="97">
        <v>1.5699999999999999E-2</v>
      </c>
      <c r="J828" s="97">
        <f t="shared" si="12"/>
        <v>-2.7099999999999999E-2</v>
      </c>
    </row>
    <row r="829" spans="2:11">
      <c r="B829" s="84">
        <v>44561</v>
      </c>
      <c r="C829" s="82">
        <v>243.83</v>
      </c>
      <c r="D829" s="83">
        <v>240.2</v>
      </c>
      <c r="E829" s="83">
        <v>245.4</v>
      </c>
      <c r="F829" s="83">
        <v>240.2</v>
      </c>
      <c r="G829" s="83">
        <v>62387</v>
      </c>
      <c r="H829" s="85">
        <v>1.6E-2</v>
      </c>
      <c r="I829" s="97">
        <v>8.6999999999999994E-3</v>
      </c>
      <c r="J829" s="97">
        <f t="shared" si="12"/>
        <v>7.3000000000000009E-3</v>
      </c>
    </row>
    <row r="830" spans="2:11">
      <c r="B830" s="84">
        <v>44560</v>
      </c>
      <c r="C830" s="82">
        <v>239.98</v>
      </c>
      <c r="D830" s="83">
        <v>241</v>
      </c>
      <c r="E830" s="83">
        <v>241.91</v>
      </c>
      <c r="F830" s="83">
        <v>238.05</v>
      </c>
      <c r="G830" s="83">
        <v>42373</v>
      </c>
      <c r="H830" s="85">
        <v>-3.7000000000000002E-3</v>
      </c>
      <c r="I830" s="97">
        <v>-5.9999999999999995E-4</v>
      </c>
      <c r="J830" s="97">
        <f t="shared" si="12"/>
        <v>-3.1000000000000003E-3</v>
      </c>
    </row>
    <row r="831" spans="2:11">
      <c r="B831" s="84">
        <v>44559</v>
      </c>
      <c r="C831" s="82">
        <v>240.87</v>
      </c>
      <c r="D831" s="83">
        <v>240.2</v>
      </c>
      <c r="E831" s="83">
        <v>249.2</v>
      </c>
      <c r="F831" s="83">
        <v>239.2</v>
      </c>
      <c r="G831" s="83">
        <v>116824</v>
      </c>
      <c r="H831" s="85">
        <v>6.9999999999999999E-4</v>
      </c>
      <c r="I831" s="97">
        <v>-1.1000000000000001E-3</v>
      </c>
      <c r="J831" s="97">
        <f t="shared" si="12"/>
        <v>1.8E-3</v>
      </c>
    </row>
    <row r="832" spans="2:11">
      <c r="B832" s="84">
        <v>44558</v>
      </c>
      <c r="C832" s="82">
        <v>240.71</v>
      </c>
      <c r="D832" s="83">
        <v>240.01</v>
      </c>
      <c r="E832" s="83">
        <v>243.8</v>
      </c>
      <c r="F832" s="83">
        <v>239.03</v>
      </c>
      <c r="G832" s="83">
        <v>166404</v>
      </c>
      <c r="H832" s="85">
        <v>3.8E-3</v>
      </c>
      <c r="I832" s="97">
        <v>8.6E-3</v>
      </c>
      <c r="J832" s="97">
        <f t="shared" si="12"/>
        <v>-4.8000000000000004E-3</v>
      </c>
    </row>
    <row r="833" spans="2:10">
      <c r="B833" s="84">
        <v>44557</v>
      </c>
      <c r="C833" s="82">
        <v>239.81</v>
      </c>
      <c r="D833" s="83">
        <v>237.59</v>
      </c>
      <c r="E833" s="83">
        <v>240.02</v>
      </c>
      <c r="F833" s="83">
        <v>225.56</v>
      </c>
      <c r="G833" s="83">
        <v>78518</v>
      </c>
      <c r="H833" s="85">
        <v>4.7000000000000002E-3</v>
      </c>
      <c r="I833" s="97">
        <v>4.8999999999999998E-3</v>
      </c>
      <c r="J833" s="97">
        <f t="shared" si="12"/>
        <v>-1.9999999999999966E-4</v>
      </c>
    </row>
    <row r="834" spans="2:10">
      <c r="B834" s="84">
        <v>44554</v>
      </c>
      <c r="C834" s="82">
        <v>238.68</v>
      </c>
      <c r="D834" s="83">
        <v>239.97</v>
      </c>
      <c r="E834" s="83">
        <v>242.4</v>
      </c>
      <c r="F834" s="83">
        <v>236.6</v>
      </c>
      <c r="G834" s="83">
        <v>82756</v>
      </c>
      <c r="H834" s="85">
        <v>-8.0000000000000004E-4</v>
      </c>
      <c r="I834" s="97">
        <v>-4.0000000000000001E-3</v>
      </c>
      <c r="J834" s="97">
        <f t="shared" si="12"/>
        <v>3.2000000000000002E-3</v>
      </c>
    </row>
    <row r="835" spans="2:10">
      <c r="B835" s="84">
        <v>44553</v>
      </c>
      <c r="C835" s="82">
        <v>238.87</v>
      </c>
      <c r="D835" s="83">
        <v>244.8</v>
      </c>
      <c r="E835" s="83">
        <v>245.4</v>
      </c>
      <c r="F835" s="83">
        <v>236.1</v>
      </c>
      <c r="G835" s="83">
        <v>48996</v>
      </c>
      <c r="H835" s="85">
        <v>-2.23E-2</v>
      </c>
      <c r="I835" s="97">
        <v>6.8999999999999999E-3</v>
      </c>
      <c r="J835" s="97">
        <f t="shared" si="12"/>
        <v>-2.92E-2</v>
      </c>
    </row>
    <row r="836" spans="2:10">
      <c r="B836" s="84">
        <v>44552</v>
      </c>
      <c r="C836" s="82">
        <v>244.33</v>
      </c>
      <c r="D836" s="83">
        <v>239.8</v>
      </c>
      <c r="E836" s="83">
        <v>245.24</v>
      </c>
      <c r="F836" s="83">
        <v>239.03</v>
      </c>
      <c r="G836" s="83">
        <v>161180</v>
      </c>
      <c r="H836" s="85">
        <v>2.29E-2</v>
      </c>
      <c r="I836" s="97">
        <v>1.0999999999999999E-2</v>
      </c>
      <c r="J836" s="97">
        <f t="shared" si="12"/>
        <v>1.1900000000000001E-2</v>
      </c>
    </row>
    <row r="837" spans="2:10">
      <c r="B837" s="84">
        <v>44551</v>
      </c>
      <c r="C837" s="82">
        <v>238.85</v>
      </c>
      <c r="D837" s="83">
        <v>238.6</v>
      </c>
      <c r="E837" s="83">
        <v>242.33</v>
      </c>
      <c r="F837" s="83">
        <v>236.68</v>
      </c>
      <c r="G837" s="83">
        <v>268471</v>
      </c>
      <c r="H837" s="85">
        <v>-1.9E-3</v>
      </c>
      <c r="I837" s="97">
        <v>9.4000000000000004E-3</v>
      </c>
      <c r="J837" s="97">
        <f t="shared" si="12"/>
        <v>-1.1300000000000001E-2</v>
      </c>
    </row>
    <row r="838" spans="2:10">
      <c r="B838" s="84">
        <v>44550</v>
      </c>
      <c r="C838" s="82">
        <v>239.31</v>
      </c>
      <c r="D838" s="83">
        <v>238.2</v>
      </c>
      <c r="E838" s="83">
        <v>242.63</v>
      </c>
      <c r="F838" s="83">
        <v>234.96</v>
      </c>
      <c r="G838" s="83">
        <v>204284</v>
      </c>
      <c r="H838" s="85">
        <v>-2.2100000000000002E-2</v>
      </c>
      <c r="I838" s="97">
        <v>-2.18E-2</v>
      </c>
      <c r="J838" s="97">
        <f t="shared" si="12"/>
        <v>-3.0000000000000165E-4</v>
      </c>
    </row>
    <row r="839" spans="2:10">
      <c r="B839" s="84">
        <v>44547</v>
      </c>
      <c r="C839" s="82">
        <v>244.72</v>
      </c>
      <c r="D839" s="83">
        <v>239.2</v>
      </c>
      <c r="E839" s="83">
        <v>252.99</v>
      </c>
      <c r="F839" s="83">
        <v>238.41</v>
      </c>
      <c r="G839" s="83">
        <v>570590</v>
      </c>
      <c r="H839" s="85">
        <v>1.2800000000000001E-2</v>
      </c>
      <c r="I839" s="97">
        <v>-1.5299999999999999E-2</v>
      </c>
      <c r="J839" s="97">
        <f t="shared" si="12"/>
        <v>2.81E-2</v>
      </c>
    </row>
    <row r="840" spans="2:10">
      <c r="B840" s="84">
        <v>44546</v>
      </c>
      <c r="C840" s="82">
        <v>241.63</v>
      </c>
      <c r="D840" s="83">
        <v>231</v>
      </c>
      <c r="E840" s="83">
        <v>243.7</v>
      </c>
      <c r="F840" s="83">
        <v>231</v>
      </c>
      <c r="G840" s="83">
        <v>441033</v>
      </c>
      <c r="H840" s="85">
        <v>1.7000000000000001E-2</v>
      </c>
      <c r="I840" s="97">
        <v>1.6000000000000001E-3</v>
      </c>
      <c r="J840" s="97">
        <f t="shared" si="12"/>
        <v>1.54E-2</v>
      </c>
    </row>
    <row r="841" spans="2:10">
      <c r="B841" s="84">
        <v>44545</v>
      </c>
      <c r="C841" s="82">
        <v>237.6</v>
      </c>
      <c r="D841" s="83">
        <v>244.06</v>
      </c>
      <c r="E841" s="83">
        <v>246.82</v>
      </c>
      <c r="F841" s="83">
        <v>235.22</v>
      </c>
      <c r="G841" s="83">
        <v>289627</v>
      </c>
      <c r="H841" s="85">
        <v>-3.3399999999999999E-2</v>
      </c>
      <c r="I841" s="97">
        <v>-6.0000000000000001E-3</v>
      </c>
      <c r="J841" s="97">
        <f t="shared" si="12"/>
        <v>-2.7400000000000001E-2</v>
      </c>
    </row>
    <row r="842" spans="2:10">
      <c r="B842" s="84">
        <v>44544</v>
      </c>
      <c r="C842" s="82">
        <v>245.82</v>
      </c>
      <c r="D842" s="83">
        <v>237.6</v>
      </c>
      <c r="E842" s="83">
        <v>247.78</v>
      </c>
      <c r="F842" s="83">
        <v>237.6</v>
      </c>
      <c r="G842" s="83">
        <v>330890</v>
      </c>
      <c r="H842" s="85">
        <v>1.6400000000000001E-2</v>
      </c>
      <c r="I842" s="97">
        <v>-2.5000000000000001E-3</v>
      </c>
      <c r="J842" s="97">
        <f t="shared" ref="J842:J858" si="13">H842-I842</f>
        <v>1.89E-2</v>
      </c>
    </row>
    <row r="843" spans="2:10">
      <c r="B843" s="84">
        <v>44543</v>
      </c>
      <c r="C843" s="82">
        <v>241.86</v>
      </c>
      <c r="D843" s="83">
        <v>242.56</v>
      </c>
      <c r="E843" s="83">
        <v>243.8</v>
      </c>
      <c r="F843" s="83">
        <v>239.16</v>
      </c>
      <c r="G843" s="83">
        <v>216130</v>
      </c>
      <c r="H843" s="85">
        <v>1.4E-3</v>
      </c>
      <c r="I843" s="97">
        <v>-8.2000000000000007E-3</v>
      </c>
      <c r="J843" s="97">
        <f t="shared" si="13"/>
        <v>9.6000000000000009E-3</v>
      </c>
    </row>
    <row r="844" spans="2:10">
      <c r="B844" s="84">
        <v>44540</v>
      </c>
      <c r="C844" s="82">
        <v>241.53</v>
      </c>
      <c r="D844" s="83">
        <v>236.2</v>
      </c>
      <c r="E844" s="83">
        <v>242.93</v>
      </c>
      <c r="F844" s="83">
        <v>232.77</v>
      </c>
      <c r="G844" s="83">
        <v>227727</v>
      </c>
      <c r="H844" s="85">
        <v>2.2200000000000001E-2</v>
      </c>
      <c r="I844" s="97">
        <v>-2.9999999999999997E-4</v>
      </c>
      <c r="J844" s="97">
        <f t="shared" si="13"/>
        <v>2.2500000000000003E-2</v>
      </c>
    </row>
    <row r="845" spans="2:10">
      <c r="B845" s="84">
        <v>44539</v>
      </c>
      <c r="C845" s="82">
        <v>236.29</v>
      </c>
      <c r="D845" s="83">
        <v>233</v>
      </c>
      <c r="E845" s="83">
        <v>244.39</v>
      </c>
      <c r="F845" s="83">
        <v>231.04</v>
      </c>
      <c r="G845" s="83">
        <v>438312</v>
      </c>
      <c r="H845" s="85">
        <v>2.2100000000000002E-2</v>
      </c>
      <c r="I845" s="97">
        <v>2.7000000000000001E-3</v>
      </c>
      <c r="J845" s="97">
        <f t="shared" si="13"/>
        <v>1.9400000000000001E-2</v>
      </c>
    </row>
    <row r="846" spans="2:10">
      <c r="B846" s="84">
        <v>44538</v>
      </c>
      <c r="C846" s="82">
        <v>231.19</v>
      </c>
      <c r="D846" s="83">
        <v>226</v>
      </c>
      <c r="E846" s="83">
        <v>234.6</v>
      </c>
      <c r="F846" s="83">
        <v>224.91</v>
      </c>
      <c r="G846" s="83">
        <v>392204</v>
      </c>
      <c r="H846" s="85">
        <v>2.81E-2</v>
      </c>
      <c r="I846" s="97">
        <v>1.7100000000000001E-2</v>
      </c>
      <c r="J846" s="97">
        <f t="shared" si="13"/>
        <v>1.0999999999999999E-2</v>
      </c>
    </row>
    <row r="847" spans="2:10">
      <c r="B847" s="84">
        <v>44537</v>
      </c>
      <c r="C847" s="82">
        <v>224.88</v>
      </c>
      <c r="D847" s="83">
        <v>212.8</v>
      </c>
      <c r="E847" s="83">
        <v>230.8</v>
      </c>
      <c r="F847" s="83">
        <v>211</v>
      </c>
      <c r="G847" s="83">
        <v>526591</v>
      </c>
      <c r="H847" s="85">
        <v>6.0400000000000002E-2</v>
      </c>
      <c r="I847" s="97">
        <v>1.5599999999999999E-2</v>
      </c>
      <c r="J847" s="97">
        <f t="shared" si="13"/>
        <v>4.4800000000000006E-2</v>
      </c>
    </row>
    <row r="848" spans="2:10">
      <c r="B848" s="84">
        <v>44536</v>
      </c>
      <c r="C848" s="82">
        <v>212.07</v>
      </c>
      <c r="D848" s="83">
        <v>214.8</v>
      </c>
      <c r="E848" s="83">
        <v>219.85</v>
      </c>
      <c r="F848" s="83">
        <v>208.83</v>
      </c>
      <c r="G848" s="83">
        <v>210562</v>
      </c>
      <c r="H848" s="85">
        <v>-1.0500000000000001E-2</v>
      </c>
      <c r="I848" s="97">
        <v>-1.6500000000000001E-2</v>
      </c>
      <c r="J848" s="97">
        <f t="shared" si="13"/>
        <v>6.0000000000000001E-3</v>
      </c>
    </row>
    <row r="849" spans="2:11">
      <c r="B849" s="84">
        <v>44533</v>
      </c>
      <c r="C849" s="82">
        <v>214.32</v>
      </c>
      <c r="D849" s="83">
        <v>213.2</v>
      </c>
      <c r="E849" s="83">
        <v>218.7</v>
      </c>
      <c r="F849" s="83">
        <v>210.23</v>
      </c>
      <c r="G849" s="83">
        <v>204894</v>
      </c>
      <c r="H849" s="85">
        <v>5.4000000000000003E-3</v>
      </c>
      <c r="I849" s="97">
        <v>-1.18E-2</v>
      </c>
      <c r="J849" s="97">
        <f t="shared" si="13"/>
        <v>1.72E-2</v>
      </c>
    </row>
    <row r="850" spans="2:11">
      <c r="B850" s="84">
        <v>44532</v>
      </c>
      <c r="C850" s="82">
        <v>213.16</v>
      </c>
      <c r="D850" s="83">
        <v>210</v>
      </c>
      <c r="E850" s="83">
        <v>215.8</v>
      </c>
      <c r="F850" s="83">
        <v>203.77</v>
      </c>
      <c r="G850" s="83">
        <v>261773</v>
      </c>
      <c r="H850" s="85">
        <v>3.0700000000000002E-2</v>
      </c>
      <c r="I850" s="97">
        <v>1.37E-2</v>
      </c>
      <c r="J850" s="97">
        <f t="shared" si="13"/>
        <v>1.7000000000000001E-2</v>
      </c>
    </row>
    <row r="851" spans="2:11">
      <c r="B851" s="84">
        <v>44531</v>
      </c>
      <c r="C851" s="82">
        <v>206.81</v>
      </c>
      <c r="D851" s="83">
        <v>209.56</v>
      </c>
      <c r="E851" s="83">
        <v>209.8</v>
      </c>
      <c r="F851" s="83">
        <v>200.02</v>
      </c>
      <c r="G851" s="83">
        <v>241286</v>
      </c>
      <c r="H851" s="85">
        <v>1.34E-2</v>
      </c>
      <c r="I851" s="97">
        <v>1.0800000000000001E-2</v>
      </c>
      <c r="J851" s="97">
        <f t="shared" si="13"/>
        <v>2.5999999999999999E-3</v>
      </c>
    </row>
    <row r="852" spans="2:11">
      <c r="B852" s="84">
        <v>44530</v>
      </c>
      <c r="C852" s="82">
        <v>204.07</v>
      </c>
      <c r="D852" s="83">
        <v>200</v>
      </c>
      <c r="E852" s="83">
        <v>207.54</v>
      </c>
      <c r="F852" s="83">
        <v>194.89</v>
      </c>
      <c r="G852" s="83">
        <v>832706</v>
      </c>
      <c r="H852" s="85">
        <v>2.81E-2</v>
      </c>
      <c r="I852" s="97">
        <v>-4.1000000000000003E-3</v>
      </c>
      <c r="J852" s="97">
        <f t="shared" si="13"/>
        <v>3.2199999999999999E-2</v>
      </c>
    </row>
    <row r="853" spans="2:11">
      <c r="B853" s="84">
        <v>44529</v>
      </c>
      <c r="C853" s="82">
        <v>198.49</v>
      </c>
      <c r="D853" s="83">
        <v>221</v>
      </c>
      <c r="E853" s="83">
        <v>221.3</v>
      </c>
      <c r="F853" s="83">
        <v>196</v>
      </c>
      <c r="G853" s="83">
        <v>710570</v>
      </c>
      <c r="H853" s="85">
        <v>-0.10879999999999999</v>
      </c>
      <c r="I853" s="97">
        <v>1.6000000000000001E-3</v>
      </c>
      <c r="J853" s="97">
        <f t="shared" si="13"/>
        <v>-0.1104</v>
      </c>
      <c r="K853" s="87"/>
    </row>
    <row r="854" spans="2:11">
      <c r="B854" s="84">
        <v>44526</v>
      </c>
      <c r="C854" s="82">
        <v>222.71</v>
      </c>
      <c r="D854" s="83">
        <v>236.8</v>
      </c>
      <c r="E854" s="83">
        <v>236.8</v>
      </c>
      <c r="F854" s="83">
        <v>221.33</v>
      </c>
      <c r="G854" s="83">
        <v>436050</v>
      </c>
      <c r="H854" s="85">
        <v>-6.7199999999999996E-2</v>
      </c>
      <c r="I854" s="97">
        <v>-2.9100000000000001E-2</v>
      </c>
      <c r="J854" s="97">
        <f t="shared" si="13"/>
        <v>-3.8099999999999995E-2</v>
      </c>
    </row>
    <row r="855" spans="2:11">
      <c r="B855" s="84">
        <v>44525</v>
      </c>
      <c r="C855" s="82">
        <v>238.76</v>
      </c>
      <c r="D855" s="83">
        <v>234.4</v>
      </c>
      <c r="E855" s="83">
        <v>245.4</v>
      </c>
      <c r="F855" s="83">
        <v>233.37</v>
      </c>
      <c r="G855" s="83">
        <v>602130</v>
      </c>
      <c r="H855" s="85">
        <v>2.92E-2</v>
      </c>
      <c r="I855" s="97">
        <v>7.0000000000000001E-3</v>
      </c>
      <c r="J855" s="97">
        <f t="shared" si="13"/>
        <v>2.2200000000000001E-2</v>
      </c>
    </row>
    <row r="856" spans="2:11">
      <c r="B856" s="84">
        <v>44524</v>
      </c>
      <c r="C856" s="82">
        <v>231.99</v>
      </c>
      <c r="D856" s="83">
        <v>230.74</v>
      </c>
      <c r="E856" s="83">
        <v>243.54</v>
      </c>
      <c r="F856" s="83">
        <v>228.68</v>
      </c>
      <c r="G856" s="83">
        <v>1024040</v>
      </c>
      <c r="H856" s="85">
        <v>9.5999999999999992E-3</v>
      </c>
      <c r="I856" s="97">
        <v>-5.0000000000000001E-3</v>
      </c>
      <c r="J856" s="97">
        <f t="shared" si="13"/>
        <v>1.4599999999999998E-2</v>
      </c>
    </row>
    <row r="857" spans="2:11">
      <c r="B857" s="84">
        <v>44523</v>
      </c>
      <c r="C857" s="82">
        <v>229.79</v>
      </c>
      <c r="D857" s="83">
        <v>233</v>
      </c>
      <c r="E857" s="83">
        <v>238.8</v>
      </c>
      <c r="F857" s="83">
        <v>225.61</v>
      </c>
      <c r="G857" s="83">
        <v>578700</v>
      </c>
      <c r="H857" s="85">
        <v>-1.9699999999999999E-2</v>
      </c>
      <c r="I857" s="97">
        <v>5.0000000000000001E-3</v>
      </c>
      <c r="J857" s="97">
        <f t="shared" si="13"/>
        <v>-2.47E-2</v>
      </c>
    </row>
    <row r="858" spans="2:11">
      <c r="B858" s="84">
        <v>44522</v>
      </c>
      <c r="C858" s="82">
        <v>234.41</v>
      </c>
      <c r="D858" s="83">
        <v>245</v>
      </c>
      <c r="E858" s="83">
        <v>251.6</v>
      </c>
      <c r="F858" s="83">
        <v>209.13</v>
      </c>
      <c r="G858" s="83">
        <v>3373458</v>
      </c>
      <c r="H858" s="85">
        <v>-3.2599999999999997E-2</v>
      </c>
      <c r="I858" s="97">
        <v>-1.9599999999999999E-2</v>
      </c>
      <c r="J858" s="97">
        <f t="shared" si="13"/>
        <v>-1.2999999999999998E-2</v>
      </c>
    </row>
  </sheetData>
  <mergeCells count="1">
    <mergeCell ref="C5:H5"/>
  </mergeCells>
  <hyperlinks>
    <hyperlink ref="N8" r:id="rId1" display="Positive market sentiment towards QSR stocks; Sapphire Foods featured in an article highlighting potential upside. (Economic Times)" xr:uid="{B6C26191-0C84-4684-A791-6FFB88FFC301}"/>
    <hyperlink ref="N9" r:id="rId2" display="Market-wide volatility due to Union Budget 2025 announcements; Nifty closed lower amidst high volatility. (Economic Times)" xr:uid="{48F96A1C-9662-4474-A379-46659B3BDD07}"/>
    <hyperlink ref="N10" r:id="rId3" display="Stock declined 6.32% following the release of Q2 results showing a loss of ₹3.04 crore. (MarketsMojo)" xr:uid="{A70D4EF9-09D9-4A41-A946-8EA33D90331A}"/>
    <hyperlink ref="N11" r:id="rId4" display="Stock surged 9.98% after Q2 results announcement; despite a loss, revenue increased by 8.26% YoY. (MarketsMojo)" xr:uid="{97B6ABA4-FD6A-4AD9-8CE1-431191F65A59}"/>
    <hyperlink ref="N12" r:id="rId5" display="Stock hit an all-time high with a 13.6% intraday gain after multiple block deals; no specific news identified. (Business Standard)" xr:uid="{59EE1790-9D7D-49A6-AFB2-2C57A7B0F2C1}"/>
    <hyperlink ref="N15" r:id="rId6" display="Stock gained 5.22%, outperforming sector and Sensex. (MarketsMojo)" xr:uid="{575F1BE8-84E2-40BB-8A13-2B01C92F3DE1}"/>
    <hyperlink ref="N16" r:id="rId7" display="Stock declined 9% as management anticipated continued sales and margin pressures. (Business Standard)" xr:uid="{43CCABE1-28E9-4A69-BBC5-701E704433FD}"/>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8E5719-19E2-4426-A97C-BE741FD8641F}">
  <dimension ref="B3:E22"/>
  <sheetViews>
    <sheetView topLeftCell="A22" workbookViewId="0">
      <selection activeCell="B36" sqref="B36"/>
    </sheetView>
  </sheetViews>
  <sheetFormatPr defaultRowHeight="15"/>
  <cols>
    <col min="2" max="2" width="17.7109375" customWidth="1"/>
    <col min="3" max="3" width="15.5703125" customWidth="1"/>
    <col min="4" max="4" width="19" customWidth="1"/>
    <col min="5" max="5" width="19.5703125" customWidth="1"/>
  </cols>
  <sheetData>
    <row r="3" spans="2:5" ht="18.75">
      <c r="B3" s="79" t="s">
        <v>24</v>
      </c>
      <c r="C3" s="79"/>
    </row>
    <row r="4" spans="2:5" ht="27.75" customHeight="1">
      <c r="B4" s="64" t="s">
        <v>25</v>
      </c>
      <c r="C4" s="65" t="s">
        <v>26</v>
      </c>
      <c r="D4" s="65" t="s">
        <v>27</v>
      </c>
      <c r="E4" s="66" t="s">
        <v>28</v>
      </c>
    </row>
    <row r="5" spans="2:5" ht="18.75">
      <c r="B5" s="67" t="s">
        <v>29</v>
      </c>
      <c r="C5" s="62">
        <v>1.0864940000000001</v>
      </c>
      <c r="D5" s="62">
        <v>1.3660350000000001</v>
      </c>
      <c r="E5" s="68">
        <v>3.2543980000000001</v>
      </c>
    </row>
    <row r="6" spans="2:5" ht="18.75">
      <c r="B6" s="67" t="s">
        <v>30</v>
      </c>
      <c r="C6" s="62">
        <v>0.73098300000000005</v>
      </c>
      <c r="D6" s="62">
        <v>1.1092569999999999</v>
      </c>
      <c r="E6" s="68">
        <v>0.518648</v>
      </c>
    </row>
    <row r="7" spans="2:5" ht="18.75">
      <c r="B7" s="67" t="s">
        <v>31</v>
      </c>
      <c r="C7" s="62">
        <v>0.395366</v>
      </c>
      <c r="D7" s="62">
        <v>0.710781</v>
      </c>
      <c r="E7" s="68">
        <v>0.58238400000000001</v>
      </c>
    </row>
    <row r="8" spans="2:5" ht="18.75">
      <c r="B8" s="67" t="s">
        <v>32</v>
      </c>
      <c r="C8" s="62">
        <v>0.44456899999999999</v>
      </c>
      <c r="D8" s="62">
        <v>0.99302199999999996</v>
      </c>
      <c r="E8" s="68">
        <v>0.39503899999999997</v>
      </c>
    </row>
    <row r="9" spans="2:5" ht="18.75">
      <c r="B9" s="69" t="s">
        <v>33</v>
      </c>
      <c r="C9" s="70">
        <f>AVERAGE(C5:C8)</f>
        <v>0.66435300000000008</v>
      </c>
      <c r="D9" s="71">
        <f t="shared" ref="D9:E9" si="0">AVERAGE(D5:D8)</f>
        <v>1.0447737500000001</v>
      </c>
      <c r="E9" s="72">
        <f t="shared" si="0"/>
        <v>1.18761725</v>
      </c>
    </row>
    <row r="17" spans="2:5" ht="6.75" customHeight="1"/>
    <row r="18" spans="2:5" ht="18" customHeight="1">
      <c r="B18" s="80" t="s">
        <v>34</v>
      </c>
      <c r="C18" s="81"/>
      <c r="D18" s="78"/>
    </row>
    <row r="19" spans="2:5" ht="18.75">
      <c r="B19" s="73" t="s">
        <v>25</v>
      </c>
      <c r="C19" s="74" t="s">
        <v>26</v>
      </c>
      <c r="D19" s="74" t="s">
        <v>27</v>
      </c>
      <c r="E19" s="75" t="s">
        <v>28</v>
      </c>
    </row>
    <row r="20" spans="2:5" ht="18.75">
      <c r="B20" s="76" t="s">
        <v>35</v>
      </c>
      <c r="C20" s="63">
        <v>0.96965900000000005</v>
      </c>
      <c r="D20" s="63">
        <v>1.4799469999999999</v>
      </c>
      <c r="E20" s="77">
        <v>1.5202610000000001</v>
      </c>
    </row>
    <row r="21" spans="2:5" ht="18.75">
      <c r="B21" s="76" t="s">
        <v>36</v>
      </c>
      <c r="C21" s="63">
        <v>0.44822299999999998</v>
      </c>
      <c r="D21" s="63">
        <v>0.76811200000000002</v>
      </c>
      <c r="E21" s="77">
        <v>0.43353799999999998</v>
      </c>
    </row>
    <row r="22" spans="2:5" ht="18.75">
      <c r="B22" s="69" t="s">
        <v>33</v>
      </c>
      <c r="C22" s="70">
        <f>AVERAGE(C20:C21)</f>
        <v>0.70894100000000004</v>
      </c>
      <c r="D22" s="71">
        <f t="shared" ref="D22:E22" si="1">AVERAGE(D20:D21)</f>
        <v>1.1240295</v>
      </c>
      <c r="E22" s="72">
        <f t="shared" si="1"/>
        <v>0.97689950000000003</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3F79BB-1132-44C1-81F6-13110439D696}">
  <dimension ref="A1:P24"/>
  <sheetViews>
    <sheetView workbookViewId="0">
      <selection activeCell="K9" sqref="K9:K11"/>
    </sheetView>
  </sheetViews>
  <sheetFormatPr defaultRowHeight="15"/>
  <cols>
    <col min="6" max="6" width="10.7109375" style="91" bestFit="1" customWidth="1"/>
    <col min="11" max="11" width="9.28515625" style="91" bestFit="1" customWidth="1"/>
  </cols>
  <sheetData>
    <row r="1" spans="1:11" ht="18.75">
      <c r="E1" s="106" t="s">
        <v>37</v>
      </c>
      <c r="F1" s="106"/>
      <c r="G1" s="106"/>
      <c r="H1" s="106"/>
      <c r="I1" s="106"/>
    </row>
    <row r="3" spans="1:11">
      <c r="A3" t="s">
        <v>38</v>
      </c>
    </row>
    <row r="5" spans="1:11">
      <c r="C5" s="107" t="s">
        <v>39</v>
      </c>
      <c r="D5" s="108"/>
      <c r="E5" s="108"/>
      <c r="F5" s="109"/>
      <c r="H5" s="107" t="s">
        <v>40</v>
      </c>
      <c r="I5" s="108"/>
      <c r="J5" s="108"/>
      <c r="K5" s="109"/>
    </row>
    <row r="6" spans="1:11">
      <c r="C6" s="90"/>
    </row>
    <row r="7" spans="1:11">
      <c r="C7" t="s">
        <v>41</v>
      </c>
      <c r="F7" s="91">
        <v>1</v>
      </c>
      <c r="H7" t="s">
        <v>42</v>
      </c>
      <c r="K7" s="91">
        <v>64</v>
      </c>
    </row>
    <row r="8" spans="1:11">
      <c r="C8" t="s">
        <v>43</v>
      </c>
      <c r="F8" s="91">
        <v>609</v>
      </c>
      <c r="H8" t="s">
        <v>44</v>
      </c>
      <c r="K8" s="91">
        <v>1275</v>
      </c>
    </row>
    <row r="9" spans="1:11">
      <c r="C9" t="s">
        <v>45</v>
      </c>
      <c r="F9" s="91">
        <v>641</v>
      </c>
      <c r="H9" t="s">
        <v>46</v>
      </c>
      <c r="K9" s="91">
        <v>13</v>
      </c>
    </row>
    <row r="10" spans="1:11">
      <c r="C10" t="s">
        <v>47</v>
      </c>
      <c r="F10" s="91">
        <v>41</v>
      </c>
      <c r="H10" t="s">
        <v>48</v>
      </c>
      <c r="K10" s="91">
        <v>14</v>
      </c>
    </row>
    <row r="11" spans="1:11">
      <c r="C11" t="s">
        <v>49</v>
      </c>
      <c r="F11" s="91">
        <v>111</v>
      </c>
      <c r="H11" t="s">
        <v>50</v>
      </c>
      <c r="K11" s="91">
        <v>1137</v>
      </c>
    </row>
    <row r="12" spans="1:11">
      <c r="C12" t="s">
        <v>51</v>
      </c>
      <c r="F12" s="91">
        <v>52</v>
      </c>
      <c r="H12" t="s">
        <v>52</v>
      </c>
      <c r="K12" s="91">
        <v>0</v>
      </c>
    </row>
    <row r="13" spans="1:11">
      <c r="C13" t="s">
        <v>53</v>
      </c>
      <c r="F13" s="91">
        <v>8</v>
      </c>
      <c r="H13" t="s">
        <v>54</v>
      </c>
      <c r="K13" s="91">
        <v>1</v>
      </c>
    </row>
    <row r="14" spans="1:11">
      <c r="C14" t="s">
        <v>55</v>
      </c>
      <c r="F14" s="91">
        <v>283</v>
      </c>
      <c r="H14" t="s">
        <v>56</v>
      </c>
      <c r="K14" s="91">
        <v>231</v>
      </c>
    </row>
    <row r="15" spans="1:11">
      <c r="C15" t="s">
        <v>57</v>
      </c>
      <c r="F15" s="91">
        <v>1290</v>
      </c>
      <c r="H15" t="s">
        <v>58</v>
      </c>
      <c r="K15" s="91">
        <v>7</v>
      </c>
    </row>
    <row r="16" spans="1:11">
      <c r="C16" s="61" t="s">
        <v>59</v>
      </c>
      <c r="D16" s="61"/>
      <c r="E16" s="61"/>
      <c r="F16" s="92">
        <v>-858</v>
      </c>
      <c r="H16" t="s">
        <v>60</v>
      </c>
      <c r="K16" s="91">
        <v>95</v>
      </c>
    </row>
    <row r="17" spans="3:16">
      <c r="C17" t="s">
        <v>61</v>
      </c>
      <c r="F17" s="91">
        <v>68</v>
      </c>
      <c r="H17" s="93" t="s">
        <v>62</v>
      </c>
      <c r="I17" s="93"/>
      <c r="J17" s="93"/>
      <c r="K17" s="94">
        <f>SUM(K7:K16)</f>
        <v>2837</v>
      </c>
      <c r="N17" t="s">
        <v>63</v>
      </c>
      <c r="P17" s="91">
        <f>F24-K17</f>
        <v>0</v>
      </c>
    </row>
    <row r="18" spans="3:16">
      <c r="C18" t="s">
        <v>64</v>
      </c>
      <c r="F18" s="91">
        <v>0</v>
      </c>
    </row>
    <row r="19" spans="3:16">
      <c r="C19" t="s">
        <v>65</v>
      </c>
      <c r="F19" s="91">
        <v>97</v>
      </c>
    </row>
    <row r="20" spans="3:16">
      <c r="C20" t="s">
        <v>66</v>
      </c>
      <c r="F20" s="91">
        <v>34</v>
      </c>
    </row>
    <row r="21" spans="3:16">
      <c r="C21" t="s">
        <v>67</v>
      </c>
      <c r="F21" s="91">
        <v>168</v>
      </c>
    </row>
    <row r="22" spans="3:16">
      <c r="C22" t="s">
        <v>68</v>
      </c>
      <c r="F22" s="91">
        <v>17</v>
      </c>
    </row>
    <row r="23" spans="3:16">
      <c r="C23" s="61" t="s">
        <v>69</v>
      </c>
      <c r="D23" s="61"/>
      <c r="E23" s="61"/>
      <c r="F23" s="92">
        <v>275</v>
      </c>
    </row>
    <row r="24" spans="3:16">
      <c r="C24" s="93" t="s">
        <v>70</v>
      </c>
      <c r="D24" s="93"/>
      <c r="E24" s="93"/>
      <c r="F24" s="94">
        <f>SUM(F7:F23)</f>
        <v>2837</v>
      </c>
    </row>
  </sheetData>
  <mergeCells count="3">
    <mergeCell ref="E1:I1"/>
    <mergeCell ref="C5:F5"/>
    <mergeCell ref="H5:K5"/>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7D83AD-AFAC-46B7-B92C-40A3C12C01C5}">
  <dimension ref="A1:P24"/>
  <sheetViews>
    <sheetView workbookViewId="0">
      <selection activeCell="K9" sqref="K9:K11"/>
    </sheetView>
  </sheetViews>
  <sheetFormatPr defaultRowHeight="15"/>
  <cols>
    <col min="6" max="6" width="10.7109375" style="91" bestFit="1" customWidth="1"/>
    <col min="11" max="11" width="9.28515625" style="91" bestFit="1" customWidth="1"/>
  </cols>
  <sheetData>
    <row r="1" spans="1:11" ht="18.75">
      <c r="E1" s="106" t="s">
        <v>71</v>
      </c>
      <c r="F1" s="106"/>
      <c r="G1" s="106"/>
      <c r="H1" s="106"/>
      <c r="I1" s="106"/>
    </row>
    <row r="3" spans="1:11">
      <c r="A3" t="s">
        <v>38</v>
      </c>
    </row>
    <row r="5" spans="1:11">
      <c r="C5" s="107" t="s">
        <v>39</v>
      </c>
      <c r="D5" s="108"/>
      <c r="E5" s="108"/>
      <c r="F5" s="109"/>
      <c r="H5" s="107" t="s">
        <v>40</v>
      </c>
      <c r="I5" s="108"/>
      <c r="J5" s="108"/>
      <c r="K5" s="109"/>
    </row>
    <row r="6" spans="1:11">
      <c r="C6" s="90"/>
    </row>
    <row r="7" spans="1:11">
      <c r="C7" t="s">
        <v>41</v>
      </c>
      <c r="F7" s="91">
        <v>1</v>
      </c>
      <c r="H7" t="s">
        <v>42</v>
      </c>
      <c r="K7" s="91">
        <v>64</v>
      </c>
    </row>
    <row r="8" spans="1:11">
      <c r="C8" t="s">
        <v>43</v>
      </c>
      <c r="F8" s="91">
        <v>553</v>
      </c>
      <c r="H8" t="s">
        <v>44</v>
      </c>
      <c r="K8" s="91">
        <v>1193</v>
      </c>
    </row>
    <row r="9" spans="1:11">
      <c r="C9" t="s">
        <v>45</v>
      </c>
      <c r="F9" s="91">
        <v>493</v>
      </c>
      <c r="H9" t="s">
        <v>46</v>
      </c>
      <c r="K9" s="91">
        <v>21</v>
      </c>
    </row>
    <row r="10" spans="1:11">
      <c r="C10" t="s">
        <v>47</v>
      </c>
      <c r="F10" s="91">
        <v>33</v>
      </c>
      <c r="H10" t="s">
        <v>48</v>
      </c>
      <c r="K10" s="91">
        <v>23</v>
      </c>
    </row>
    <row r="11" spans="1:11">
      <c r="C11" t="s">
        <v>49</v>
      </c>
      <c r="F11" s="91">
        <v>84</v>
      </c>
      <c r="H11" t="s">
        <v>50</v>
      </c>
      <c r="K11" s="91">
        <v>918</v>
      </c>
    </row>
    <row r="12" spans="1:11">
      <c r="C12" t="s">
        <v>51</v>
      </c>
      <c r="F12" s="91">
        <v>42</v>
      </c>
      <c r="H12" t="s">
        <v>52</v>
      </c>
      <c r="K12" s="91">
        <v>0</v>
      </c>
    </row>
    <row r="13" spans="1:11">
      <c r="C13" t="s">
        <v>53</v>
      </c>
      <c r="F13" s="91">
        <v>8</v>
      </c>
      <c r="H13" t="s">
        <v>54</v>
      </c>
      <c r="K13" s="91">
        <v>-2</v>
      </c>
    </row>
    <row r="14" spans="1:11">
      <c r="C14" t="s">
        <v>55</v>
      </c>
      <c r="F14" s="91">
        <v>277</v>
      </c>
      <c r="H14" t="s">
        <v>56</v>
      </c>
      <c r="K14" s="91">
        <v>217</v>
      </c>
    </row>
    <row r="15" spans="1:11">
      <c r="C15" t="s">
        <v>57</v>
      </c>
      <c r="F15" s="91">
        <v>1064</v>
      </c>
      <c r="H15" t="s">
        <v>58</v>
      </c>
      <c r="K15" s="91">
        <v>0</v>
      </c>
    </row>
    <row r="16" spans="1:11">
      <c r="C16" s="61" t="s">
        <v>59</v>
      </c>
      <c r="D16" s="61"/>
      <c r="E16" s="61"/>
      <c r="F16" s="92">
        <v>-765</v>
      </c>
      <c r="H16" t="s">
        <v>60</v>
      </c>
      <c r="K16" s="91">
        <v>157</v>
      </c>
    </row>
    <row r="17" spans="3:16">
      <c r="C17" t="s">
        <v>61</v>
      </c>
      <c r="F17" s="91">
        <v>56</v>
      </c>
      <c r="H17" s="93" t="s">
        <v>62</v>
      </c>
      <c r="I17" s="93"/>
      <c r="J17" s="93"/>
      <c r="K17" s="94">
        <f>SUM(K7:K16)</f>
        <v>2591</v>
      </c>
      <c r="N17" t="s">
        <v>63</v>
      </c>
      <c r="P17" s="91">
        <f>F24-K17</f>
        <v>0</v>
      </c>
    </row>
    <row r="18" spans="3:16">
      <c r="C18" t="s">
        <v>64</v>
      </c>
      <c r="F18" s="91">
        <v>66</v>
      </c>
    </row>
    <row r="19" spans="3:16">
      <c r="C19" t="s">
        <v>65</v>
      </c>
      <c r="F19" s="91">
        <v>100</v>
      </c>
    </row>
    <row r="20" spans="3:16">
      <c r="C20" t="s">
        <v>66</v>
      </c>
      <c r="F20" s="91">
        <v>18</v>
      </c>
    </row>
    <row r="21" spans="3:16">
      <c r="C21" t="s">
        <v>67</v>
      </c>
      <c r="F21" s="91">
        <v>220</v>
      </c>
    </row>
    <row r="22" spans="3:16">
      <c r="C22" t="s">
        <v>68</v>
      </c>
      <c r="F22" s="91">
        <v>20</v>
      </c>
    </row>
    <row r="23" spans="3:16">
      <c r="C23" s="61" t="s">
        <v>69</v>
      </c>
      <c r="D23" s="61"/>
      <c r="E23" s="61"/>
      <c r="F23" s="92">
        <v>321</v>
      </c>
    </row>
    <row r="24" spans="3:16">
      <c r="C24" s="93" t="s">
        <v>70</v>
      </c>
      <c r="D24" s="93"/>
      <c r="E24" s="93"/>
      <c r="F24" s="94">
        <f>SUM(F7:F23)</f>
        <v>2591</v>
      </c>
    </row>
  </sheetData>
  <mergeCells count="3">
    <mergeCell ref="E1:I1"/>
    <mergeCell ref="C5:F5"/>
    <mergeCell ref="H5:K5"/>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7AADDC-8E26-4134-8AE1-3FAE9D17BFA3}">
  <dimension ref="A1:P24"/>
  <sheetViews>
    <sheetView topLeftCell="A15" workbookViewId="0">
      <selection activeCell="K9" sqref="K9:K11"/>
    </sheetView>
  </sheetViews>
  <sheetFormatPr defaultRowHeight="15"/>
  <cols>
    <col min="6" max="6" width="10.7109375" style="91" bestFit="1" customWidth="1"/>
    <col min="11" max="11" width="9.28515625" style="91" bestFit="1" customWidth="1"/>
  </cols>
  <sheetData>
    <row r="1" spans="1:11" ht="18.75">
      <c r="E1" s="106" t="s">
        <v>72</v>
      </c>
      <c r="F1" s="106"/>
      <c r="G1" s="106"/>
      <c r="H1" s="106"/>
      <c r="I1" s="106"/>
    </row>
    <row r="3" spans="1:11">
      <c r="A3" t="s">
        <v>38</v>
      </c>
    </row>
    <row r="5" spans="1:11">
      <c r="C5" s="107" t="s">
        <v>39</v>
      </c>
      <c r="D5" s="108"/>
      <c r="E5" s="108"/>
      <c r="F5" s="109"/>
      <c r="H5" s="107" t="s">
        <v>40</v>
      </c>
      <c r="I5" s="108"/>
      <c r="J5" s="108"/>
      <c r="K5" s="109"/>
    </row>
    <row r="6" spans="1:11">
      <c r="C6" s="90"/>
    </row>
    <row r="7" spans="1:11">
      <c r="C7" t="s">
        <v>41</v>
      </c>
      <c r="F7" s="91">
        <v>1</v>
      </c>
      <c r="H7" t="s">
        <v>42</v>
      </c>
      <c r="K7" s="91">
        <v>64</v>
      </c>
    </row>
    <row r="8" spans="1:11">
      <c r="C8" t="s">
        <v>43</v>
      </c>
      <c r="F8" s="91">
        <v>413</v>
      </c>
      <c r="H8" t="s">
        <v>44</v>
      </c>
      <c r="K8" s="91">
        <v>944</v>
      </c>
    </row>
    <row r="9" spans="1:11">
      <c r="C9" t="s">
        <v>45</v>
      </c>
      <c r="F9" s="91">
        <v>353</v>
      </c>
      <c r="H9" t="s">
        <v>46</v>
      </c>
      <c r="K9" s="91">
        <v>42</v>
      </c>
    </row>
    <row r="10" spans="1:11">
      <c r="C10" t="s">
        <v>47</v>
      </c>
      <c r="F10" s="91">
        <v>25</v>
      </c>
      <c r="H10" t="s">
        <v>48</v>
      </c>
      <c r="K10" s="91">
        <v>19</v>
      </c>
    </row>
    <row r="11" spans="1:11">
      <c r="C11" t="s">
        <v>49</v>
      </c>
      <c r="F11" s="91">
        <v>64</v>
      </c>
      <c r="H11" t="s">
        <v>50</v>
      </c>
      <c r="K11" s="91">
        <v>729</v>
      </c>
    </row>
    <row r="12" spans="1:11">
      <c r="C12" t="s">
        <v>51</v>
      </c>
      <c r="F12" s="91">
        <v>32</v>
      </c>
      <c r="H12" t="s">
        <v>52</v>
      </c>
      <c r="K12" s="91">
        <v>0</v>
      </c>
    </row>
    <row r="13" spans="1:11">
      <c r="C13" t="s">
        <v>53</v>
      </c>
      <c r="F13" s="91">
        <v>7</v>
      </c>
      <c r="H13" t="s">
        <v>54</v>
      </c>
      <c r="K13" s="91">
        <v>-2</v>
      </c>
    </row>
    <row r="14" spans="1:11">
      <c r="C14" t="s">
        <v>55</v>
      </c>
      <c r="F14" s="91">
        <v>270</v>
      </c>
      <c r="H14" t="s">
        <v>56</v>
      </c>
      <c r="K14" s="91">
        <v>199</v>
      </c>
    </row>
    <row r="15" spans="1:11">
      <c r="C15" t="s">
        <v>57</v>
      </c>
      <c r="F15" s="91">
        <v>852</v>
      </c>
      <c r="H15" t="s">
        <v>58</v>
      </c>
      <c r="K15" s="91">
        <v>0</v>
      </c>
    </row>
    <row r="16" spans="1:11">
      <c r="C16" s="61" t="s">
        <v>59</v>
      </c>
      <c r="D16" s="61"/>
      <c r="E16" s="61"/>
      <c r="F16" s="92">
        <v>-628</v>
      </c>
      <c r="H16" t="s">
        <v>60</v>
      </c>
      <c r="K16" s="91">
        <v>170</v>
      </c>
    </row>
    <row r="17" spans="3:16">
      <c r="C17" t="s">
        <v>61</v>
      </c>
      <c r="F17" s="91">
        <v>33</v>
      </c>
      <c r="H17" s="93" t="s">
        <v>62</v>
      </c>
      <c r="I17" s="93"/>
      <c r="J17" s="93"/>
      <c r="K17" s="94">
        <f>SUM(K7:K16)</f>
        <v>2165</v>
      </c>
      <c r="N17" t="s">
        <v>63</v>
      </c>
      <c r="P17" s="91">
        <f>F24-K17</f>
        <v>0</v>
      </c>
    </row>
    <row r="18" spans="3:16">
      <c r="C18" t="s">
        <v>64</v>
      </c>
      <c r="F18" s="91">
        <v>153</v>
      </c>
    </row>
    <row r="19" spans="3:16">
      <c r="C19" t="s">
        <v>65</v>
      </c>
      <c r="F19" s="91">
        <v>66</v>
      </c>
    </row>
    <row r="20" spans="3:16">
      <c r="C20" t="s">
        <v>66</v>
      </c>
      <c r="F20" s="91">
        <v>14</v>
      </c>
    </row>
    <row r="21" spans="3:16">
      <c r="C21" t="s">
        <v>67</v>
      </c>
      <c r="F21" s="91">
        <v>255</v>
      </c>
    </row>
    <row r="22" spans="3:16">
      <c r="C22" t="s">
        <v>68</v>
      </c>
      <c r="F22" s="91">
        <v>11</v>
      </c>
    </row>
    <row r="23" spans="3:16">
      <c r="C23" s="61" t="s">
        <v>69</v>
      </c>
      <c r="D23" s="61"/>
      <c r="E23" s="61"/>
      <c r="F23" s="92">
        <v>244</v>
      </c>
    </row>
    <row r="24" spans="3:16">
      <c r="C24" s="93" t="s">
        <v>70</v>
      </c>
      <c r="D24" s="93"/>
      <c r="E24" s="93"/>
      <c r="F24" s="94">
        <f>SUM(F7:F23)</f>
        <v>2165</v>
      </c>
    </row>
  </sheetData>
  <mergeCells count="3">
    <mergeCell ref="E1:I1"/>
    <mergeCell ref="C5:F5"/>
    <mergeCell ref="H5:K5"/>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974D02-F572-4785-AB70-1B72DEE03CF7}">
  <dimension ref="A1:P24"/>
  <sheetViews>
    <sheetView topLeftCell="A10" workbookViewId="0">
      <selection activeCell="F21" sqref="F21"/>
    </sheetView>
  </sheetViews>
  <sheetFormatPr defaultRowHeight="15"/>
  <cols>
    <col min="6" max="6" width="10.7109375" style="91" bestFit="1" customWidth="1"/>
    <col min="11" max="11" width="9.28515625" style="91" bestFit="1" customWidth="1"/>
  </cols>
  <sheetData>
    <row r="1" spans="1:11" ht="18.75">
      <c r="E1" s="106" t="s">
        <v>73</v>
      </c>
      <c r="F1" s="106"/>
      <c r="G1" s="106"/>
      <c r="H1" s="106"/>
      <c r="I1" s="106"/>
    </row>
    <row r="3" spans="1:11">
      <c r="A3" t="s">
        <v>38</v>
      </c>
    </row>
    <row r="5" spans="1:11">
      <c r="C5" s="107" t="s">
        <v>39</v>
      </c>
      <c r="D5" s="108"/>
      <c r="E5" s="108"/>
      <c r="F5" s="109"/>
      <c r="H5" s="107" t="s">
        <v>40</v>
      </c>
      <c r="I5" s="108"/>
      <c r="J5" s="108"/>
      <c r="K5" s="109"/>
    </row>
    <row r="6" spans="1:11">
      <c r="C6" s="90"/>
    </row>
    <row r="7" spans="1:11">
      <c r="C7" t="s">
        <v>41</v>
      </c>
      <c r="F7" s="91">
        <v>1</v>
      </c>
      <c r="H7" t="s">
        <v>42</v>
      </c>
      <c r="K7" s="91">
        <v>53</v>
      </c>
    </row>
    <row r="8" spans="1:11">
      <c r="C8" t="s">
        <v>43</v>
      </c>
      <c r="F8" s="91">
        <v>313</v>
      </c>
      <c r="H8" t="s">
        <v>44</v>
      </c>
      <c r="K8" s="91">
        <v>427</v>
      </c>
    </row>
    <row r="9" spans="1:11">
      <c r="C9" t="s">
        <v>45</v>
      </c>
      <c r="F9" s="91">
        <v>276</v>
      </c>
      <c r="H9" t="s">
        <v>46</v>
      </c>
      <c r="K9" s="91">
        <v>49</v>
      </c>
    </row>
    <row r="10" spans="1:11">
      <c r="C10" t="s">
        <v>47</v>
      </c>
      <c r="F10" s="91">
        <v>21</v>
      </c>
      <c r="H10" t="s">
        <v>48</v>
      </c>
      <c r="K10" s="91">
        <v>27</v>
      </c>
    </row>
    <row r="11" spans="1:11">
      <c r="C11" t="s">
        <v>49</v>
      </c>
      <c r="F11" s="91">
        <v>46</v>
      </c>
      <c r="H11" t="s">
        <v>50</v>
      </c>
      <c r="K11" s="91">
        <v>569</v>
      </c>
    </row>
    <row r="12" spans="1:11">
      <c r="C12" t="s">
        <v>51</v>
      </c>
      <c r="F12" s="91">
        <v>28</v>
      </c>
      <c r="H12" t="s">
        <v>52</v>
      </c>
      <c r="K12" s="91">
        <v>0</v>
      </c>
    </row>
    <row r="13" spans="1:11">
      <c r="C13" t="s">
        <v>53</v>
      </c>
      <c r="F13" s="91">
        <v>5</v>
      </c>
      <c r="H13" t="s">
        <v>54</v>
      </c>
      <c r="K13" s="91">
        <v>-1</v>
      </c>
    </row>
    <row r="14" spans="1:11">
      <c r="C14" t="s">
        <v>55</v>
      </c>
      <c r="F14" s="91">
        <v>258</v>
      </c>
      <c r="H14" t="s">
        <v>56</v>
      </c>
      <c r="K14" s="91">
        <v>144</v>
      </c>
    </row>
    <row r="15" spans="1:11">
      <c r="C15" t="s">
        <v>57</v>
      </c>
      <c r="F15" s="91">
        <v>595</v>
      </c>
      <c r="H15" t="s">
        <v>58</v>
      </c>
      <c r="K15" s="91">
        <v>0</v>
      </c>
    </row>
    <row r="16" spans="1:11">
      <c r="C16" s="61" t="s">
        <v>59</v>
      </c>
      <c r="D16" s="61"/>
      <c r="E16" s="61"/>
      <c r="F16" s="92">
        <v>-460</v>
      </c>
      <c r="H16" t="s">
        <v>60</v>
      </c>
      <c r="K16" s="91">
        <v>81</v>
      </c>
    </row>
    <row r="17" spans="3:16">
      <c r="C17" t="s">
        <v>61</v>
      </c>
      <c r="F17" s="91">
        <v>30</v>
      </c>
      <c r="H17" s="93" t="s">
        <v>62</v>
      </c>
      <c r="I17" s="93"/>
      <c r="J17" s="93"/>
      <c r="K17" s="94">
        <f>SUM(K7:K16)</f>
        <v>1349</v>
      </c>
      <c r="N17" t="s">
        <v>63</v>
      </c>
      <c r="P17" s="91">
        <f>F24-K17</f>
        <v>0</v>
      </c>
    </row>
    <row r="18" spans="3:16">
      <c r="C18" t="s">
        <v>64</v>
      </c>
      <c r="F18" s="91">
        <v>27</v>
      </c>
    </row>
    <row r="19" spans="3:16">
      <c r="C19" t="s">
        <v>65</v>
      </c>
      <c r="F19" s="91">
        <v>48</v>
      </c>
    </row>
    <row r="20" spans="3:16">
      <c r="C20" t="s">
        <v>66</v>
      </c>
      <c r="F20" s="91">
        <v>8</v>
      </c>
    </row>
    <row r="21" spans="3:16">
      <c r="C21" t="s">
        <v>67</v>
      </c>
      <c r="F21" s="91">
        <v>50</v>
      </c>
    </row>
    <row r="22" spans="3:16">
      <c r="C22" t="s">
        <v>68</v>
      </c>
      <c r="F22" s="91">
        <v>7</v>
      </c>
    </row>
    <row r="23" spans="3:16">
      <c r="C23" s="61" t="s">
        <v>69</v>
      </c>
      <c r="D23" s="61"/>
      <c r="E23" s="61"/>
      <c r="F23" s="92">
        <v>96</v>
      </c>
    </row>
    <row r="24" spans="3:16">
      <c r="C24" s="93" t="s">
        <v>70</v>
      </c>
      <c r="D24" s="93"/>
      <c r="E24" s="93"/>
      <c r="F24" s="94">
        <f>SUM(F7:F23)</f>
        <v>1349</v>
      </c>
    </row>
  </sheetData>
  <mergeCells count="3">
    <mergeCell ref="E1:I1"/>
    <mergeCell ref="C5:F5"/>
    <mergeCell ref="H5:K5"/>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0F60EA-BA3B-4B41-8E35-53B9CEBBE239}">
  <dimension ref="A1:P24"/>
  <sheetViews>
    <sheetView topLeftCell="A5" workbookViewId="0">
      <selection activeCell="F21" sqref="F21"/>
    </sheetView>
  </sheetViews>
  <sheetFormatPr defaultRowHeight="15"/>
  <cols>
    <col min="6" max="6" width="10.7109375" style="91" bestFit="1" customWidth="1"/>
    <col min="11" max="11" width="9.28515625" style="91" bestFit="1" customWidth="1"/>
  </cols>
  <sheetData>
    <row r="1" spans="1:11" ht="18.75">
      <c r="E1" s="106" t="s">
        <v>74</v>
      </c>
      <c r="F1" s="106"/>
      <c r="G1" s="106"/>
      <c r="H1" s="106"/>
      <c r="I1" s="106"/>
    </row>
    <row r="3" spans="1:11">
      <c r="A3" t="s">
        <v>38</v>
      </c>
    </row>
    <row r="5" spans="1:11">
      <c r="C5" s="107" t="s">
        <v>39</v>
      </c>
      <c r="D5" s="108"/>
      <c r="E5" s="108"/>
      <c r="F5" s="109"/>
      <c r="H5" s="107" t="s">
        <v>40</v>
      </c>
      <c r="I5" s="108"/>
      <c r="J5" s="108"/>
      <c r="K5" s="109"/>
    </row>
    <row r="6" spans="1:11">
      <c r="C6" s="90"/>
    </row>
    <row r="7" spans="1:11">
      <c r="C7" t="s">
        <v>41</v>
      </c>
      <c r="F7" s="91">
        <v>1</v>
      </c>
      <c r="H7" t="s">
        <v>42</v>
      </c>
      <c r="K7" s="91">
        <v>50</v>
      </c>
    </row>
    <row r="8" spans="1:11">
      <c r="C8" t="s">
        <v>43</v>
      </c>
      <c r="F8" s="91">
        <v>301</v>
      </c>
      <c r="H8" t="s">
        <v>44</v>
      </c>
      <c r="K8" s="91">
        <v>474</v>
      </c>
    </row>
    <row r="9" spans="1:11">
      <c r="C9" t="s">
        <v>45</v>
      </c>
      <c r="F9" s="91">
        <v>264</v>
      </c>
      <c r="H9" t="s">
        <v>46</v>
      </c>
      <c r="K9" s="91">
        <v>54</v>
      </c>
    </row>
    <row r="10" spans="1:11">
      <c r="C10" t="s">
        <v>47</v>
      </c>
      <c r="F10" s="91">
        <v>20</v>
      </c>
      <c r="H10" t="s">
        <v>48</v>
      </c>
      <c r="K10" s="91">
        <v>5</v>
      </c>
    </row>
    <row r="11" spans="1:11">
      <c r="C11" t="s">
        <v>49</v>
      </c>
      <c r="F11" s="91">
        <v>39</v>
      </c>
      <c r="H11" t="s">
        <v>50</v>
      </c>
      <c r="K11" s="91">
        <v>575</v>
      </c>
    </row>
    <row r="12" spans="1:11">
      <c r="C12" t="s">
        <v>51</v>
      </c>
      <c r="F12" s="91">
        <v>27</v>
      </c>
      <c r="H12" t="s">
        <v>52</v>
      </c>
      <c r="K12" s="91">
        <v>12</v>
      </c>
    </row>
    <row r="13" spans="1:11">
      <c r="C13" t="s">
        <v>53</v>
      </c>
      <c r="F13" s="91">
        <v>5</v>
      </c>
      <c r="H13" t="s">
        <v>54</v>
      </c>
      <c r="K13" s="91">
        <v>0</v>
      </c>
    </row>
    <row r="14" spans="1:11">
      <c r="C14" t="s">
        <v>55</v>
      </c>
      <c r="F14" s="91">
        <v>257</v>
      </c>
      <c r="H14" t="s">
        <v>56</v>
      </c>
      <c r="K14" s="91">
        <v>132</v>
      </c>
    </row>
    <row r="15" spans="1:11">
      <c r="C15" t="s">
        <v>57</v>
      </c>
      <c r="F15" s="91">
        <f>617-90</f>
        <v>527</v>
      </c>
      <c r="H15" t="s">
        <v>58</v>
      </c>
      <c r="K15" s="91">
        <v>0</v>
      </c>
    </row>
    <row r="16" spans="1:11">
      <c r="C16" s="61" t="s">
        <v>59</v>
      </c>
      <c r="D16" s="61"/>
      <c r="E16" s="61"/>
      <c r="F16" s="92">
        <v>-279</v>
      </c>
      <c r="H16" t="s">
        <v>60</v>
      </c>
      <c r="K16" s="91">
        <v>82</v>
      </c>
    </row>
    <row r="17" spans="3:16">
      <c r="C17" t="s">
        <v>61</v>
      </c>
      <c r="F17" s="91">
        <v>21</v>
      </c>
      <c r="H17" s="93" t="s">
        <v>62</v>
      </c>
      <c r="I17" s="93"/>
      <c r="J17" s="93"/>
      <c r="K17" s="94">
        <f>SUM(K7:K16)</f>
        <v>1384</v>
      </c>
      <c r="N17" t="s">
        <v>63</v>
      </c>
      <c r="P17" s="91">
        <f>F24-K17</f>
        <v>0</v>
      </c>
    </row>
    <row r="18" spans="3:16">
      <c r="C18" t="s">
        <v>64</v>
      </c>
      <c r="F18" s="91">
        <v>16</v>
      </c>
    </row>
    <row r="19" spans="3:16">
      <c r="C19" t="s">
        <v>65</v>
      </c>
      <c r="F19" s="91">
        <v>47</v>
      </c>
    </row>
    <row r="20" spans="3:16">
      <c r="C20" t="s">
        <v>66</v>
      </c>
      <c r="F20" s="91">
        <v>5</v>
      </c>
    </row>
    <row r="21" spans="3:16">
      <c r="C21" t="s">
        <v>67</v>
      </c>
      <c r="F21" s="91">
        <v>39</v>
      </c>
    </row>
    <row r="22" spans="3:16">
      <c r="C22" t="s">
        <v>68</v>
      </c>
      <c r="F22" s="91">
        <v>6</v>
      </c>
    </row>
    <row r="23" spans="3:16">
      <c r="C23" s="61" t="s">
        <v>69</v>
      </c>
      <c r="D23" s="61"/>
      <c r="E23" s="61"/>
      <c r="F23" s="92">
        <v>88</v>
      </c>
    </row>
    <row r="24" spans="3:16">
      <c r="C24" s="93" t="s">
        <v>70</v>
      </c>
      <c r="D24" s="93"/>
      <c r="E24" s="93"/>
      <c r="F24" s="94">
        <f>SUM(F7:F23)</f>
        <v>1384</v>
      </c>
    </row>
  </sheetData>
  <mergeCells count="3">
    <mergeCell ref="E1:I1"/>
    <mergeCell ref="C5:F5"/>
    <mergeCell ref="H5:K5"/>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F63DF-6411-4932-BF48-BE010238986C}">
  <dimension ref="A1:AD54"/>
  <sheetViews>
    <sheetView topLeftCell="A15" workbookViewId="0">
      <selection activeCell="M23" sqref="M23:P23"/>
    </sheetView>
  </sheetViews>
  <sheetFormatPr defaultRowHeight="15"/>
  <cols>
    <col min="2" max="2" width="36.28515625" customWidth="1"/>
    <col min="4" max="4" width="11.42578125" style="91" customWidth="1"/>
    <col min="13" max="13" width="22" customWidth="1"/>
    <col min="14" max="14" width="12.85546875" customWidth="1"/>
    <col min="15" max="15" width="16.28515625" style="91" customWidth="1"/>
    <col min="16" max="16" width="16.140625" style="91" customWidth="1"/>
    <col min="17" max="17" width="15.28515625" style="91" customWidth="1"/>
    <col min="18" max="18" width="17.28515625" style="91" customWidth="1"/>
    <col min="19" max="19" width="16.140625" style="91" customWidth="1"/>
    <col min="20" max="20" width="15.140625" style="91" customWidth="1"/>
  </cols>
  <sheetData>
    <row r="1" spans="1:30" ht="18.75">
      <c r="D1" s="113" t="s">
        <v>75</v>
      </c>
      <c r="E1" s="113"/>
      <c r="F1" s="113"/>
      <c r="G1" s="113"/>
      <c r="H1" s="113"/>
      <c r="O1" s="113" t="s">
        <v>76</v>
      </c>
      <c r="P1" s="113"/>
      <c r="Q1" s="113"/>
      <c r="R1" s="113"/>
      <c r="S1" s="113"/>
      <c r="Z1" s="113" t="s">
        <v>77</v>
      </c>
      <c r="AA1" s="113"/>
      <c r="AB1" s="113"/>
      <c r="AC1" s="113"/>
      <c r="AD1" s="113"/>
    </row>
    <row r="3" spans="1:30">
      <c r="A3" t="s">
        <v>38</v>
      </c>
      <c r="Z3" t="s">
        <v>78</v>
      </c>
    </row>
    <row r="5" spans="1:30">
      <c r="B5" s="60"/>
      <c r="C5" s="60"/>
      <c r="D5" s="98"/>
      <c r="E5" s="60" t="s">
        <v>79</v>
      </c>
      <c r="F5" s="60" t="s">
        <v>80</v>
      </c>
      <c r="G5" s="60" t="s">
        <v>81</v>
      </c>
      <c r="H5" s="60" t="s">
        <v>82</v>
      </c>
      <c r="I5" s="60" t="s">
        <v>83</v>
      </c>
      <c r="P5" s="98" t="s">
        <v>79</v>
      </c>
      <c r="Q5" s="98" t="s">
        <v>80</v>
      </c>
      <c r="R5" s="98" t="s">
        <v>81</v>
      </c>
      <c r="S5" s="98" t="s">
        <v>82</v>
      </c>
      <c r="T5" s="98" t="s">
        <v>83</v>
      </c>
    </row>
    <row r="6" spans="1:30">
      <c r="B6" t="s">
        <v>84</v>
      </c>
      <c r="E6" s="91">
        <v>64</v>
      </c>
      <c r="F6" s="91">
        <v>64</v>
      </c>
      <c r="G6" s="91">
        <v>64</v>
      </c>
      <c r="H6" s="91">
        <v>53</v>
      </c>
      <c r="I6" s="91">
        <v>50</v>
      </c>
      <c r="M6" t="s">
        <v>85</v>
      </c>
      <c r="P6" s="91">
        <v>320.64999999999998</v>
      </c>
      <c r="Q6" s="91">
        <v>243.62</v>
      </c>
      <c r="R6" s="91">
        <v>296.45</v>
      </c>
    </row>
    <row r="7" spans="1:30">
      <c r="B7" t="s">
        <v>44</v>
      </c>
      <c r="E7" s="91">
        <v>1275</v>
      </c>
      <c r="F7" s="91">
        <v>1193</v>
      </c>
      <c r="G7" s="91">
        <v>944</v>
      </c>
      <c r="H7" s="91">
        <v>427</v>
      </c>
      <c r="I7" s="91">
        <v>474</v>
      </c>
      <c r="M7" t="s">
        <v>86</v>
      </c>
      <c r="P7" s="91">
        <f>321.76*1000000</f>
        <v>321760000</v>
      </c>
      <c r="Q7" s="91">
        <f>321.49*1000000</f>
        <v>321490000</v>
      </c>
      <c r="R7" s="91">
        <f>300.72*1000000</f>
        <v>300720000</v>
      </c>
      <c r="S7" s="91">
        <f>310.82*1000000</f>
        <v>310820000</v>
      </c>
      <c r="T7" s="91">
        <f>310.82*1000000</f>
        <v>310820000</v>
      </c>
    </row>
    <row r="8" spans="1:30">
      <c r="B8" s="93" t="s">
        <v>87</v>
      </c>
      <c r="C8" s="101"/>
      <c r="D8" s="102"/>
      <c r="E8" s="102">
        <f>SUM(E6:E7)</f>
        <v>1339</v>
      </c>
      <c r="F8" s="102">
        <f t="shared" ref="F8:I8" si="0">SUM(F6:F7)</f>
        <v>1257</v>
      </c>
      <c r="G8" s="102">
        <f t="shared" si="0"/>
        <v>1008</v>
      </c>
      <c r="H8" s="102">
        <f t="shared" si="0"/>
        <v>480</v>
      </c>
      <c r="I8" s="102">
        <f t="shared" si="0"/>
        <v>524</v>
      </c>
      <c r="M8" s="93" t="s">
        <v>88</v>
      </c>
      <c r="N8" s="101"/>
      <c r="O8" s="102"/>
      <c r="P8" s="102">
        <f>P7*P6/10000000</f>
        <v>10317.234399999999</v>
      </c>
      <c r="Q8" s="102">
        <f t="shared" ref="Q8:T8" si="1">Q7*Q6/10000000</f>
        <v>7832.1393799999996</v>
      </c>
      <c r="R8" s="102">
        <f t="shared" si="1"/>
        <v>8914.8444</v>
      </c>
      <c r="S8" s="102">
        <f t="shared" si="1"/>
        <v>0</v>
      </c>
      <c r="T8" s="102">
        <f t="shared" si="1"/>
        <v>0</v>
      </c>
    </row>
    <row r="10" spans="1:30">
      <c r="B10" t="s">
        <v>89</v>
      </c>
      <c r="E10" s="91">
        <v>13</v>
      </c>
      <c r="F10" s="91">
        <v>21</v>
      </c>
      <c r="G10" s="91">
        <v>42</v>
      </c>
      <c r="H10" s="91">
        <v>49</v>
      </c>
      <c r="I10" s="91">
        <v>54</v>
      </c>
      <c r="N10" s="89"/>
      <c r="O10" s="103"/>
      <c r="P10" s="103"/>
    </row>
    <row r="11" spans="1:30">
      <c r="B11" t="s">
        <v>90</v>
      </c>
      <c r="E11" s="91">
        <v>14</v>
      </c>
      <c r="F11" s="91">
        <v>23</v>
      </c>
      <c r="G11" s="91">
        <v>19</v>
      </c>
      <c r="H11" s="91">
        <v>27</v>
      </c>
      <c r="I11" s="91">
        <v>5</v>
      </c>
      <c r="M11" s="89"/>
      <c r="N11" s="89"/>
      <c r="O11" s="103"/>
      <c r="P11" s="103"/>
    </row>
    <row r="12" spans="1:30">
      <c r="B12" t="s">
        <v>50</v>
      </c>
      <c r="E12" s="91">
        <v>1137</v>
      </c>
      <c r="F12" s="91">
        <v>918</v>
      </c>
      <c r="G12" s="91">
        <v>729</v>
      </c>
      <c r="H12" s="91">
        <v>569</v>
      </c>
      <c r="I12" s="91">
        <v>575</v>
      </c>
      <c r="M12" s="89" t="s">
        <v>91</v>
      </c>
    </row>
    <row r="13" spans="1:30">
      <c r="B13" s="93" t="s">
        <v>92</v>
      </c>
      <c r="C13" s="101"/>
      <c r="D13" s="102"/>
      <c r="E13" s="102">
        <f>SUM(E10:E12)</f>
        <v>1164</v>
      </c>
      <c r="F13" s="102">
        <f t="shared" ref="F13:I13" si="2">SUM(F10:F12)</f>
        <v>962</v>
      </c>
      <c r="G13" s="102">
        <f t="shared" si="2"/>
        <v>790</v>
      </c>
      <c r="H13" s="102">
        <f t="shared" si="2"/>
        <v>645</v>
      </c>
      <c r="I13" s="102">
        <f t="shared" si="2"/>
        <v>634</v>
      </c>
    </row>
    <row r="14" spans="1:30">
      <c r="M14" s="60" t="s">
        <v>93</v>
      </c>
      <c r="N14" s="99" t="s">
        <v>94</v>
      </c>
      <c r="O14" s="98" t="s">
        <v>95</v>
      </c>
      <c r="P14" s="98" t="s">
        <v>96</v>
      </c>
    </row>
    <row r="15" spans="1:30">
      <c r="B15" s="60" t="s">
        <v>97</v>
      </c>
      <c r="E15" s="91">
        <f>E13+E8</f>
        <v>2503</v>
      </c>
      <c r="F15" s="91">
        <f t="shared" ref="F15:I15" si="3">F13+F8</f>
        <v>2219</v>
      </c>
      <c r="G15" s="91">
        <f t="shared" si="3"/>
        <v>1798</v>
      </c>
      <c r="H15" s="91">
        <f t="shared" si="3"/>
        <v>1125</v>
      </c>
      <c r="I15" s="91">
        <f t="shared" si="3"/>
        <v>1158</v>
      </c>
      <c r="M15" s="100" t="s">
        <v>98</v>
      </c>
      <c r="N15" t="s">
        <v>99</v>
      </c>
      <c r="O15" s="91">
        <v>54.72</v>
      </c>
      <c r="P15" s="91">
        <v>22.77</v>
      </c>
    </row>
    <row r="16" spans="1:30">
      <c r="M16" t="s">
        <v>100</v>
      </c>
      <c r="N16" t="s">
        <v>101</v>
      </c>
      <c r="O16" s="91">
        <v>122.94</v>
      </c>
      <c r="P16" s="91">
        <v>27.24</v>
      </c>
    </row>
    <row r="17" spans="2:20">
      <c r="B17" s="60" t="s">
        <v>102</v>
      </c>
      <c r="C17" s="60"/>
      <c r="D17" s="98"/>
      <c r="E17" s="104">
        <f>E8/E15</f>
        <v>0.53495805033959254</v>
      </c>
      <c r="F17" s="104">
        <f t="shared" ref="F17:I17" si="4">F8/F15</f>
        <v>0.56647138350608384</v>
      </c>
      <c r="G17" s="104">
        <f t="shared" si="4"/>
        <v>0.56062291434927702</v>
      </c>
      <c r="H17" s="104">
        <f t="shared" si="4"/>
        <v>0.42666666666666669</v>
      </c>
      <c r="I17" s="104">
        <f t="shared" si="4"/>
        <v>0.4525043177892919</v>
      </c>
      <c r="M17" s="60"/>
      <c r="N17" s="60"/>
      <c r="O17" s="98"/>
      <c r="P17" s="98"/>
    </row>
    <row r="18" spans="2:20">
      <c r="B18" s="60" t="s">
        <v>103</v>
      </c>
      <c r="C18" s="60"/>
      <c r="D18" s="98"/>
      <c r="E18" s="104">
        <f>E13/E15</f>
        <v>0.46504194966040752</v>
      </c>
      <c r="F18" s="104">
        <f t="shared" ref="F18:I18" si="5">F13/F15</f>
        <v>0.43352861649391616</v>
      </c>
      <c r="G18" s="104">
        <f t="shared" si="5"/>
        <v>0.43937708565072303</v>
      </c>
      <c r="H18" s="104">
        <f t="shared" si="5"/>
        <v>0.57333333333333336</v>
      </c>
      <c r="I18" s="104">
        <f t="shared" si="5"/>
        <v>0.5474956822107081</v>
      </c>
      <c r="M18" s="60" t="s">
        <v>104</v>
      </c>
      <c r="O18" s="91">
        <f>AVERAGE(O15:O16)</f>
        <v>88.83</v>
      </c>
      <c r="P18" s="91">
        <f>AVERAGE(P15:P16)</f>
        <v>25.004999999999999</v>
      </c>
    </row>
    <row r="19" spans="2:20">
      <c r="M19" t="s">
        <v>105</v>
      </c>
      <c r="O19" s="91">
        <f>1.26*1000000000/10000000</f>
        <v>126</v>
      </c>
      <c r="P19" s="91">
        <f>1.87*100</f>
        <v>187</v>
      </c>
    </row>
    <row r="20" spans="2:20">
      <c r="B20" s="114" t="s">
        <v>106</v>
      </c>
      <c r="C20" s="115"/>
      <c r="D20" s="117"/>
      <c r="E20" s="116">
        <f>AVERAGE(E17:I17)</f>
        <v>0.50824466653018241</v>
      </c>
      <c r="M20" t="s">
        <v>107</v>
      </c>
      <c r="O20" s="91">
        <f>O19*O18</f>
        <v>11192.58</v>
      </c>
      <c r="P20" s="91">
        <f>P19*P18</f>
        <v>4675.9349999999995</v>
      </c>
    </row>
    <row r="21" spans="2:20">
      <c r="B21" s="114" t="s">
        <v>108</v>
      </c>
      <c r="C21" s="115"/>
      <c r="D21" s="117"/>
      <c r="E21" s="116">
        <f>AVERAGE(E18:I18)</f>
        <v>0.49175533346981765</v>
      </c>
      <c r="M21" t="s">
        <v>109</v>
      </c>
      <c r="O21" s="91">
        <f>H13</f>
        <v>645</v>
      </c>
      <c r="P21" s="91">
        <f>I13</f>
        <v>634</v>
      </c>
    </row>
    <row r="22" spans="2:20">
      <c r="M22" t="s">
        <v>110</v>
      </c>
      <c r="O22" s="91">
        <v>50</v>
      </c>
      <c r="P22" s="91">
        <v>39</v>
      </c>
    </row>
    <row r="24" spans="2:20">
      <c r="M24" s="93" t="s">
        <v>88</v>
      </c>
      <c r="N24" s="101"/>
      <c r="O24" s="102">
        <f>O20-O21+O22</f>
        <v>10597.58</v>
      </c>
      <c r="P24" s="102">
        <f>P20-P21+P22</f>
        <v>4080.9349999999995</v>
      </c>
    </row>
    <row r="26" spans="2:20">
      <c r="M26" t="s">
        <v>38</v>
      </c>
    </row>
    <row r="27" spans="2:20">
      <c r="M27" t="s">
        <v>111</v>
      </c>
    </row>
    <row r="28" spans="2:20">
      <c r="T28"/>
    </row>
    <row r="29" spans="2:20">
      <c r="M29" s="60"/>
      <c r="N29" s="60"/>
      <c r="P29" s="60" t="s">
        <v>79</v>
      </c>
      <c r="Q29" s="60" t="s">
        <v>80</v>
      </c>
      <c r="R29" s="60" t="s">
        <v>81</v>
      </c>
      <c r="S29" s="60" t="s">
        <v>82</v>
      </c>
      <c r="T29" s="60" t="s">
        <v>83</v>
      </c>
    </row>
    <row r="30" spans="2:20">
      <c r="M30" s="93" t="s">
        <v>112</v>
      </c>
      <c r="N30" s="101"/>
      <c r="O30" s="101"/>
      <c r="P30" s="102">
        <f>E13</f>
        <v>1164</v>
      </c>
      <c r="Q30" s="102">
        <f>F13</f>
        <v>962</v>
      </c>
      <c r="R30" s="102">
        <f>G13</f>
        <v>790</v>
      </c>
      <c r="S30" s="102">
        <f>H13</f>
        <v>645</v>
      </c>
      <c r="T30" s="102">
        <f>I13</f>
        <v>634</v>
      </c>
    </row>
    <row r="32" spans="2:20">
      <c r="M32" s="60" t="s">
        <v>97</v>
      </c>
      <c r="P32" s="91">
        <f>P30+P8</f>
        <v>11481.234399999999</v>
      </c>
      <c r="Q32" s="91">
        <f>Q30+Q8</f>
        <v>8794.1393800000005</v>
      </c>
      <c r="R32" s="91">
        <f>R30+R8</f>
        <v>9704.8444</v>
      </c>
      <c r="S32" s="91">
        <f>S30+O24</f>
        <v>11242.58</v>
      </c>
      <c r="T32" s="91">
        <f>T30+P24</f>
        <v>4714.9349999999995</v>
      </c>
    </row>
    <row r="34" spans="2:20">
      <c r="M34" s="60" t="s">
        <v>113</v>
      </c>
      <c r="P34" s="97">
        <f>P8/P32</f>
        <v>0.89861717308027433</v>
      </c>
      <c r="Q34" s="97">
        <f>Q8/Q32</f>
        <v>0.89060896599071182</v>
      </c>
      <c r="R34" s="97">
        <f>R8/R32</f>
        <v>0.91859735535790765</v>
      </c>
      <c r="S34" s="97">
        <f>O24/S32</f>
        <v>0.94262882719091168</v>
      </c>
      <c r="T34" s="97">
        <f>P24/T32</f>
        <v>0.86553367119589131</v>
      </c>
    </row>
    <row r="35" spans="2:20">
      <c r="M35" s="60" t="s">
        <v>114</v>
      </c>
      <c r="P35" s="97">
        <f>P30/P32</f>
        <v>0.10138282691972564</v>
      </c>
      <c r="Q35" s="97">
        <f>Q30/Q32</f>
        <v>0.10939103400928812</v>
      </c>
      <c r="R35" s="97">
        <f>R30/R32</f>
        <v>8.1402644642092362E-2</v>
      </c>
      <c r="S35" s="97">
        <f>S30/S32</f>
        <v>5.7371172809088308E-2</v>
      </c>
      <c r="T35" s="97">
        <f>T30/T32</f>
        <v>0.13446632880410866</v>
      </c>
    </row>
    <row r="37" spans="2:20">
      <c r="M37" s="114" t="s">
        <v>115</v>
      </c>
      <c r="N37" s="115"/>
      <c r="O37" s="117"/>
      <c r="P37" s="116">
        <f>AVERAGE(P34:T34)</f>
        <v>0.9031971985631394</v>
      </c>
    </row>
    <row r="38" spans="2:20">
      <c r="M38" s="114" t="s">
        <v>116</v>
      </c>
      <c r="N38" s="115"/>
      <c r="O38" s="117"/>
      <c r="P38" s="116">
        <f>AVERAGE(P35:T35)</f>
        <v>9.6802801436860625E-2</v>
      </c>
    </row>
    <row r="40" spans="2:20">
      <c r="B40" s="120" t="s">
        <v>117</v>
      </c>
      <c r="C40" s="120"/>
      <c r="D40" s="120"/>
      <c r="E40" s="120"/>
    </row>
    <row r="41" spans="2:20">
      <c r="B41" s="122"/>
      <c r="C41" s="122"/>
      <c r="D41" s="122"/>
      <c r="E41" s="122"/>
    </row>
    <row r="42" spans="2:20">
      <c r="B42" s="60"/>
      <c r="C42" s="60"/>
      <c r="D42" s="98" t="s">
        <v>79</v>
      </c>
      <c r="E42" s="98" t="s">
        <v>80</v>
      </c>
      <c r="F42" s="98" t="s">
        <v>81</v>
      </c>
      <c r="G42" s="91"/>
      <c r="H42" s="91"/>
    </row>
    <row r="43" spans="2:20">
      <c r="B43" t="s">
        <v>118</v>
      </c>
      <c r="D43" s="97">
        <v>7.0519999999999999E-2</v>
      </c>
      <c r="E43" s="97">
        <v>7.3150000000000007E-2</v>
      </c>
      <c r="F43" s="97">
        <v>6.8430000000000005E-2</v>
      </c>
    </row>
    <row r="44" spans="2:20">
      <c r="B44" t="s">
        <v>119</v>
      </c>
      <c r="D44" s="91">
        <v>0.39500000000000002</v>
      </c>
      <c r="E44">
        <v>0.73</v>
      </c>
      <c r="F44">
        <v>1.0860000000000001</v>
      </c>
    </row>
    <row r="45" spans="2:20">
      <c r="B45" t="s">
        <v>120</v>
      </c>
      <c r="D45" s="97">
        <v>7.8100000000000003E-2</v>
      </c>
      <c r="E45" s="97">
        <v>9.7299999999999998E-2</v>
      </c>
      <c r="F45" s="97">
        <v>6.4199999999999993E-2</v>
      </c>
    </row>
    <row r="46" spans="2:20">
      <c r="B46" s="93" t="s">
        <v>121</v>
      </c>
      <c r="C46" s="101"/>
      <c r="D46" s="121">
        <f>D43+D44*D45</f>
        <v>0.1013695</v>
      </c>
      <c r="E46" s="121">
        <f>E43+E44*E45</f>
        <v>0.144179</v>
      </c>
      <c r="F46" s="121">
        <f>F43+F44*F45</f>
        <v>0.1381512</v>
      </c>
    </row>
    <row r="48" spans="2:20">
      <c r="B48" s="114" t="s">
        <v>122</v>
      </c>
      <c r="C48" s="115"/>
      <c r="D48" s="116">
        <f>AVERAGE(D46:F46)</f>
        <v>0.12789989999999998</v>
      </c>
    </row>
    <row r="52" spans="2:8">
      <c r="B52" s="120" t="s">
        <v>123</v>
      </c>
      <c r="C52" s="120"/>
      <c r="D52" s="120"/>
      <c r="E52" s="120"/>
    </row>
    <row r="54" spans="2:8">
      <c r="B54" s="60"/>
      <c r="C54" s="60"/>
      <c r="D54" s="98" t="s">
        <v>79</v>
      </c>
      <c r="E54" s="60" t="s">
        <v>80</v>
      </c>
      <c r="F54" s="60" t="s">
        <v>81</v>
      </c>
      <c r="G54" s="60" t="s">
        <v>82</v>
      </c>
      <c r="H54" s="60" t="s">
        <v>83</v>
      </c>
    </row>
  </sheetData>
  <mergeCells count="5">
    <mergeCell ref="D1:H1"/>
    <mergeCell ref="O1:S1"/>
    <mergeCell ref="Z1:AD1"/>
    <mergeCell ref="B40:E40"/>
    <mergeCell ref="B52:E5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8092FD-BC59-434C-A6DE-1B55AD88C1AE}">
  <dimension ref="A1:BO253"/>
  <sheetViews>
    <sheetView workbookViewId="0">
      <selection activeCell="C5" sqref="C5"/>
    </sheetView>
  </sheetViews>
  <sheetFormatPr defaultRowHeight="15"/>
  <cols>
    <col min="2" max="2" width="13.140625" customWidth="1"/>
    <col min="3" max="3" width="11.28515625" customWidth="1"/>
    <col min="8" max="8" width="14.85546875" customWidth="1"/>
    <col min="9" max="9" width="11.28515625" customWidth="1"/>
    <col min="13" max="13" width="17.140625" customWidth="1"/>
    <col min="14" max="14" width="10.140625" customWidth="1"/>
    <col min="15" max="15" width="16.42578125" customWidth="1"/>
    <col min="16" max="16" width="9.5703125" customWidth="1"/>
    <col min="18" max="18" width="12.42578125" customWidth="1"/>
    <col min="19" max="19" width="11.5703125" customWidth="1"/>
    <col min="20" max="20" width="12.140625" customWidth="1"/>
    <col min="21" max="21" width="11.7109375" customWidth="1"/>
    <col min="24" max="24" width="12" customWidth="1"/>
    <col min="30" max="30" width="14.42578125" customWidth="1"/>
    <col min="31" max="31" width="10.5703125" customWidth="1"/>
    <col min="47" max="47" width="13.28515625" customWidth="1"/>
    <col min="53" max="53" width="13.140625" customWidth="1"/>
  </cols>
  <sheetData>
    <row r="1" spans="1:67" ht="20.25">
      <c r="A1" s="13"/>
      <c r="B1" s="13"/>
      <c r="C1" s="13"/>
      <c r="D1" s="13"/>
      <c r="E1" s="13"/>
      <c r="F1" s="13"/>
      <c r="G1" s="13"/>
      <c r="H1" s="13"/>
      <c r="I1" s="38" t="s">
        <v>124</v>
      </c>
      <c r="J1" s="39"/>
      <c r="K1" s="39"/>
      <c r="L1" s="39"/>
      <c r="M1" s="13"/>
      <c r="N1" s="13"/>
      <c r="O1" s="13"/>
      <c r="P1" s="13"/>
      <c r="Q1" s="13"/>
      <c r="R1" s="13"/>
      <c r="S1" s="13"/>
      <c r="T1" s="13"/>
      <c r="U1" s="13"/>
    </row>
    <row r="2" spans="1:67">
      <c r="A2" s="58" t="s">
        <v>125</v>
      </c>
      <c r="B2" s="51" t="s">
        <v>126</v>
      </c>
      <c r="C2" s="13"/>
      <c r="D2" s="13"/>
      <c r="E2" s="13"/>
      <c r="F2" s="13"/>
      <c r="G2" s="13"/>
      <c r="H2" s="13"/>
      <c r="I2" s="13"/>
      <c r="J2" s="13"/>
      <c r="K2" s="13"/>
      <c r="L2" s="13"/>
      <c r="M2" s="13"/>
      <c r="N2" s="13"/>
      <c r="O2" s="13"/>
      <c r="P2" s="13"/>
      <c r="Q2" s="13"/>
      <c r="R2" s="13"/>
      <c r="S2" s="13"/>
      <c r="T2" s="13"/>
      <c r="U2" s="13"/>
      <c r="W2" s="59" t="s">
        <v>127</v>
      </c>
      <c r="X2" s="60" t="s">
        <v>128</v>
      </c>
      <c r="AT2" s="59" t="s">
        <v>129</v>
      </c>
      <c r="AU2" s="60" t="s">
        <v>130</v>
      </c>
    </row>
    <row r="3" spans="1:67" ht="18.75">
      <c r="A3" s="13"/>
      <c r="B3" s="110" t="s">
        <v>131</v>
      </c>
      <c r="C3" s="110"/>
      <c r="D3" s="110"/>
      <c r="E3" s="13"/>
      <c r="F3" s="13"/>
      <c r="G3" s="13"/>
      <c r="H3" s="13"/>
      <c r="I3" s="95" t="s">
        <v>132</v>
      </c>
      <c r="J3" s="40"/>
      <c r="K3" s="13"/>
      <c r="L3" s="13"/>
      <c r="M3" s="13"/>
      <c r="N3" s="13"/>
      <c r="O3" s="13"/>
      <c r="P3" s="13"/>
      <c r="Q3" s="13"/>
      <c r="R3" s="13"/>
      <c r="S3" s="13"/>
      <c r="T3" s="13"/>
      <c r="U3" s="13"/>
      <c r="W3" s="13"/>
      <c r="X3" s="96" t="s">
        <v>131</v>
      </c>
      <c r="Y3" s="96"/>
      <c r="Z3" s="96"/>
      <c r="AA3" s="13"/>
      <c r="AB3" s="13"/>
      <c r="AC3" s="13"/>
      <c r="AD3" s="13"/>
      <c r="AE3" s="96" t="s">
        <v>132</v>
      </c>
      <c r="AF3" s="40"/>
      <c r="AG3" s="13"/>
      <c r="AH3" s="13"/>
      <c r="AI3" s="13"/>
      <c r="AJ3" s="13"/>
      <c r="AK3" s="13"/>
      <c r="AL3" s="13"/>
      <c r="AM3" s="13"/>
      <c r="AN3" s="13"/>
      <c r="AO3" s="13"/>
      <c r="AP3" s="13"/>
      <c r="AQ3" s="13"/>
      <c r="AU3" s="111" t="s">
        <v>131</v>
      </c>
      <c r="AV3" s="111"/>
      <c r="AW3" s="111"/>
      <c r="AX3" s="13"/>
      <c r="AY3" s="13"/>
      <c r="AZ3" s="13"/>
      <c r="BA3" s="13"/>
      <c r="BB3" s="96" t="s">
        <v>132</v>
      </c>
      <c r="BC3" s="40"/>
      <c r="BD3" s="13"/>
      <c r="BE3" s="13"/>
      <c r="BF3" s="13"/>
      <c r="BG3" s="13"/>
      <c r="BH3" s="13"/>
      <c r="BI3" s="13"/>
      <c r="BJ3" s="13"/>
      <c r="BK3" s="13"/>
      <c r="BL3" s="13"/>
      <c r="BM3" s="13"/>
      <c r="BN3" s="13"/>
      <c r="BO3" s="13"/>
    </row>
    <row r="4" spans="1:67" ht="15.75">
      <c r="A4" s="13"/>
      <c r="B4" s="50" t="s">
        <v>133</v>
      </c>
      <c r="C4" s="50" t="s">
        <v>134</v>
      </c>
      <c r="D4" s="50" t="s">
        <v>135</v>
      </c>
      <c r="E4" s="13"/>
      <c r="F4" s="13"/>
      <c r="G4" s="13"/>
      <c r="H4" s="41" t="s">
        <v>133</v>
      </c>
      <c r="I4" s="41" t="s">
        <v>134</v>
      </c>
      <c r="J4" s="41" t="s">
        <v>136</v>
      </c>
      <c r="K4" s="13"/>
      <c r="L4" s="13"/>
      <c r="M4" s="13"/>
      <c r="N4" s="13"/>
      <c r="O4" s="13"/>
      <c r="P4" s="13"/>
      <c r="Q4" s="13"/>
      <c r="R4" s="13"/>
      <c r="S4" s="13"/>
      <c r="T4" s="13"/>
      <c r="U4" s="13"/>
      <c r="W4" s="13"/>
      <c r="X4" s="50" t="s">
        <v>133</v>
      </c>
      <c r="Y4" s="50" t="s">
        <v>134</v>
      </c>
      <c r="Z4" s="50" t="s">
        <v>135</v>
      </c>
      <c r="AA4" s="13"/>
      <c r="AB4" s="13"/>
      <c r="AC4" s="13"/>
      <c r="AD4" s="50" t="s">
        <v>133</v>
      </c>
      <c r="AE4" s="50" t="s">
        <v>134</v>
      </c>
      <c r="AF4" s="50" t="s">
        <v>136</v>
      </c>
      <c r="AG4" s="13"/>
      <c r="AH4" s="13"/>
      <c r="AI4" s="51" t="s">
        <v>137</v>
      </c>
      <c r="AJ4" s="42"/>
      <c r="AK4" s="13"/>
      <c r="AL4" s="13"/>
      <c r="AM4" s="13"/>
      <c r="AN4" s="13"/>
      <c r="AO4" s="13"/>
      <c r="AP4" s="13"/>
      <c r="AQ4" s="13"/>
      <c r="AU4" s="50" t="s">
        <v>133</v>
      </c>
      <c r="AV4" s="50" t="s">
        <v>134</v>
      </c>
      <c r="AW4" s="50" t="s">
        <v>135</v>
      </c>
      <c r="AX4" s="13"/>
      <c r="AY4" s="13"/>
      <c r="AZ4" s="13"/>
      <c r="BA4" s="50" t="s">
        <v>133</v>
      </c>
      <c r="BB4" s="50" t="s">
        <v>134</v>
      </c>
      <c r="BC4" s="50" t="s">
        <v>136</v>
      </c>
      <c r="BD4" s="13"/>
      <c r="BE4" s="13"/>
      <c r="BF4" s="13" t="s">
        <v>137</v>
      </c>
      <c r="BG4" s="42"/>
      <c r="BH4" s="13"/>
      <c r="BI4" s="13"/>
      <c r="BJ4" s="13"/>
      <c r="BK4" s="13"/>
      <c r="BL4" s="13"/>
      <c r="BM4" s="13"/>
      <c r="BN4" s="13"/>
      <c r="BO4" s="13"/>
    </row>
    <row r="5" spans="1:67">
      <c r="A5" s="13"/>
      <c r="B5" s="46" t="s">
        <v>138</v>
      </c>
      <c r="C5" s="46">
        <v>294.39999999999998</v>
      </c>
      <c r="D5" s="49">
        <v>-1.46E-2</v>
      </c>
      <c r="E5" s="13"/>
      <c r="F5" s="13"/>
      <c r="G5" s="13"/>
      <c r="H5" s="46" t="s">
        <v>138</v>
      </c>
      <c r="I5" s="48">
        <v>23519.35</v>
      </c>
      <c r="J5" s="49">
        <v>-3.0999999999999999E-3</v>
      </c>
      <c r="K5" s="13"/>
      <c r="L5" s="13"/>
      <c r="M5" s="13"/>
      <c r="N5" s="13"/>
      <c r="O5" s="13"/>
      <c r="P5" s="13"/>
      <c r="Q5" s="13"/>
      <c r="R5" s="13"/>
      <c r="S5" s="13"/>
      <c r="T5" s="13"/>
      <c r="U5" s="13"/>
      <c r="W5" s="13"/>
      <c r="X5" s="46" t="s">
        <v>139</v>
      </c>
      <c r="Y5" s="46">
        <v>295.85000000000002</v>
      </c>
      <c r="Z5" s="49">
        <v>4.8999999999999998E-3</v>
      </c>
      <c r="AA5" s="13"/>
      <c r="AB5" s="13"/>
      <c r="AC5" s="13"/>
      <c r="AD5" s="46" t="s">
        <v>139</v>
      </c>
      <c r="AE5" s="48">
        <v>22904.45</v>
      </c>
      <c r="AF5" s="49">
        <v>-2.6100000000000002E-2</v>
      </c>
      <c r="AG5" s="13"/>
      <c r="AH5" s="13"/>
      <c r="AI5" s="13"/>
      <c r="AJ5" s="13"/>
      <c r="AK5" s="13"/>
      <c r="AL5" s="13"/>
      <c r="AM5" s="13"/>
      <c r="AN5" s="13"/>
      <c r="AO5" s="13"/>
      <c r="AP5" s="13"/>
      <c r="AQ5" s="13"/>
      <c r="AU5" s="47">
        <v>45660</v>
      </c>
      <c r="AV5" s="46">
        <v>294.39999999999998</v>
      </c>
      <c r="AW5" s="49">
        <v>-5.2600000000000001E-2</v>
      </c>
      <c r="AX5" s="13"/>
      <c r="AY5" s="13"/>
      <c r="AZ5" s="13"/>
      <c r="BA5" s="47">
        <v>45660</v>
      </c>
      <c r="BB5" s="48">
        <v>23519.35</v>
      </c>
      <c r="BC5" s="49">
        <v>6.3E-2</v>
      </c>
      <c r="BD5" s="13"/>
      <c r="BE5" s="13"/>
      <c r="BF5" s="13"/>
      <c r="BG5" s="13"/>
      <c r="BH5" s="13"/>
      <c r="BI5" s="13"/>
      <c r="BJ5" s="13"/>
      <c r="BK5" s="13"/>
      <c r="BL5" s="13"/>
      <c r="BM5" s="13"/>
      <c r="BN5" s="13"/>
      <c r="BO5" s="13"/>
    </row>
    <row r="6" spans="1:67" ht="15.75">
      <c r="A6" s="13"/>
      <c r="B6" s="46" t="s">
        <v>140</v>
      </c>
      <c r="C6" s="46">
        <v>298.75</v>
      </c>
      <c r="D6" s="49">
        <v>2.9600000000000001E-2</v>
      </c>
      <c r="E6" s="13"/>
      <c r="F6" s="13"/>
      <c r="G6" s="13"/>
      <c r="H6" s="46" t="s">
        <v>140</v>
      </c>
      <c r="I6" s="48">
        <v>23591.95</v>
      </c>
      <c r="J6" s="49">
        <v>4.4999999999999997E-3</v>
      </c>
      <c r="K6" s="13"/>
      <c r="L6" s="13"/>
      <c r="M6" s="41" t="s">
        <v>137</v>
      </c>
      <c r="N6" s="42"/>
      <c r="O6" s="13"/>
      <c r="P6" s="13"/>
      <c r="Q6" s="13"/>
      <c r="R6" s="13"/>
      <c r="S6" s="13"/>
      <c r="T6" s="13"/>
      <c r="U6" s="13"/>
      <c r="W6" s="13"/>
      <c r="X6" s="46" t="s">
        <v>141</v>
      </c>
      <c r="Y6" s="46">
        <v>294.39999999999998</v>
      </c>
      <c r="Z6" s="49">
        <v>-6.3E-2</v>
      </c>
      <c r="AA6" s="13"/>
      <c r="AB6" s="13"/>
      <c r="AC6" s="13"/>
      <c r="AD6" s="46" t="s">
        <v>141</v>
      </c>
      <c r="AE6" s="48">
        <v>23519.35</v>
      </c>
      <c r="AF6" s="49">
        <v>7.1999999999999998E-3</v>
      </c>
      <c r="AG6" s="13"/>
      <c r="AH6" s="13"/>
      <c r="AI6" s="43" t="s">
        <v>142</v>
      </c>
      <c r="AJ6" s="44"/>
      <c r="AK6" s="13"/>
      <c r="AL6" s="13"/>
      <c r="AM6" s="13"/>
      <c r="AN6" s="13"/>
      <c r="AO6" s="13"/>
      <c r="AP6" s="13"/>
      <c r="AQ6" s="13"/>
      <c r="AU6" s="47">
        <v>45659</v>
      </c>
      <c r="AV6" s="46">
        <v>310.75</v>
      </c>
      <c r="AW6" s="49">
        <v>7.3800000000000004E-2</v>
      </c>
      <c r="AX6" s="13"/>
      <c r="AY6" s="13"/>
      <c r="AZ6" s="13"/>
      <c r="BA6" s="47">
        <v>45659</v>
      </c>
      <c r="BB6" s="48">
        <v>22124.7</v>
      </c>
      <c r="BC6" s="49">
        <v>-5.8900000000000001E-2</v>
      </c>
      <c r="BD6" s="13"/>
      <c r="BE6" s="13"/>
      <c r="BF6" s="43" t="s">
        <v>142</v>
      </c>
      <c r="BG6" s="44"/>
      <c r="BH6" s="13"/>
      <c r="BI6" s="13"/>
      <c r="BJ6" s="13"/>
      <c r="BK6" s="13"/>
      <c r="BL6" s="13"/>
      <c r="BM6" s="13"/>
      <c r="BN6" s="13"/>
      <c r="BO6" s="13"/>
    </row>
    <row r="7" spans="1:67">
      <c r="A7" s="13"/>
      <c r="B7" s="46" t="s">
        <v>143</v>
      </c>
      <c r="C7" s="46">
        <v>290.14999999999998</v>
      </c>
      <c r="D7" s="49">
        <v>-3.5099999999999999E-2</v>
      </c>
      <c r="E7" s="13"/>
      <c r="F7" s="13"/>
      <c r="G7" s="13"/>
      <c r="H7" s="46" t="s">
        <v>143</v>
      </c>
      <c r="I7" s="48">
        <v>23486.85</v>
      </c>
      <c r="J7" s="49">
        <v>-7.7000000000000002E-3</v>
      </c>
      <c r="K7" s="13"/>
      <c r="L7" s="13"/>
      <c r="M7" s="13"/>
      <c r="N7" s="13"/>
      <c r="O7" s="13"/>
      <c r="P7" s="13"/>
      <c r="Q7" s="13"/>
      <c r="R7" s="13"/>
      <c r="S7" s="13"/>
      <c r="T7" s="13"/>
      <c r="U7" s="13"/>
      <c r="W7" s="13"/>
      <c r="X7" s="46" t="s">
        <v>144</v>
      </c>
      <c r="Y7" s="46">
        <v>314.2</v>
      </c>
      <c r="Z7" s="49">
        <v>3.4700000000000002E-2</v>
      </c>
      <c r="AA7" s="13"/>
      <c r="AB7" s="13"/>
      <c r="AC7" s="13"/>
      <c r="AD7" s="46" t="s">
        <v>144</v>
      </c>
      <c r="AE7" s="48">
        <v>23350.400000000001</v>
      </c>
      <c r="AF7" s="49">
        <v>4.2599999999999999E-2</v>
      </c>
      <c r="AG7" s="13"/>
      <c r="AH7" s="13"/>
      <c r="AI7" s="13" t="s">
        <v>145</v>
      </c>
      <c r="AJ7" s="13">
        <v>0.344578</v>
      </c>
      <c r="AK7" s="13"/>
      <c r="AL7" s="13"/>
      <c r="AM7" s="13"/>
      <c r="AN7" s="13"/>
      <c r="AO7" s="13"/>
      <c r="AP7" s="13"/>
      <c r="AQ7" s="13"/>
      <c r="AU7" s="47">
        <v>45658</v>
      </c>
      <c r="AV7" s="46">
        <v>289.39999999999998</v>
      </c>
      <c r="AW7" s="49">
        <v>-0.1249</v>
      </c>
      <c r="AX7" s="13"/>
      <c r="AY7" s="13"/>
      <c r="AZ7" s="13"/>
      <c r="BA7" s="47">
        <v>45658</v>
      </c>
      <c r="BB7" s="48">
        <v>23508.400000000001</v>
      </c>
      <c r="BC7" s="49">
        <v>-5.7999999999999996E-3</v>
      </c>
      <c r="BD7" s="13"/>
      <c r="BE7" s="13"/>
      <c r="BF7" s="13" t="s">
        <v>145</v>
      </c>
      <c r="BG7" s="13">
        <v>0.21993299999999999</v>
      </c>
      <c r="BH7" s="13"/>
      <c r="BI7" s="13"/>
      <c r="BJ7" s="13"/>
      <c r="BK7" s="13"/>
      <c r="BL7" s="13"/>
      <c r="BM7" s="13"/>
      <c r="BN7" s="13"/>
      <c r="BO7" s="13"/>
    </row>
    <row r="8" spans="1:67">
      <c r="A8" s="13"/>
      <c r="B8" s="46" t="s">
        <v>146</v>
      </c>
      <c r="C8" s="46">
        <v>300.7</v>
      </c>
      <c r="D8" s="49">
        <v>-2.1600000000000001E-2</v>
      </c>
      <c r="E8" s="13"/>
      <c r="F8" s="13"/>
      <c r="G8" s="13"/>
      <c r="H8" s="46" t="s">
        <v>146</v>
      </c>
      <c r="I8" s="48">
        <v>23668.65</v>
      </c>
      <c r="J8" s="49">
        <v>4.0000000000000002E-4</v>
      </c>
      <c r="K8" s="13"/>
      <c r="L8" s="13"/>
      <c r="M8" s="43" t="s">
        <v>142</v>
      </c>
      <c r="N8" s="44"/>
      <c r="O8" s="13"/>
      <c r="P8" s="13"/>
      <c r="Q8" s="13"/>
      <c r="R8" s="13"/>
      <c r="S8" s="13"/>
      <c r="T8" s="13"/>
      <c r="U8" s="13"/>
      <c r="W8" s="13"/>
      <c r="X8" s="47">
        <v>45903</v>
      </c>
      <c r="Y8" s="46">
        <v>303.64999999999998</v>
      </c>
      <c r="Z8" s="49">
        <v>-0.10059999999999999</v>
      </c>
      <c r="AA8" s="13"/>
      <c r="AB8" s="13"/>
      <c r="AC8" s="13"/>
      <c r="AD8" s="47">
        <v>45903</v>
      </c>
      <c r="AE8" s="48">
        <v>22397.200000000001</v>
      </c>
      <c r="AF8" s="49">
        <v>-6.8999999999999999E-3</v>
      </c>
      <c r="AG8" s="13"/>
      <c r="AH8" s="13"/>
      <c r="AI8" s="13" t="s">
        <v>147</v>
      </c>
      <c r="AJ8" s="13">
        <v>0.11873400000000001</v>
      </c>
      <c r="AK8" s="13"/>
      <c r="AL8" s="13"/>
      <c r="AM8" s="13"/>
      <c r="AN8" s="13"/>
      <c r="AO8" s="13"/>
      <c r="AP8" s="13"/>
      <c r="AQ8" s="13"/>
      <c r="AU8" s="47">
        <v>45303</v>
      </c>
      <c r="AV8" s="46">
        <v>330.7</v>
      </c>
      <c r="AW8" s="49">
        <v>1.32E-2</v>
      </c>
      <c r="AX8" s="13"/>
      <c r="AY8" s="13"/>
      <c r="AZ8" s="13"/>
      <c r="BA8" s="47">
        <v>45303</v>
      </c>
      <c r="BB8" s="48">
        <v>23644.799999999999</v>
      </c>
      <c r="BC8" s="49">
        <v>-2.0199999999999999E-2</v>
      </c>
      <c r="BD8" s="13"/>
      <c r="BE8" s="13"/>
      <c r="BF8" s="13" t="s">
        <v>147</v>
      </c>
      <c r="BG8" s="13">
        <v>4.8370000000000003E-2</v>
      </c>
      <c r="BH8" s="13"/>
      <c r="BI8" s="13"/>
      <c r="BJ8" s="13"/>
      <c r="BK8" s="13"/>
      <c r="BL8" s="13"/>
      <c r="BM8" s="13"/>
      <c r="BN8" s="13"/>
      <c r="BO8" s="13"/>
    </row>
    <row r="9" spans="1:67">
      <c r="A9" s="13"/>
      <c r="B9" s="46" t="s">
        <v>148</v>
      </c>
      <c r="C9" s="46">
        <v>307.35000000000002</v>
      </c>
      <c r="D9" s="49">
        <v>-2.18E-2</v>
      </c>
      <c r="E9" s="13"/>
      <c r="F9" s="13"/>
      <c r="G9" s="13"/>
      <c r="H9" s="46" t="s">
        <v>148</v>
      </c>
      <c r="I9" s="48">
        <v>23658.35</v>
      </c>
      <c r="J9" s="49">
        <v>1.32E-2</v>
      </c>
      <c r="K9" s="13"/>
      <c r="L9" s="13"/>
      <c r="M9" s="13" t="s">
        <v>145</v>
      </c>
      <c r="N9" s="13">
        <v>0.177371375</v>
      </c>
      <c r="O9" s="13"/>
      <c r="P9" s="13"/>
      <c r="Q9" s="13"/>
      <c r="R9" s="13"/>
      <c r="S9" s="13"/>
      <c r="T9" s="13"/>
      <c r="U9" s="13"/>
      <c r="W9" s="13"/>
      <c r="X9" s="47">
        <v>45691</v>
      </c>
      <c r="Y9" s="46">
        <v>337.6</v>
      </c>
      <c r="Z9" s="49">
        <v>8.6400000000000005E-2</v>
      </c>
      <c r="AA9" s="13"/>
      <c r="AB9" s="13"/>
      <c r="AC9" s="13"/>
      <c r="AD9" s="47">
        <v>45691</v>
      </c>
      <c r="AE9" s="48">
        <v>22552.5</v>
      </c>
      <c r="AF9" s="49">
        <v>1.9300000000000001E-2</v>
      </c>
      <c r="AG9" s="13"/>
      <c r="AH9" s="13"/>
      <c r="AI9" s="13" t="s">
        <v>149</v>
      </c>
      <c r="AJ9" s="13">
        <v>0.101109</v>
      </c>
      <c r="AK9" s="13"/>
      <c r="AL9" s="13"/>
      <c r="AM9" s="13"/>
      <c r="AN9" s="13"/>
      <c r="AO9" s="13"/>
      <c r="AP9" s="13"/>
      <c r="AQ9" s="13"/>
      <c r="AU9" s="47">
        <v>45302</v>
      </c>
      <c r="AV9" s="46">
        <v>326.39999999999998</v>
      </c>
      <c r="AW9" s="49">
        <v>1.7299999999999999E-2</v>
      </c>
      <c r="AX9" s="13"/>
      <c r="AY9" s="13"/>
      <c r="AZ9" s="13"/>
      <c r="BA9" s="47">
        <v>45302</v>
      </c>
      <c r="BB9" s="48">
        <v>24131.1</v>
      </c>
      <c r="BC9" s="49">
        <v>-3.0999999999999999E-3</v>
      </c>
      <c r="BD9" s="13"/>
      <c r="BE9" s="13"/>
      <c r="BF9" s="13" t="s">
        <v>149</v>
      </c>
      <c r="BG9" s="13">
        <v>-4.6789999999999998E-2</v>
      </c>
      <c r="BH9" s="13"/>
      <c r="BI9" s="13"/>
      <c r="BJ9" s="13"/>
      <c r="BK9" s="13"/>
      <c r="BL9" s="13"/>
      <c r="BM9" s="13"/>
      <c r="BN9" s="13"/>
      <c r="BO9" s="13"/>
    </row>
    <row r="10" spans="1:67">
      <c r="A10" s="13"/>
      <c r="B10" s="46" t="s">
        <v>150</v>
      </c>
      <c r="C10" s="46">
        <v>314.2</v>
      </c>
      <c r="D10" s="49">
        <v>4.7899999999999998E-2</v>
      </c>
      <c r="E10" s="13"/>
      <c r="F10" s="13"/>
      <c r="G10" s="13"/>
      <c r="H10" s="46" t="s">
        <v>150</v>
      </c>
      <c r="I10" s="48">
        <v>23350.400000000001</v>
      </c>
      <c r="J10" s="49">
        <v>6.8999999999999999E-3</v>
      </c>
      <c r="K10" s="13"/>
      <c r="L10" s="13"/>
      <c r="M10" s="13" t="s">
        <v>147</v>
      </c>
      <c r="N10" s="13">
        <v>3.1460605000000003E-2</v>
      </c>
      <c r="O10" s="13"/>
      <c r="P10" s="13"/>
      <c r="Q10" s="13"/>
      <c r="R10" s="13"/>
      <c r="S10" s="13"/>
      <c r="T10" s="13"/>
      <c r="U10" s="13"/>
      <c r="W10" s="13"/>
      <c r="X10" s="46" t="s">
        <v>151</v>
      </c>
      <c r="Y10" s="46">
        <v>310.75</v>
      </c>
      <c r="Z10" s="49">
        <v>-5.2200000000000003E-2</v>
      </c>
      <c r="AA10" s="13"/>
      <c r="AB10" s="13"/>
      <c r="AC10" s="13"/>
      <c r="AD10" s="46" t="s">
        <v>151</v>
      </c>
      <c r="AE10" s="48">
        <v>22124.7</v>
      </c>
      <c r="AF10" s="49">
        <v>-2.9399999999999999E-2</v>
      </c>
      <c r="AG10" s="13"/>
      <c r="AH10" s="13"/>
      <c r="AI10" s="13" t="s">
        <v>152</v>
      </c>
      <c r="AJ10" s="13">
        <v>5.1588000000000002E-2</v>
      </c>
      <c r="AK10" s="13"/>
      <c r="AL10" s="13"/>
      <c r="AM10" s="13"/>
      <c r="AN10" s="13"/>
      <c r="AO10" s="13"/>
      <c r="AP10" s="13"/>
      <c r="AQ10" s="13"/>
      <c r="AU10" s="47">
        <v>45301</v>
      </c>
      <c r="AV10" s="46">
        <v>320.85000000000002</v>
      </c>
      <c r="AW10" s="49">
        <v>-0.10340000000000001</v>
      </c>
      <c r="AX10" s="13"/>
      <c r="AY10" s="13"/>
      <c r="AZ10" s="13"/>
      <c r="BA10" s="47">
        <v>45301</v>
      </c>
      <c r="BB10" s="48">
        <v>24205.35</v>
      </c>
      <c r="BC10" s="49">
        <v>-6.2199999999999998E-2</v>
      </c>
      <c r="BD10" s="13"/>
      <c r="BE10" s="13"/>
      <c r="BF10" s="13" t="s">
        <v>152</v>
      </c>
      <c r="BG10" s="13">
        <v>7.4578000000000005E-2</v>
      </c>
      <c r="BH10" s="13"/>
      <c r="BI10" s="13"/>
      <c r="BJ10" s="13"/>
      <c r="BK10" s="13"/>
      <c r="BL10" s="13"/>
      <c r="BM10" s="13"/>
      <c r="BN10" s="13"/>
      <c r="BO10" s="13"/>
    </row>
    <row r="11" spans="1:67">
      <c r="A11" s="13"/>
      <c r="B11" s="46" t="s">
        <v>153</v>
      </c>
      <c r="C11" s="46">
        <v>299.85000000000002</v>
      </c>
      <c r="D11" s="49">
        <v>-1.66E-2</v>
      </c>
      <c r="E11" s="13"/>
      <c r="F11" s="13"/>
      <c r="G11" s="13"/>
      <c r="H11" s="46" t="s">
        <v>153</v>
      </c>
      <c r="I11" s="48">
        <v>23190.65</v>
      </c>
      <c r="J11" s="49">
        <v>1.24E-2</v>
      </c>
      <c r="K11" s="13"/>
      <c r="L11" s="13"/>
      <c r="M11" s="13" t="s">
        <v>149</v>
      </c>
      <c r="N11" s="13">
        <v>2.7523453E-2</v>
      </c>
      <c r="O11" s="13"/>
      <c r="P11" s="13"/>
      <c r="Q11" s="13"/>
      <c r="R11" s="13"/>
      <c r="S11" s="13"/>
      <c r="T11" s="13"/>
      <c r="U11" s="13"/>
      <c r="W11" s="13"/>
      <c r="X11" s="46" t="s">
        <v>154</v>
      </c>
      <c r="Y11" s="46">
        <v>327.85</v>
      </c>
      <c r="Z11" s="49">
        <v>9.4299999999999995E-2</v>
      </c>
      <c r="AA11" s="13"/>
      <c r="AB11" s="13"/>
      <c r="AC11" s="13"/>
      <c r="AD11" s="46" t="s">
        <v>154</v>
      </c>
      <c r="AE11" s="48">
        <v>22795.9</v>
      </c>
      <c r="AF11" s="49">
        <v>-5.7999999999999996E-3</v>
      </c>
      <c r="AG11" s="13"/>
      <c r="AH11" s="13"/>
      <c r="AI11" s="45" t="s">
        <v>155</v>
      </c>
      <c r="AJ11" s="45">
        <v>52</v>
      </c>
      <c r="AK11" s="13"/>
      <c r="AL11" s="13"/>
      <c r="AM11" s="13"/>
      <c r="AN11" s="13"/>
      <c r="AO11" s="13"/>
      <c r="AP11" s="13"/>
      <c r="AQ11" s="13"/>
      <c r="AU11" s="47">
        <v>45300</v>
      </c>
      <c r="AV11" s="46">
        <v>357.85</v>
      </c>
      <c r="AW11" s="49">
        <v>7.4399999999999994E-2</v>
      </c>
      <c r="AX11" s="13"/>
      <c r="AY11" s="13"/>
      <c r="AZ11" s="13"/>
      <c r="BA11" s="47">
        <v>45300</v>
      </c>
      <c r="BB11" s="48">
        <v>25810.85</v>
      </c>
      <c r="BC11" s="49">
        <v>2.2800000000000001E-2</v>
      </c>
      <c r="BD11" s="13"/>
      <c r="BE11" s="13"/>
      <c r="BF11" s="45" t="s">
        <v>155</v>
      </c>
      <c r="BG11" s="45">
        <v>12</v>
      </c>
      <c r="BH11" s="13"/>
      <c r="BI11" s="13"/>
      <c r="BJ11" s="13"/>
      <c r="BK11" s="13"/>
      <c r="BL11" s="13"/>
      <c r="BM11" s="13"/>
      <c r="BN11" s="13"/>
      <c r="BO11" s="13"/>
    </row>
    <row r="12" spans="1:67">
      <c r="A12" s="13"/>
      <c r="B12" s="46" t="s">
        <v>156</v>
      </c>
      <c r="C12" s="46">
        <v>304.89999999999998</v>
      </c>
      <c r="D12" s="49">
        <v>-1.6799999999999999E-2</v>
      </c>
      <c r="E12" s="13"/>
      <c r="F12" s="13"/>
      <c r="G12" s="13"/>
      <c r="H12" s="46" t="s">
        <v>156</v>
      </c>
      <c r="I12" s="48">
        <v>22907.599999999999</v>
      </c>
      <c r="J12" s="49">
        <v>3.2000000000000002E-3</v>
      </c>
      <c r="K12" s="13"/>
      <c r="L12" s="13"/>
      <c r="M12" s="13" t="s">
        <v>152</v>
      </c>
      <c r="N12" s="13">
        <v>2.1906186000000001E-2</v>
      </c>
      <c r="O12" s="13"/>
      <c r="P12" s="13"/>
      <c r="Q12" s="13"/>
      <c r="R12" s="13"/>
      <c r="S12" s="13"/>
      <c r="T12" s="13"/>
      <c r="U12" s="13"/>
      <c r="W12" s="13"/>
      <c r="X12" s="47">
        <v>45902</v>
      </c>
      <c r="Y12" s="46">
        <v>299.60000000000002</v>
      </c>
      <c r="Z12" s="49">
        <v>-7.1900000000000006E-2</v>
      </c>
      <c r="AA12" s="13"/>
      <c r="AB12" s="13"/>
      <c r="AC12" s="13"/>
      <c r="AD12" s="47">
        <v>45902</v>
      </c>
      <c r="AE12" s="48">
        <v>22929.25</v>
      </c>
      <c r="AF12" s="49">
        <v>-2.6800000000000001E-2</v>
      </c>
      <c r="AG12" s="13"/>
      <c r="AH12" s="13"/>
      <c r="AI12" s="13"/>
      <c r="AJ12" s="13"/>
      <c r="AK12" s="13"/>
      <c r="AL12" s="13"/>
      <c r="AM12" s="13"/>
      <c r="AN12" s="13"/>
      <c r="AO12" s="13"/>
      <c r="AP12" s="13"/>
      <c r="AQ12" s="13"/>
      <c r="AU12" s="47">
        <v>45299</v>
      </c>
      <c r="AV12" s="46">
        <v>333.07</v>
      </c>
      <c r="AW12" s="49">
        <v>8.9999999999999993E-3</v>
      </c>
      <c r="AX12" s="13"/>
      <c r="AY12" s="13"/>
      <c r="AZ12" s="13"/>
      <c r="BA12" s="47">
        <v>45299</v>
      </c>
      <c r="BB12" s="48">
        <v>25235.9</v>
      </c>
      <c r="BC12" s="49">
        <v>1.14E-2</v>
      </c>
      <c r="BD12" s="13"/>
      <c r="BE12" s="13"/>
      <c r="BF12" s="13"/>
      <c r="BG12" s="13"/>
      <c r="BH12" s="13"/>
      <c r="BI12" s="13"/>
      <c r="BJ12" s="13"/>
      <c r="BK12" s="13"/>
      <c r="BL12" s="13"/>
      <c r="BM12" s="13"/>
      <c r="BN12" s="13"/>
      <c r="BO12" s="13"/>
    </row>
    <row r="13" spans="1:67">
      <c r="A13" s="13"/>
      <c r="B13" s="46" t="s">
        <v>157</v>
      </c>
      <c r="C13" s="46">
        <v>310.10000000000002</v>
      </c>
      <c r="D13" s="49">
        <v>4.9399999999999999E-2</v>
      </c>
      <c r="E13" s="13"/>
      <c r="F13" s="13"/>
      <c r="G13" s="13"/>
      <c r="H13" s="46" t="s">
        <v>157</v>
      </c>
      <c r="I13" s="48">
        <v>22834.3</v>
      </c>
      <c r="J13" s="49">
        <v>1.4500000000000001E-2</v>
      </c>
      <c r="K13" s="13"/>
      <c r="L13" s="13"/>
      <c r="M13" s="45" t="s">
        <v>155</v>
      </c>
      <c r="N13" s="45">
        <v>248</v>
      </c>
      <c r="O13" s="13"/>
      <c r="P13" s="13"/>
      <c r="Q13" s="13"/>
      <c r="R13" s="13"/>
      <c r="S13" s="13"/>
      <c r="T13" s="13"/>
      <c r="U13" s="13"/>
      <c r="W13" s="13"/>
      <c r="X13" s="47">
        <v>45690</v>
      </c>
      <c r="Y13" s="46">
        <v>322.8</v>
      </c>
      <c r="Z13" s="49">
        <v>0.1154</v>
      </c>
      <c r="AA13" s="13"/>
      <c r="AB13" s="13"/>
      <c r="AC13" s="13"/>
      <c r="AD13" s="47">
        <v>45690</v>
      </c>
      <c r="AE13" s="48">
        <v>23559.95</v>
      </c>
      <c r="AF13" s="49">
        <v>2.2000000000000001E-3</v>
      </c>
      <c r="AG13" s="13"/>
      <c r="AH13" s="13"/>
      <c r="AI13" s="13" t="s">
        <v>158</v>
      </c>
      <c r="AJ13" s="13"/>
      <c r="AK13" s="13"/>
      <c r="AL13" s="13"/>
      <c r="AM13" s="13"/>
      <c r="AN13" s="13"/>
      <c r="AO13" s="13"/>
      <c r="AP13" s="13"/>
      <c r="AQ13" s="13"/>
      <c r="AU13" s="47">
        <v>45298</v>
      </c>
      <c r="AV13" s="46">
        <v>330.09</v>
      </c>
      <c r="AW13" s="49">
        <v>5.4100000000000002E-2</v>
      </c>
      <c r="AX13" s="13"/>
      <c r="AY13" s="13"/>
      <c r="AZ13" s="13"/>
      <c r="BA13" s="47">
        <v>45298</v>
      </c>
      <c r="BB13" s="48">
        <v>24951.15</v>
      </c>
      <c r="BC13" s="49">
        <v>3.9199999999999999E-2</v>
      </c>
      <c r="BD13" s="13"/>
      <c r="BE13" s="13"/>
      <c r="BF13" s="13" t="s">
        <v>158</v>
      </c>
      <c r="BG13" s="13"/>
      <c r="BH13" s="13"/>
      <c r="BI13" s="13"/>
      <c r="BJ13" s="13"/>
      <c r="BK13" s="13"/>
      <c r="BL13" s="13"/>
      <c r="BM13" s="13"/>
      <c r="BN13" s="13"/>
      <c r="BO13" s="13"/>
    </row>
    <row r="14" spans="1:67">
      <c r="A14" s="13"/>
      <c r="B14" s="46" t="s">
        <v>159</v>
      </c>
      <c r="C14" s="46">
        <v>295.5</v>
      </c>
      <c r="D14" s="49">
        <v>-2.6800000000000001E-2</v>
      </c>
      <c r="E14" s="13"/>
      <c r="F14" s="13"/>
      <c r="G14" s="13"/>
      <c r="H14" s="46" t="s">
        <v>159</v>
      </c>
      <c r="I14" s="48">
        <v>22508.75</v>
      </c>
      <c r="J14" s="49">
        <v>5.0000000000000001E-3</v>
      </c>
      <c r="K14" s="13"/>
      <c r="L14" s="13"/>
      <c r="M14" s="13"/>
      <c r="N14" s="13"/>
      <c r="O14" s="13"/>
      <c r="P14" s="13"/>
      <c r="Q14" s="13"/>
      <c r="R14" s="13"/>
      <c r="S14" s="13"/>
      <c r="T14" s="13"/>
      <c r="U14" s="13"/>
      <c r="W14" s="13"/>
      <c r="X14" s="46" t="s">
        <v>160</v>
      </c>
      <c r="Y14" s="46">
        <v>289.39999999999998</v>
      </c>
      <c r="Z14" s="49">
        <v>-5.1799999999999999E-2</v>
      </c>
      <c r="AA14" s="13"/>
      <c r="AB14" s="13"/>
      <c r="AC14" s="13"/>
      <c r="AD14" s="46" t="s">
        <v>160</v>
      </c>
      <c r="AE14" s="48">
        <v>23508.400000000001</v>
      </c>
      <c r="AF14" s="49">
        <v>1.7999999999999999E-2</v>
      </c>
      <c r="AG14" s="13"/>
      <c r="AH14" s="13"/>
      <c r="AI14" s="43" t="s">
        <v>161</v>
      </c>
      <c r="AJ14" s="43" t="s">
        <v>162</v>
      </c>
      <c r="AK14" s="43" t="s">
        <v>163</v>
      </c>
      <c r="AL14" s="43" t="s">
        <v>164</v>
      </c>
      <c r="AM14" s="43" t="s">
        <v>165</v>
      </c>
      <c r="AN14" s="43" t="s">
        <v>166</v>
      </c>
      <c r="AO14" s="13"/>
      <c r="AP14" s="13"/>
      <c r="AQ14" s="13"/>
      <c r="AU14" s="47">
        <v>45297</v>
      </c>
      <c r="AV14" s="46">
        <v>313.16000000000003</v>
      </c>
      <c r="AW14" s="49">
        <v>7.7700000000000005E-2</v>
      </c>
      <c r="AX14" s="13"/>
      <c r="AY14" s="13"/>
      <c r="AZ14" s="13"/>
      <c r="BA14" s="47">
        <v>45297</v>
      </c>
      <c r="BB14" s="48">
        <v>24010.6</v>
      </c>
      <c r="BC14" s="49">
        <v>6.5699999999999995E-2</v>
      </c>
      <c r="BD14" s="13"/>
      <c r="BE14" s="13"/>
      <c r="BF14" s="43" t="s">
        <v>161</v>
      </c>
      <c r="BG14" s="43" t="s">
        <v>162</v>
      </c>
      <c r="BH14" s="43" t="s">
        <v>163</v>
      </c>
      <c r="BI14" s="43" t="s">
        <v>164</v>
      </c>
      <c r="BJ14" s="43" t="s">
        <v>165</v>
      </c>
      <c r="BK14" s="43" t="s">
        <v>166</v>
      </c>
      <c r="BL14" s="13"/>
      <c r="BM14" s="13"/>
      <c r="BN14" s="13"/>
      <c r="BO14" s="13"/>
    </row>
    <row r="15" spans="1:67">
      <c r="A15" s="13"/>
      <c r="B15" s="46" t="s">
        <v>167</v>
      </c>
      <c r="C15" s="46">
        <v>303.64999999999998</v>
      </c>
      <c r="D15" s="49">
        <v>-3.85E-2</v>
      </c>
      <c r="E15" s="13"/>
      <c r="F15" s="13"/>
      <c r="G15" s="13"/>
      <c r="H15" s="46" t="s">
        <v>167</v>
      </c>
      <c r="I15" s="48">
        <v>22397.200000000001</v>
      </c>
      <c r="J15" s="49">
        <v>-3.3E-3</v>
      </c>
      <c r="K15" s="13"/>
      <c r="L15" s="13"/>
      <c r="M15" s="13" t="s">
        <v>158</v>
      </c>
      <c r="N15" s="13"/>
      <c r="O15" s="13"/>
      <c r="P15" s="13"/>
      <c r="Q15" s="13"/>
      <c r="R15" s="13"/>
      <c r="S15" s="13"/>
      <c r="T15" s="13"/>
      <c r="U15" s="13"/>
      <c r="W15" s="13"/>
      <c r="X15" s="46" t="s">
        <v>168</v>
      </c>
      <c r="Y15" s="46">
        <v>305.2</v>
      </c>
      <c r="Z15" s="49">
        <v>-3.9E-2</v>
      </c>
      <c r="AA15" s="13"/>
      <c r="AB15" s="13"/>
      <c r="AC15" s="13"/>
      <c r="AD15" s="46" t="s">
        <v>168</v>
      </c>
      <c r="AE15" s="48">
        <v>23092.2</v>
      </c>
      <c r="AF15" s="49">
        <v>-4.7999999999999996E-3</v>
      </c>
      <c r="AG15" s="13"/>
      <c r="AH15" s="13"/>
      <c r="AI15" s="13" t="s">
        <v>169</v>
      </c>
      <c r="AJ15" s="13">
        <v>1</v>
      </c>
      <c r="AK15" s="13">
        <v>1.7927999999999999E-2</v>
      </c>
      <c r="AL15" s="13">
        <v>1.7927999999999999E-2</v>
      </c>
      <c r="AM15" s="13">
        <v>6.7365529999999998</v>
      </c>
      <c r="AN15" s="13">
        <v>1.2366E-2</v>
      </c>
      <c r="AO15" s="13"/>
      <c r="AP15" s="13"/>
      <c r="AQ15" s="13"/>
      <c r="AU15" s="47">
        <v>45296</v>
      </c>
      <c r="AV15" s="46">
        <v>290.58</v>
      </c>
      <c r="AW15" s="49">
        <v>2.0199999999999999E-2</v>
      </c>
      <c r="AX15" s="13"/>
      <c r="AY15" s="13"/>
      <c r="AZ15" s="13"/>
      <c r="BA15" s="47">
        <v>45296</v>
      </c>
      <c r="BB15" s="48">
        <v>22530.7</v>
      </c>
      <c r="BC15" s="49">
        <v>-3.3E-3</v>
      </c>
      <c r="BD15" s="13"/>
      <c r="BE15" s="13"/>
      <c r="BF15" s="13" t="s">
        <v>169</v>
      </c>
      <c r="BG15" s="13">
        <v>1</v>
      </c>
      <c r="BH15" s="13">
        <v>2.8270000000000001E-3</v>
      </c>
      <c r="BI15" s="13">
        <v>2.8270000000000001E-3</v>
      </c>
      <c r="BJ15" s="13">
        <v>0.50829100000000005</v>
      </c>
      <c r="BK15" s="13">
        <v>0.49218099999999998</v>
      </c>
      <c r="BL15" s="13"/>
      <c r="BM15" s="13"/>
      <c r="BN15" s="13"/>
      <c r="BO15" s="13"/>
    </row>
    <row r="16" spans="1:67">
      <c r="A16" s="13"/>
      <c r="B16" s="47">
        <v>45994</v>
      </c>
      <c r="C16" s="46">
        <v>315.8</v>
      </c>
      <c r="D16" s="49">
        <v>-2.46E-2</v>
      </c>
      <c r="E16" s="13"/>
      <c r="F16" s="13"/>
      <c r="G16" s="13"/>
      <c r="H16" s="47">
        <v>45994</v>
      </c>
      <c r="I16" s="48">
        <v>22470.5</v>
      </c>
      <c r="J16" s="49">
        <v>-1.1999999999999999E-3</v>
      </c>
      <c r="K16" s="13"/>
      <c r="L16" s="13"/>
      <c r="M16" s="43" t="s">
        <v>161</v>
      </c>
      <c r="N16" s="43" t="s">
        <v>162</v>
      </c>
      <c r="O16" s="43" t="s">
        <v>163</v>
      </c>
      <c r="P16" s="43" t="s">
        <v>164</v>
      </c>
      <c r="Q16" s="43" t="s">
        <v>165</v>
      </c>
      <c r="R16" s="43" t="s">
        <v>166</v>
      </c>
      <c r="S16" s="13"/>
      <c r="T16" s="13"/>
      <c r="U16" s="13"/>
      <c r="W16" s="13"/>
      <c r="X16" s="47">
        <v>45992</v>
      </c>
      <c r="Y16" s="46">
        <v>317.60000000000002</v>
      </c>
      <c r="Z16" s="49">
        <v>-3.5999999999999997E-2</v>
      </c>
      <c r="AA16" s="13"/>
      <c r="AB16" s="13"/>
      <c r="AC16" s="13"/>
      <c r="AD16" s="47">
        <v>45992</v>
      </c>
      <c r="AE16" s="48">
        <v>23203.200000000001</v>
      </c>
      <c r="AF16" s="49">
        <v>-9.7000000000000003E-3</v>
      </c>
      <c r="AG16" s="13"/>
      <c r="AH16" s="13"/>
      <c r="AI16" s="13" t="s">
        <v>170</v>
      </c>
      <c r="AJ16" s="13">
        <v>50</v>
      </c>
      <c r="AK16" s="13">
        <v>0.13306599999999999</v>
      </c>
      <c r="AL16" s="13">
        <v>2.6610000000000002E-3</v>
      </c>
      <c r="AM16" s="13"/>
      <c r="AN16" s="13"/>
      <c r="AO16" s="13"/>
      <c r="AP16" s="13"/>
      <c r="AQ16" s="13"/>
      <c r="AU16" s="47">
        <v>45295</v>
      </c>
      <c r="AV16" s="46">
        <v>284.83</v>
      </c>
      <c r="AW16" s="49">
        <v>-9.2600000000000002E-2</v>
      </c>
      <c r="AX16" s="13"/>
      <c r="AY16" s="13"/>
      <c r="AZ16" s="13"/>
      <c r="BA16" s="47">
        <v>45295</v>
      </c>
      <c r="BB16" s="48">
        <v>22604.85</v>
      </c>
      <c r="BC16" s="49">
        <v>1.24E-2</v>
      </c>
      <c r="BD16" s="13"/>
      <c r="BE16" s="13"/>
      <c r="BF16" s="13" t="s">
        <v>170</v>
      </c>
      <c r="BG16" s="13">
        <v>10</v>
      </c>
      <c r="BH16" s="13">
        <v>5.5619000000000002E-2</v>
      </c>
      <c r="BI16" s="13">
        <v>5.5620000000000001E-3</v>
      </c>
      <c r="BJ16" s="13"/>
      <c r="BK16" s="13"/>
      <c r="BL16" s="13"/>
      <c r="BM16" s="13"/>
      <c r="BN16" s="13"/>
      <c r="BO16" s="13"/>
    </row>
    <row r="17" spans="1:67">
      <c r="A17" s="13"/>
      <c r="B17" s="47">
        <v>45964</v>
      </c>
      <c r="C17" s="46">
        <v>323.75</v>
      </c>
      <c r="D17" s="49">
        <v>-6.7000000000000002E-3</v>
      </c>
      <c r="E17" s="13"/>
      <c r="F17" s="13"/>
      <c r="G17" s="13"/>
      <c r="H17" s="47">
        <v>45964</v>
      </c>
      <c r="I17" s="48">
        <v>22497.9</v>
      </c>
      <c r="J17" s="49">
        <v>1.6999999999999999E-3</v>
      </c>
      <c r="K17" s="13"/>
      <c r="L17" s="13"/>
      <c r="M17" s="13" t="s">
        <v>169</v>
      </c>
      <c r="N17" s="13">
        <v>1</v>
      </c>
      <c r="O17" s="13">
        <v>3.8345860000000001E-3</v>
      </c>
      <c r="P17" s="13">
        <v>3.8349999999999999E-3</v>
      </c>
      <c r="Q17" s="13">
        <v>7.9907009999999996</v>
      </c>
      <c r="R17" s="13">
        <v>5.0884240000000002E-3</v>
      </c>
      <c r="S17" s="13"/>
      <c r="T17" s="13"/>
      <c r="U17" s="13"/>
      <c r="W17" s="13"/>
      <c r="X17" s="47">
        <v>45778</v>
      </c>
      <c r="Y17" s="46">
        <v>329.45</v>
      </c>
      <c r="Z17" s="49">
        <v>-5.6599999999999998E-2</v>
      </c>
      <c r="AA17" s="13"/>
      <c r="AB17" s="13"/>
      <c r="AC17" s="13"/>
      <c r="AD17" s="47">
        <v>45778</v>
      </c>
      <c r="AE17" s="48">
        <v>23431.5</v>
      </c>
      <c r="AF17" s="49">
        <v>-2.3900000000000001E-2</v>
      </c>
      <c r="AG17" s="13"/>
      <c r="AH17" s="13"/>
      <c r="AI17" s="45" t="s">
        <v>171</v>
      </c>
      <c r="AJ17" s="45">
        <v>51</v>
      </c>
      <c r="AK17" s="45">
        <v>0.15099499999999999</v>
      </c>
      <c r="AL17" s="45" t="s">
        <v>161</v>
      </c>
      <c r="AM17" s="45" t="s">
        <v>161</v>
      </c>
      <c r="AN17" s="45" t="s">
        <v>161</v>
      </c>
      <c r="AO17" s="13"/>
      <c r="AP17" s="13"/>
      <c r="AQ17" s="13"/>
      <c r="AU17" s="13"/>
      <c r="AV17" s="13"/>
      <c r="AW17" s="13"/>
      <c r="AX17" s="13"/>
      <c r="AY17" s="13"/>
      <c r="AZ17" s="13"/>
      <c r="BA17" s="13"/>
      <c r="BB17" s="13"/>
      <c r="BC17" s="13"/>
      <c r="BD17" s="13"/>
      <c r="BE17" s="13"/>
      <c r="BF17" s="45" t="s">
        <v>171</v>
      </c>
      <c r="BG17" s="45">
        <v>11</v>
      </c>
      <c r="BH17" s="45">
        <v>5.8445999999999998E-2</v>
      </c>
      <c r="BI17" s="45" t="s">
        <v>161</v>
      </c>
      <c r="BJ17" s="45" t="s">
        <v>161</v>
      </c>
      <c r="BK17" s="45" t="s">
        <v>161</v>
      </c>
      <c r="BL17" s="13"/>
      <c r="BM17" s="13"/>
      <c r="BN17" s="13"/>
      <c r="BO17" s="13"/>
    </row>
    <row r="18" spans="1:67">
      <c r="A18" s="13"/>
      <c r="B18" s="47">
        <v>45933</v>
      </c>
      <c r="C18" s="46">
        <v>325.95</v>
      </c>
      <c r="D18" s="49">
        <v>-3.4500000000000003E-2</v>
      </c>
      <c r="E18" s="13"/>
      <c r="F18" s="13"/>
      <c r="G18" s="13"/>
      <c r="H18" s="47">
        <v>45933</v>
      </c>
      <c r="I18" s="48">
        <v>22460.3</v>
      </c>
      <c r="J18" s="49">
        <v>-4.1000000000000003E-3</v>
      </c>
      <c r="K18" s="13"/>
      <c r="L18" s="13"/>
      <c r="M18" s="13" t="s">
        <v>170</v>
      </c>
      <c r="N18" s="13">
        <v>246</v>
      </c>
      <c r="O18" s="13">
        <v>0.11805072699999999</v>
      </c>
      <c r="P18" s="13">
        <v>4.8000000000000001E-4</v>
      </c>
      <c r="Q18" s="13"/>
      <c r="R18" s="13"/>
      <c r="S18" s="13"/>
      <c r="T18" s="13"/>
      <c r="U18" s="13"/>
      <c r="W18" s="13"/>
      <c r="X18" s="46" t="s">
        <v>172</v>
      </c>
      <c r="Y18" s="46">
        <v>349.2</v>
      </c>
      <c r="Z18" s="49">
        <v>5.7200000000000001E-2</v>
      </c>
      <c r="AA18" s="13"/>
      <c r="AB18" s="13"/>
      <c r="AC18" s="13"/>
      <c r="AD18" s="46" t="s">
        <v>172</v>
      </c>
      <c r="AE18" s="48">
        <v>24004.75</v>
      </c>
      <c r="AF18" s="49">
        <v>8.0000000000000002E-3</v>
      </c>
      <c r="AG18" s="13"/>
      <c r="AH18" s="13"/>
      <c r="AI18" s="13"/>
      <c r="AJ18" s="13"/>
      <c r="AK18" s="13"/>
      <c r="AL18" s="13"/>
      <c r="AM18" s="13"/>
      <c r="AN18" s="13"/>
      <c r="AO18" s="13"/>
      <c r="AP18" s="13"/>
      <c r="AQ18" s="13"/>
      <c r="AU18" s="13"/>
      <c r="AV18" s="13"/>
      <c r="AW18" s="13"/>
      <c r="AX18" s="13"/>
      <c r="AY18" s="13"/>
      <c r="AZ18" s="13"/>
      <c r="BA18" s="13"/>
      <c r="BB18" s="13"/>
      <c r="BC18" s="13"/>
      <c r="BD18" s="13"/>
      <c r="BE18" s="13"/>
      <c r="BF18" s="13"/>
      <c r="BG18" s="13"/>
      <c r="BH18" s="13"/>
      <c r="BI18" s="13"/>
      <c r="BJ18" s="13"/>
      <c r="BK18" s="13"/>
      <c r="BL18" s="13"/>
      <c r="BM18" s="13"/>
      <c r="BN18" s="13"/>
      <c r="BO18" s="13"/>
    </row>
    <row r="19" spans="1:67">
      <c r="A19" s="13"/>
      <c r="B19" s="47">
        <v>45841</v>
      </c>
      <c r="C19" s="46">
        <v>337.6</v>
      </c>
      <c r="D19" s="49">
        <v>3.32E-2</v>
      </c>
      <c r="E19" s="13"/>
      <c r="F19" s="13"/>
      <c r="G19" s="13"/>
      <c r="H19" s="47">
        <v>45841</v>
      </c>
      <c r="I19" s="48">
        <v>22552.5</v>
      </c>
      <c r="J19" s="49">
        <v>2.9999999999999997E-4</v>
      </c>
      <c r="K19" s="13"/>
      <c r="L19" s="13"/>
      <c r="M19" s="45" t="s">
        <v>171</v>
      </c>
      <c r="N19" s="45">
        <v>247</v>
      </c>
      <c r="O19" s="45">
        <v>0.121885313</v>
      </c>
      <c r="P19" s="45" t="s">
        <v>161</v>
      </c>
      <c r="Q19" s="45" t="s">
        <v>161</v>
      </c>
      <c r="R19" s="45" t="s">
        <v>161</v>
      </c>
      <c r="S19" s="13"/>
      <c r="T19" s="13"/>
      <c r="U19" s="13"/>
      <c r="W19" s="13"/>
      <c r="X19" s="46" t="s">
        <v>173</v>
      </c>
      <c r="Y19" s="46">
        <v>330.3</v>
      </c>
      <c r="Z19" s="49">
        <v>5.9299999999999999E-2</v>
      </c>
      <c r="AA19" s="13"/>
      <c r="AB19" s="13"/>
      <c r="AC19" s="13"/>
      <c r="AD19" s="46" t="s">
        <v>173</v>
      </c>
      <c r="AE19" s="48">
        <v>23813.4</v>
      </c>
      <c r="AF19" s="49">
        <v>9.5999999999999992E-3</v>
      </c>
      <c r="AG19" s="13"/>
      <c r="AH19" s="13"/>
      <c r="AI19" s="43" t="s">
        <v>161</v>
      </c>
      <c r="AJ19" s="43" t="s">
        <v>174</v>
      </c>
      <c r="AK19" s="43" t="s">
        <v>152</v>
      </c>
      <c r="AL19" s="43" t="s">
        <v>175</v>
      </c>
      <c r="AM19" s="43" t="s">
        <v>176</v>
      </c>
      <c r="AN19" s="43" t="s">
        <v>177</v>
      </c>
      <c r="AO19" s="43" t="s">
        <v>178</v>
      </c>
      <c r="AP19" s="43" t="s">
        <v>179</v>
      </c>
      <c r="AQ19" s="43" t="s">
        <v>180</v>
      </c>
      <c r="AU19" s="13"/>
      <c r="AV19" s="13"/>
      <c r="AW19" s="13"/>
      <c r="AX19" s="13"/>
      <c r="AY19" s="13"/>
      <c r="AZ19" s="13"/>
      <c r="BA19" s="13"/>
      <c r="BB19" s="13"/>
      <c r="BC19" s="13"/>
      <c r="BD19" s="13"/>
      <c r="BE19" s="13"/>
      <c r="BF19" s="43" t="s">
        <v>161</v>
      </c>
      <c r="BG19" s="43" t="s">
        <v>174</v>
      </c>
      <c r="BH19" s="43" t="s">
        <v>152</v>
      </c>
      <c r="BI19" s="43" t="s">
        <v>175</v>
      </c>
      <c r="BJ19" s="43" t="s">
        <v>176</v>
      </c>
      <c r="BK19" s="43" t="s">
        <v>177</v>
      </c>
      <c r="BL19" s="43" t="s">
        <v>178</v>
      </c>
      <c r="BM19" s="43" t="s">
        <v>179</v>
      </c>
      <c r="BN19" s="43" t="s">
        <v>180</v>
      </c>
      <c r="BO19" s="13"/>
    </row>
    <row r="20" spans="1:67">
      <c r="A20" s="13"/>
      <c r="B20" s="47">
        <v>45811</v>
      </c>
      <c r="C20" s="46">
        <v>326.75</v>
      </c>
      <c r="D20" s="49">
        <v>5.2299999999999999E-2</v>
      </c>
      <c r="E20" s="13"/>
      <c r="F20" s="13"/>
      <c r="G20" s="13"/>
      <c r="H20" s="47">
        <v>45811</v>
      </c>
      <c r="I20" s="48">
        <v>22544.7</v>
      </c>
      <c r="J20" s="49">
        <v>9.2999999999999992E-3</v>
      </c>
      <c r="K20" s="13"/>
      <c r="L20" s="13"/>
      <c r="M20" s="13"/>
      <c r="N20" s="13"/>
      <c r="O20" s="13"/>
      <c r="P20" s="13"/>
      <c r="Q20" s="13"/>
      <c r="R20" s="13"/>
      <c r="S20" s="13"/>
      <c r="T20" s="13"/>
      <c r="U20" s="13"/>
      <c r="W20" s="13"/>
      <c r="X20" s="46" t="s">
        <v>181</v>
      </c>
      <c r="Y20" s="46">
        <v>311.8</v>
      </c>
      <c r="Z20" s="49">
        <v>-5.0000000000000001E-4</v>
      </c>
      <c r="AA20" s="13"/>
      <c r="AB20" s="13"/>
      <c r="AC20" s="13"/>
      <c r="AD20" s="46" t="s">
        <v>181</v>
      </c>
      <c r="AE20" s="48">
        <v>23587.5</v>
      </c>
      <c r="AF20" s="49">
        <v>-4.7699999999999999E-2</v>
      </c>
      <c r="AG20" s="13"/>
      <c r="AH20" s="13"/>
      <c r="AI20" s="13" t="s">
        <v>182</v>
      </c>
      <c r="AJ20" s="13">
        <v>4.0400000000000001E-4</v>
      </c>
      <c r="AK20" s="13">
        <v>7.1570000000000002E-3</v>
      </c>
      <c r="AL20" s="13">
        <v>5.6385999999999999E-2</v>
      </c>
      <c r="AM20" s="13">
        <v>0.95525899999999997</v>
      </c>
      <c r="AN20" s="13">
        <v>-1.397E-2</v>
      </c>
      <c r="AO20" s="13">
        <v>1.4777999999999999E-2</v>
      </c>
      <c r="AP20" s="13">
        <v>-1.397E-2</v>
      </c>
      <c r="AQ20" s="13">
        <v>1.4777999999999999E-2</v>
      </c>
      <c r="AU20" s="13"/>
      <c r="AV20" s="13"/>
      <c r="AW20" s="13"/>
      <c r="AX20" s="13"/>
      <c r="AY20" s="13"/>
      <c r="AZ20" s="13"/>
      <c r="BA20" s="13"/>
      <c r="BB20" s="13"/>
      <c r="BC20" s="13"/>
      <c r="BD20" s="13"/>
      <c r="BE20" s="13"/>
      <c r="BF20" s="13" t="s">
        <v>182</v>
      </c>
      <c r="BG20" s="13">
        <v>-4.8199999999999996E-3</v>
      </c>
      <c r="BH20" s="13">
        <v>2.1711999999999999E-2</v>
      </c>
      <c r="BI20" s="13">
        <v>-0.22220999999999999</v>
      </c>
      <c r="BJ20" s="13">
        <v>0.82862000000000002</v>
      </c>
      <c r="BK20" s="13">
        <v>-5.3199999999999997E-2</v>
      </c>
      <c r="BL20" s="13">
        <v>4.3553000000000001E-2</v>
      </c>
      <c r="BM20" s="13">
        <v>-5.3199999999999997E-2</v>
      </c>
      <c r="BN20" s="13">
        <v>4.3553000000000001E-2</v>
      </c>
      <c r="BO20" s="13"/>
    </row>
    <row r="21" spans="1:67">
      <c r="A21" s="13"/>
      <c r="B21" s="47">
        <v>45780</v>
      </c>
      <c r="C21" s="46">
        <v>310.5</v>
      </c>
      <c r="D21" s="49">
        <v>-2.8899999999999999E-2</v>
      </c>
      <c r="E21" s="13"/>
      <c r="F21" s="13"/>
      <c r="G21" s="13"/>
      <c r="H21" s="47">
        <v>45780</v>
      </c>
      <c r="I21" s="48">
        <v>22337.3</v>
      </c>
      <c r="J21" s="49">
        <v>1.15E-2</v>
      </c>
      <c r="K21" s="13"/>
      <c r="L21" s="13"/>
      <c r="M21" s="43" t="s">
        <v>161</v>
      </c>
      <c r="N21" s="43" t="s">
        <v>174</v>
      </c>
      <c r="O21" s="43" t="s">
        <v>152</v>
      </c>
      <c r="P21" s="43" t="s">
        <v>175</v>
      </c>
      <c r="Q21" s="43" t="s">
        <v>176</v>
      </c>
      <c r="R21" s="43" t="s">
        <v>177</v>
      </c>
      <c r="S21" s="43" t="s">
        <v>178</v>
      </c>
      <c r="T21" s="43" t="s">
        <v>179</v>
      </c>
      <c r="U21" s="43" t="s">
        <v>180</v>
      </c>
      <c r="W21" s="13"/>
      <c r="X21" s="47">
        <v>45516</v>
      </c>
      <c r="Y21" s="46">
        <v>311.95</v>
      </c>
      <c r="Z21" s="49">
        <v>-0.1087</v>
      </c>
      <c r="AA21" s="13"/>
      <c r="AB21" s="13"/>
      <c r="AC21" s="13"/>
      <c r="AD21" s="47">
        <v>45516</v>
      </c>
      <c r="AE21" s="48">
        <v>24768.3</v>
      </c>
      <c r="AF21" s="49">
        <v>3.7000000000000002E-3</v>
      </c>
      <c r="AG21" s="13"/>
      <c r="AH21" s="13"/>
      <c r="AI21" s="45" t="s">
        <v>183</v>
      </c>
      <c r="AJ21" s="45">
        <v>0.99302199999999996</v>
      </c>
      <c r="AK21" s="45">
        <v>0.38259599999999999</v>
      </c>
      <c r="AL21" s="45">
        <v>2.5954869999999999</v>
      </c>
      <c r="AM21" s="45">
        <v>1.2366E-2</v>
      </c>
      <c r="AN21" s="45">
        <v>0.22455600000000001</v>
      </c>
      <c r="AO21" s="45">
        <v>1.7614879999999999</v>
      </c>
      <c r="AP21" s="45">
        <v>0.22455600000000001</v>
      </c>
      <c r="AQ21" s="45">
        <v>1.7614879999999999</v>
      </c>
      <c r="AU21" s="13"/>
      <c r="AV21" s="13"/>
      <c r="AW21" s="13"/>
      <c r="AX21" s="13"/>
      <c r="AY21" s="13"/>
      <c r="AZ21" s="13"/>
      <c r="BA21" s="13"/>
      <c r="BB21" s="13"/>
      <c r="BC21" s="13"/>
      <c r="BD21" s="13"/>
      <c r="BE21" s="13"/>
      <c r="BF21" s="45" t="s">
        <v>183</v>
      </c>
      <c r="BG21" s="45">
        <v>0.39503899999999997</v>
      </c>
      <c r="BH21" s="45">
        <v>0.55409399999999998</v>
      </c>
      <c r="BI21" s="45">
        <v>0.71294500000000005</v>
      </c>
      <c r="BJ21" s="45">
        <v>0.49218099999999998</v>
      </c>
      <c r="BK21" s="45">
        <v>-0.83955999999999997</v>
      </c>
      <c r="BL21" s="45">
        <v>1.629637</v>
      </c>
      <c r="BM21" s="45">
        <v>-0.83955999999999997</v>
      </c>
      <c r="BN21" s="45">
        <v>1.629637</v>
      </c>
      <c r="BO21" s="13"/>
    </row>
    <row r="22" spans="1:67">
      <c r="A22" s="13"/>
      <c r="B22" s="47">
        <v>45750</v>
      </c>
      <c r="C22" s="46">
        <v>319.75</v>
      </c>
      <c r="D22" s="49">
        <v>-1.72E-2</v>
      </c>
      <c r="E22" s="13"/>
      <c r="F22" s="13"/>
      <c r="G22" s="13"/>
      <c r="H22" s="47">
        <v>45750</v>
      </c>
      <c r="I22" s="48">
        <v>22082.65</v>
      </c>
      <c r="J22" s="49">
        <v>-1.6999999999999999E-3</v>
      </c>
      <c r="K22" s="13"/>
      <c r="L22" s="13"/>
      <c r="M22" s="13" t="s">
        <v>182</v>
      </c>
      <c r="N22" s="13">
        <v>-1.9116000000000001E-4</v>
      </c>
      <c r="O22" s="13">
        <v>1.391509E-3</v>
      </c>
      <c r="P22" s="13">
        <v>-0.13736999999999999</v>
      </c>
      <c r="Q22" s="13">
        <v>0.89084700000000006</v>
      </c>
      <c r="R22" s="13">
        <v>-2.9319490000000001E-3</v>
      </c>
      <c r="S22" s="13">
        <v>2.5496300000000002E-3</v>
      </c>
      <c r="T22" s="13">
        <v>-2.9319490000000001E-3</v>
      </c>
      <c r="U22" s="13">
        <v>2.5496339999999998E-3</v>
      </c>
      <c r="W22" s="13"/>
      <c r="X22" s="47">
        <v>45303</v>
      </c>
      <c r="Y22" s="46">
        <v>350</v>
      </c>
      <c r="Z22" s="49">
        <v>7.2300000000000003E-2</v>
      </c>
      <c r="AA22" s="13"/>
      <c r="AB22" s="13"/>
      <c r="AC22" s="13"/>
      <c r="AD22" s="47">
        <v>45303</v>
      </c>
      <c r="AE22" s="48">
        <v>24677.8</v>
      </c>
      <c r="AF22" s="49">
        <v>2.2700000000000001E-2</v>
      </c>
      <c r="AG22" s="13"/>
      <c r="AH22" s="13"/>
      <c r="AI22" s="13"/>
      <c r="AJ22" s="13"/>
      <c r="AK22" s="13"/>
      <c r="AL22" s="13"/>
      <c r="AM22" s="13"/>
      <c r="AN22" s="13"/>
      <c r="AO22" s="13"/>
      <c r="AP22" s="13"/>
      <c r="AQ22" s="13"/>
      <c r="AU22" s="13"/>
      <c r="AV22" s="13"/>
      <c r="AW22" s="13"/>
      <c r="AX22" s="13"/>
      <c r="AY22" s="13"/>
      <c r="AZ22" s="13"/>
      <c r="BA22" s="13"/>
      <c r="BB22" s="13"/>
      <c r="BC22" s="13"/>
      <c r="BD22" s="13"/>
      <c r="BE22" s="13"/>
      <c r="BF22" s="13"/>
      <c r="BG22" s="13"/>
      <c r="BH22" s="13"/>
      <c r="BI22" s="13"/>
      <c r="BJ22" s="13"/>
      <c r="BK22" s="13"/>
      <c r="BL22" s="13"/>
      <c r="BM22" s="13"/>
      <c r="BN22" s="13"/>
      <c r="BO22" s="13"/>
    </row>
    <row r="23" spans="1:67">
      <c r="A23" s="13"/>
      <c r="B23" s="47">
        <v>45719</v>
      </c>
      <c r="C23" s="46">
        <v>325.35000000000002</v>
      </c>
      <c r="D23" s="49">
        <v>4.7E-2</v>
      </c>
      <c r="E23" s="13"/>
      <c r="F23" s="13"/>
      <c r="G23" s="13"/>
      <c r="H23" s="47">
        <v>45719</v>
      </c>
      <c r="I23" s="48">
        <v>22119.3</v>
      </c>
      <c r="J23" s="49">
        <v>-2.0000000000000001E-4</v>
      </c>
      <c r="K23" s="13"/>
      <c r="L23" s="13"/>
      <c r="M23" s="45" t="s">
        <v>183</v>
      </c>
      <c r="N23" s="45">
        <v>0.444569767</v>
      </c>
      <c r="O23" s="45">
        <v>0.15727057799999999</v>
      </c>
      <c r="P23" s="45">
        <v>2.8267829999999998</v>
      </c>
      <c r="Q23" s="45">
        <v>5.0879999999999996E-3</v>
      </c>
      <c r="R23" s="45">
        <v>0.134801116</v>
      </c>
      <c r="S23" s="45">
        <v>0.75433841999999995</v>
      </c>
      <c r="T23" s="45">
        <v>0.134801116</v>
      </c>
      <c r="U23" s="45">
        <v>0.75433841800000001</v>
      </c>
      <c r="W23" s="13"/>
      <c r="X23" s="46" t="s">
        <v>184</v>
      </c>
      <c r="Y23" s="46">
        <v>326.39999999999998</v>
      </c>
      <c r="Z23" s="49">
        <v>8.5599999999999996E-2</v>
      </c>
      <c r="AA23" s="13"/>
      <c r="AB23" s="13"/>
      <c r="AC23" s="13"/>
      <c r="AD23" s="46" t="s">
        <v>184</v>
      </c>
      <c r="AE23" s="48">
        <v>24131.1</v>
      </c>
      <c r="AF23" s="49">
        <v>9.4000000000000004E-3</v>
      </c>
      <c r="AG23" s="13"/>
      <c r="AH23" s="13"/>
      <c r="AI23" s="51" t="s">
        <v>185</v>
      </c>
      <c r="AJ23" s="51">
        <v>0.99302199999999996</v>
      </c>
      <c r="AK23" s="13"/>
      <c r="AL23" s="13"/>
      <c r="AM23" s="13"/>
      <c r="AN23" s="13"/>
      <c r="AO23" s="13"/>
      <c r="AP23" s="13"/>
      <c r="AQ23" s="13"/>
      <c r="AU23" s="13"/>
      <c r="AV23" s="13"/>
      <c r="AW23" s="13"/>
      <c r="AX23" s="13"/>
      <c r="AY23" s="13"/>
      <c r="AZ23" s="13"/>
      <c r="BA23" s="13"/>
      <c r="BB23" s="13"/>
      <c r="BC23" s="13"/>
      <c r="BD23" s="13"/>
      <c r="BE23" s="13"/>
      <c r="BF23" s="51" t="s">
        <v>185</v>
      </c>
      <c r="BG23" s="51">
        <v>0.39503899999999997</v>
      </c>
      <c r="BH23" s="13"/>
      <c r="BI23" s="13"/>
      <c r="BJ23" s="13"/>
      <c r="BK23" s="13"/>
      <c r="BL23" s="13"/>
      <c r="BM23" s="13"/>
      <c r="BN23" s="13"/>
      <c r="BO23" s="13"/>
    </row>
    <row r="24" spans="1:67">
      <c r="A24" s="13"/>
      <c r="B24" s="46" t="s">
        <v>186</v>
      </c>
      <c r="C24" s="46">
        <v>310.75</v>
      </c>
      <c r="D24" s="49">
        <v>9.4000000000000004E-3</v>
      </c>
      <c r="E24" s="13"/>
      <c r="F24" s="13"/>
      <c r="G24" s="13"/>
      <c r="H24" s="46" t="s">
        <v>186</v>
      </c>
      <c r="I24" s="48">
        <v>22124.7</v>
      </c>
      <c r="J24" s="49">
        <v>-1.8599999999999998E-2</v>
      </c>
      <c r="K24" s="13"/>
      <c r="L24" s="13"/>
      <c r="M24" s="13"/>
      <c r="N24" s="13"/>
      <c r="O24" s="13"/>
      <c r="P24" s="13"/>
      <c r="Q24" s="13"/>
      <c r="R24" s="13"/>
      <c r="S24" s="13"/>
      <c r="T24" s="13"/>
      <c r="U24" s="13"/>
      <c r="W24" s="13"/>
      <c r="X24" s="46" t="s">
        <v>187</v>
      </c>
      <c r="Y24" s="46">
        <v>300.64999999999998</v>
      </c>
      <c r="Z24" s="49">
        <v>-0.02</v>
      </c>
      <c r="AA24" s="13"/>
      <c r="AB24" s="13"/>
      <c r="AC24" s="13"/>
      <c r="AD24" s="46" t="s">
        <v>187</v>
      </c>
      <c r="AE24" s="48">
        <v>23907.25</v>
      </c>
      <c r="AF24" s="49">
        <v>1.5900000000000001E-2</v>
      </c>
      <c r="AG24" s="13"/>
      <c r="AH24" s="13"/>
      <c r="AI24" s="13"/>
      <c r="AJ24" s="13"/>
      <c r="AK24" s="13"/>
      <c r="AL24" s="13"/>
      <c r="AM24" s="13"/>
      <c r="AN24" s="13"/>
      <c r="AO24" s="13"/>
      <c r="AP24" s="13"/>
      <c r="AQ24" s="13"/>
    </row>
    <row r="25" spans="1:67" ht="15.75">
      <c r="A25" s="13"/>
      <c r="B25" s="46" t="s">
        <v>188</v>
      </c>
      <c r="C25" s="46">
        <v>307.85000000000002</v>
      </c>
      <c r="D25" s="49">
        <v>-3.8899999999999997E-2</v>
      </c>
      <c r="E25" s="13"/>
      <c r="F25" s="13"/>
      <c r="G25" s="13"/>
      <c r="H25" s="46" t="s">
        <v>188</v>
      </c>
      <c r="I25" s="48">
        <v>22545.05</v>
      </c>
      <c r="J25" s="49">
        <v>-1E-4</v>
      </c>
      <c r="K25" s="13"/>
      <c r="L25" s="13"/>
      <c r="M25" s="41" t="s">
        <v>189</v>
      </c>
      <c r="N25" s="41">
        <v>0.444569767</v>
      </c>
      <c r="O25" s="13"/>
      <c r="P25" s="13"/>
      <c r="Q25" s="13"/>
      <c r="R25" s="13"/>
      <c r="S25" s="13"/>
      <c r="T25" s="13"/>
      <c r="U25" s="13"/>
      <c r="W25" s="13"/>
      <c r="X25" s="47">
        <v>45576</v>
      </c>
      <c r="Y25" s="46">
        <v>306.8</v>
      </c>
      <c r="Z25" s="49">
        <v>-4.3900000000000002E-2</v>
      </c>
      <c r="AA25" s="13"/>
      <c r="AB25" s="13"/>
      <c r="AC25" s="13"/>
      <c r="AD25" s="47">
        <v>45576</v>
      </c>
      <c r="AE25" s="48">
        <v>23532.7</v>
      </c>
      <c r="AF25" s="49">
        <v>-2.5499999999999998E-2</v>
      </c>
      <c r="AG25" s="13"/>
      <c r="AH25" s="13"/>
      <c r="AI25" s="13"/>
      <c r="AJ25" s="13"/>
      <c r="AK25" s="13"/>
      <c r="AL25" s="13"/>
      <c r="AM25" s="13"/>
      <c r="AN25" s="13"/>
      <c r="AO25" s="13"/>
      <c r="AP25" s="13"/>
      <c r="AQ25" s="13"/>
    </row>
    <row r="26" spans="1:67">
      <c r="A26" s="13"/>
      <c r="B26" s="46" t="s">
        <v>190</v>
      </c>
      <c r="C26" s="46">
        <v>320.3</v>
      </c>
      <c r="D26" s="49">
        <v>2.6599999999999999E-2</v>
      </c>
      <c r="E26" s="13"/>
      <c r="F26" s="13"/>
      <c r="G26" s="13"/>
      <c r="H26" s="46" t="s">
        <v>190</v>
      </c>
      <c r="I26" s="48">
        <v>22547.55</v>
      </c>
      <c r="J26" s="49">
        <v>-2.9999999999999997E-4</v>
      </c>
      <c r="K26" s="13"/>
      <c r="L26" s="13"/>
      <c r="M26" s="13"/>
      <c r="N26" s="13"/>
      <c r="O26" s="13"/>
      <c r="P26" s="13"/>
      <c r="Q26" s="13"/>
      <c r="R26" s="13"/>
      <c r="S26" s="13"/>
      <c r="T26" s="13"/>
      <c r="U26" s="13"/>
      <c r="W26" s="13"/>
      <c r="X26" s="47">
        <v>45362</v>
      </c>
      <c r="Y26" s="46">
        <v>320.89999999999998</v>
      </c>
      <c r="Z26" s="49">
        <v>-1.38E-2</v>
      </c>
      <c r="AA26" s="13"/>
      <c r="AB26" s="13"/>
      <c r="AC26" s="13"/>
      <c r="AD26" s="47">
        <v>45362</v>
      </c>
      <c r="AE26" s="48">
        <v>24148.2</v>
      </c>
      <c r="AF26" s="49">
        <v>-6.4000000000000003E-3</v>
      </c>
      <c r="AG26" s="13"/>
      <c r="AH26" s="13"/>
      <c r="AI26" s="13"/>
      <c r="AJ26" s="13"/>
      <c r="AK26" s="13"/>
      <c r="AL26" s="13"/>
      <c r="AM26" s="13"/>
      <c r="AN26" s="13"/>
      <c r="AO26" s="13"/>
      <c r="AP26" s="13"/>
      <c r="AQ26" s="13"/>
    </row>
    <row r="27" spans="1:67">
      <c r="A27" s="13"/>
      <c r="B27" s="46" t="s">
        <v>191</v>
      </c>
      <c r="C27" s="46">
        <v>312</v>
      </c>
      <c r="D27" s="49">
        <v>-4.8300000000000003E-2</v>
      </c>
      <c r="E27" s="13"/>
      <c r="F27" s="13"/>
      <c r="G27" s="13"/>
      <c r="H27" s="46" t="s">
        <v>191</v>
      </c>
      <c r="I27" s="48">
        <v>22553.35</v>
      </c>
      <c r="J27" s="49">
        <v>-1.06E-2</v>
      </c>
      <c r="K27" s="13"/>
      <c r="L27" s="13"/>
      <c r="M27" s="13"/>
      <c r="N27" s="13"/>
      <c r="O27" s="13"/>
      <c r="P27" s="13"/>
      <c r="Q27" s="13"/>
      <c r="R27" s="13"/>
      <c r="S27" s="13"/>
      <c r="T27" s="13"/>
      <c r="U27" s="13"/>
      <c r="W27" s="13"/>
      <c r="X27" s="46" t="s">
        <v>192</v>
      </c>
      <c r="Y27" s="46">
        <v>325.39999999999998</v>
      </c>
      <c r="Z27" s="49">
        <v>5.3E-3</v>
      </c>
      <c r="AA27" s="13"/>
      <c r="AB27" s="13"/>
      <c r="AC27" s="13"/>
      <c r="AD27" s="46" t="s">
        <v>192</v>
      </c>
      <c r="AE27" s="48">
        <v>24304.35</v>
      </c>
      <c r="AF27" s="49">
        <v>5.1000000000000004E-3</v>
      </c>
      <c r="AG27" s="13"/>
      <c r="AH27" s="13"/>
      <c r="AI27" s="13"/>
      <c r="AJ27" s="13"/>
      <c r="AK27" s="13"/>
      <c r="AL27" s="13"/>
      <c r="AM27" s="13"/>
      <c r="AN27" s="13"/>
      <c r="AO27" s="13"/>
      <c r="AP27" s="13"/>
      <c r="AQ27" s="13"/>
    </row>
    <row r="28" spans="1:67">
      <c r="A28" s="13"/>
      <c r="B28" s="46" t="s">
        <v>193</v>
      </c>
      <c r="C28" s="46">
        <v>327.85</v>
      </c>
      <c r="D28" s="49">
        <v>2.5000000000000001E-2</v>
      </c>
      <c r="E28" s="13"/>
      <c r="F28" s="13"/>
      <c r="G28" s="13"/>
      <c r="H28" s="46" t="s">
        <v>193</v>
      </c>
      <c r="I28" s="48">
        <v>22795.9</v>
      </c>
      <c r="J28" s="49">
        <v>-5.1000000000000004E-3</v>
      </c>
      <c r="K28" s="13"/>
      <c r="L28" s="13"/>
      <c r="M28" s="13"/>
      <c r="N28" s="13"/>
      <c r="O28" s="13"/>
      <c r="P28" s="13"/>
      <c r="Q28" s="13"/>
      <c r="R28" s="13"/>
      <c r="S28" s="13"/>
      <c r="T28" s="13"/>
      <c r="U28" s="13"/>
      <c r="W28" s="13"/>
      <c r="X28" s="46" t="s">
        <v>194</v>
      </c>
      <c r="Y28" s="46">
        <v>323.7</v>
      </c>
      <c r="Z28" s="49">
        <v>-6.7799999999999999E-2</v>
      </c>
      <c r="AA28" s="13"/>
      <c r="AB28" s="13"/>
      <c r="AC28" s="13"/>
      <c r="AD28" s="46" t="s">
        <v>194</v>
      </c>
      <c r="AE28" s="48">
        <v>24180.799999999999</v>
      </c>
      <c r="AF28" s="49">
        <v>-2.7099999999999999E-2</v>
      </c>
      <c r="AG28" s="13"/>
      <c r="AH28" s="13"/>
      <c r="AI28" s="13"/>
      <c r="AJ28" s="13"/>
      <c r="AK28" s="13"/>
      <c r="AL28" s="13"/>
      <c r="AM28" s="13"/>
      <c r="AN28" s="13"/>
      <c r="AO28" s="13"/>
      <c r="AP28" s="13"/>
      <c r="AQ28" s="13"/>
    </row>
    <row r="29" spans="1:67">
      <c r="A29" s="13"/>
      <c r="B29" s="46" t="s">
        <v>195</v>
      </c>
      <c r="C29" s="46">
        <v>319.85000000000002</v>
      </c>
      <c r="D29" s="49">
        <v>3.7600000000000001E-2</v>
      </c>
      <c r="E29" s="13"/>
      <c r="F29" s="13"/>
      <c r="G29" s="13"/>
      <c r="H29" s="46" t="s">
        <v>195</v>
      </c>
      <c r="I29" s="48">
        <v>22913.15</v>
      </c>
      <c r="J29" s="49">
        <v>-8.9999999999999998E-4</v>
      </c>
      <c r="K29" s="13"/>
      <c r="L29" s="13"/>
      <c r="M29" s="13"/>
      <c r="N29" s="13"/>
      <c r="O29" s="13"/>
      <c r="P29" s="13"/>
      <c r="Q29" s="13"/>
      <c r="R29" s="13"/>
      <c r="S29" s="13"/>
      <c r="T29" s="13"/>
      <c r="U29" s="13"/>
      <c r="W29" s="13"/>
      <c r="X29" s="46" t="s">
        <v>196</v>
      </c>
      <c r="Y29" s="46">
        <v>347.25</v>
      </c>
      <c r="Z29" s="49">
        <v>-6.4299999999999996E-2</v>
      </c>
      <c r="AA29" s="13"/>
      <c r="AB29" s="13"/>
      <c r="AC29" s="13"/>
      <c r="AD29" s="46" t="s">
        <v>196</v>
      </c>
      <c r="AE29" s="48">
        <v>24854.05</v>
      </c>
      <c r="AF29" s="49">
        <v>-4.4000000000000003E-3</v>
      </c>
      <c r="AG29" s="13"/>
      <c r="AH29" s="13"/>
      <c r="AI29" s="13"/>
      <c r="AJ29" s="13"/>
      <c r="AK29" s="13"/>
      <c r="AL29" s="13"/>
      <c r="AM29" s="13"/>
      <c r="AN29" s="13"/>
      <c r="AO29" s="13"/>
      <c r="AP29" s="13"/>
      <c r="AQ29" s="13"/>
    </row>
    <row r="30" spans="1:67">
      <c r="A30" s="13"/>
      <c r="B30" s="46" t="s">
        <v>197</v>
      </c>
      <c r="C30" s="46">
        <v>308.25</v>
      </c>
      <c r="D30" s="49">
        <v>-2.9999999999999997E-4</v>
      </c>
      <c r="E30" s="13"/>
      <c r="F30" s="13"/>
      <c r="G30" s="13"/>
      <c r="H30" s="46" t="s">
        <v>197</v>
      </c>
      <c r="I30" s="48">
        <v>22932.9</v>
      </c>
      <c r="J30" s="49">
        <v>-5.0000000000000001E-4</v>
      </c>
      <c r="K30" s="13"/>
      <c r="L30" s="13"/>
      <c r="M30" s="13"/>
      <c r="N30" s="13"/>
      <c r="O30" s="13"/>
      <c r="P30" s="13"/>
      <c r="Q30" s="13"/>
      <c r="R30" s="13"/>
      <c r="S30" s="13"/>
      <c r="T30" s="13"/>
      <c r="U30" s="13"/>
      <c r="W30" s="13"/>
      <c r="X30" s="47">
        <v>45453</v>
      </c>
      <c r="Y30" s="46">
        <v>371.1</v>
      </c>
      <c r="Z30" s="49">
        <v>5.91E-2</v>
      </c>
      <c r="AA30" s="13"/>
      <c r="AB30" s="13"/>
      <c r="AC30" s="13"/>
      <c r="AD30" s="47">
        <v>45453</v>
      </c>
      <c r="AE30" s="48">
        <v>24964.25</v>
      </c>
      <c r="AF30" s="49">
        <v>-2E-3</v>
      </c>
      <c r="AG30" s="13"/>
      <c r="AH30" s="13"/>
      <c r="AI30" s="13"/>
      <c r="AJ30" s="13"/>
      <c r="AK30" s="13"/>
      <c r="AL30" s="13"/>
      <c r="AM30" s="13"/>
      <c r="AN30" s="13"/>
      <c r="AO30" s="13"/>
      <c r="AP30" s="13"/>
      <c r="AQ30" s="13"/>
    </row>
    <row r="31" spans="1:67">
      <c r="A31" s="13"/>
      <c r="B31" s="46" t="s">
        <v>198</v>
      </c>
      <c r="C31" s="46">
        <v>308.35000000000002</v>
      </c>
      <c r="D31" s="49">
        <v>3.4599999999999999E-2</v>
      </c>
      <c r="E31" s="13"/>
      <c r="F31" s="13"/>
      <c r="G31" s="13"/>
      <c r="H31" s="46" t="s">
        <v>198</v>
      </c>
      <c r="I31" s="48">
        <v>22945.3</v>
      </c>
      <c r="J31" s="49">
        <v>-5.9999999999999995E-4</v>
      </c>
      <c r="K31" s="13"/>
      <c r="L31" s="13"/>
      <c r="M31" s="13"/>
      <c r="N31" s="13"/>
      <c r="O31" s="13"/>
      <c r="P31" s="13"/>
      <c r="Q31" s="13"/>
      <c r="R31" s="13"/>
      <c r="S31" s="13"/>
      <c r="T31" s="13"/>
      <c r="U31" s="13"/>
      <c r="W31" s="13"/>
      <c r="X31" s="46" t="s">
        <v>199</v>
      </c>
      <c r="Y31" s="46">
        <v>350.4</v>
      </c>
      <c r="Z31" s="49">
        <v>-5.9299999999999999E-2</v>
      </c>
      <c r="AA31" s="13"/>
      <c r="AB31" s="13"/>
      <c r="AC31" s="13"/>
      <c r="AD31" s="46" t="s">
        <v>199</v>
      </c>
      <c r="AE31" s="48">
        <v>25014.6</v>
      </c>
      <c r="AF31" s="49">
        <v>-4.4499999999999998E-2</v>
      </c>
      <c r="AG31" s="13"/>
      <c r="AH31" s="13"/>
      <c r="AI31" s="13"/>
      <c r="AJ31" s="13"/>
      <c r="AK31" s="13"/>
      <c r="AL31" s="13"/>
      <c r="AM31" s="13"/>
      <c r="AN31" s="13"/>
      <c r="AO31" s="13"/>
      <c r="AP31" s="13"/>
      <c r="AQ31" s="13"/>
    </row>
    <row r="32" spans="1:67">
      <c r="A32" s="13"/>
      <c r="B32" s="46" t="s">
        <v>200</v>
      </c>
      <c r="C32" s="46">
        <v>298.05</v>
      </c>
      <c r="D32" s="49">
        <v>-5.1999999999999998E-3</v>
      </c>
      <c r="E32" s="13"/>
      <c r="F32" s="13"/>
      <c r="G32" s="13"/>
      <c r="H32" s="46" t="s">
        <v>200</v>
      </c>
      <c r="I32" s="48">
        <v>22959.5</v>
      </c>
      <c r="J32" s="49">
        <v>1.2999999999999999E-3</v>
      </c>
      <c r="K32" s="13"/>
      <c r="L32" s="13"/>
      <c r="M32" s="13"/>
      <c r="N32" s="13"/>
      <c r="O32" s="13"/>
      <c r="P32" s="13"/>
      <c r="Q32" s="13"/>
      <c r="R32" s="13"/>
      <c r="S32" s="13"/>
      <c r="T32" s="13"/>
      <c r="U32" s="13"/>
      <c r="W32" s="13"/>
      <c r="X32" s="46" t="s">
        <v>201</v>
      </c>
      <c r="Y32" s="46">
        <v>372.5</v>
      </c>
      <c r="Z32" s="49">
        <v>7.1300000000000002E-2</v>
      </c>
      <c r="AA32" s="13"/>
      <c r="AB32" s="13"/>
      <c r="AC32" s="13"/>
      <c r="AD32" s="46" t="s">
        <v>201</v>
      </c>
      <c r="AE32" s="48">
        <v>26178.95</v>
      </c>
      <c r="AF32" s="49">
        <v>1.4999999999999999E-2</v>
      </c>
      <c r="AG32" s="13"/>
      <c r="AH32" s="13"/>
      <c r="AI32" s="13"/>
      <c r="AJ32" s="13"/>
      <c r="AK32" s="13"/>
      <c r="AL32" s="13"/>
      <c r="AM32" s="13"/>
      <c r="AN32" s="13"/>
      <c r="AO32" s="13"/>
      <c r="AP32" s="13"/>
      <c r="AQ32" s="13"/>
    </row>
    <row r="33" spans="1:43">
      <c r="A33" s="13"/>
      <c r="B33" s="46" t="s">
        <v>202</v>
      </c>
      <c r="C33" s="46">
        <v>299.60000000000002</v>
      </c>
      <c r="D33" s="49">
        <v>8.3999999999999995E-3</v>
      </c>
      <c r="E33" s="13"/>
      <c r="F33" s="13"/>
      <c r="G33" s="13"/>
      <c r="H33" s="46" t="s">
        <v>202</v>
      </c>
      <c r="I33" s="48">
        <v>22929.25</v>
      </c>
      <c r="J33" s="49">
        <v>-4.4000000000000003E-3</v>
      </c>
      <c r="K33" s="13"/>
      <c r="L33" s="13"/>
      <c r="M33" s="13"/>
      <c r="N33" s="13"/>
      <c r="O33" s="13"/>
      <c r="P33" s="13"/>
      <c r="Q33" s="13"/>
      <c r="R33" s="13"/>
      <c r="S33" s="13"/>
      <c r="T33" s="13"/>
      <c r="U33" s="13"/>
      <c r="W33" s="13"/>
      <c r="X33" s="46" t="s">
        <v>203</v>
      </c>
      <c r="Y33" s="46">
        <v>347.7</v>
      </c>
      <c r="Z33" s="49">
        <v>5.8599999999999999E-2</v>
      </c>
      <c r="AA33" s="13"/>
      <c r="AB33" s="13"/>
      <c r="AC33" s="13"/>
      <c r="AD33" s="46" t="s">
        <v>203</v>
      </c>
      <c r="AE33" s="48">
        <v>25790.95</v>
      </c>
      <c r="AF33" s="49">
        <v>1.7100000000000001E-2</v>
      </c>
      <c r="AG33" s="13"/>
      <c r="AH33" s="13"/>
      <c r="AI33" s="13"/>
      <c r="AJ33" s="13"/>
      <c r="AK33" s="13"/>
      <c r="AL33" s="13"/>
      <c r="AM33" s="13"/>
      <c r="AN33" s="13"/>
      <c r="AO33" s="13"/>
      <c r="AP33" s="13"/>
      <c r="AQ33" s="13"/>
    </row>
    <row r="34" spans="1:43">
      <c r="A34" s="13"/>
      <c r="B34" s="46" t="s">
        <v>204</v>
      </c>
      <c r="C34" s="46">
        <v>297.10000000000002</v>
      </c>
      <c r="D34" s="49">
        <v>2.2000000000000001E-3</v>
      </c>
      <c r="E34" s="13"/>
      <c r="F34" s="13"/>
      <c r="G34" s="13"/>
      <c r="H34" s="46" t="s">
        <v>204</v>
      </c>
      <c r="I34" s="48">
        <v>23031.4</v>
      </c>
      <c r="J34" s="49">
        <v>-5.9999999999999995E-4</v>
      </c>
      <c r="K34" s="13"/>
      <c r="L34" s="13"/>
      <c r="M34" s="13"/>
      <c r="N34" s="13"/>
      <c r="O34" s="13"/>
      <c r="P34" s="13"/>
      <c r="Q34" s="13"/>
      <c r="R34" s="13"/>
      <c r="S34" s="13"/>
      <c r="T34" s="13"/>
      <c r="U34" s="13"/>
      <c r="W34" s="13"/>
      <c r="X34" s="47">
        <v>45513</v>
      </c>
      <c r="Y34" s="46">
        <v>328.45</v>
      </c>
      <c r="Z34" s="49">
        <v>-2.3599999999999999E-2</v>
      </c>
      <c r="AA34" s="13"/>
      <c r="AB34" s="13"/>
      <c r="AC34" s="13"/>
      <c r="AD34" s="47">
        <v>45513</v>
      </c>
      <c r="AE34" s="48">
        <v>25356.5</v>
      </c>
      <c r="AF34" s="49">
        <v>2.0299999999999999E-2</v>
      </c>
      <c r="AG34" s="13"/>
      <c r="AH34" s="13"/>
      <c r="AI34" s="13"/>
      <c r="AJ34" s="13"/>
      <c r="AK34" s="13"/>
      <c r="AL34" s="13"/>
      <c r="AM34" s="13"/>
      <c r="AN34" s="13"/>
      <c r="AO34" s="13"/>
      <c r="AP34" s="13"/>
      <c r="AQ34" s="13"/>
    </row>
    <row r="35" spans="1:43">
      <c r="A35" s="13"/>
      <c r="B35" s="47">
        <v>45993</v>
      </c>
      <c r="C35" s="46">
        <v>296.45</v>
      </c>
      <c r="D35" s="49">
        <v>-2.3599999999999999E-2</v>
      </c>
      <c r="E35" s="13"/>
      <c r="F35" s="13"/>
      <c r="G35" s="13"/>
      <c r="H35" s="47">
        <v>45993</v>
      </c>
      <c r="I35" s="48">
        <v>23045.25</v>
      </c>
      <c r="J35" s="49">
        <v>-1.1999999999999999E-3</v>
      </c>
      <c r="K35" s="13"/>
      <c r="L35" s="13"/>
      <c r="M35" s="13"/>
      <c r="N35" s="13"/>
      <c r="O35" s="13"/>
      <c r="P35" s="13"/>
      <c r="Q35" s="13"/>
      <c r="R35" s="13"/>
      <c r="S35" s="13"/>
      <c r="T35" s="13"/>
      <c r="U35" s="13"/>
      <c r="W35" s="13"/>
      <c r="X35" s="47">
        <v>45300</v>
      </c>
      <c r="Y35" s="46">
        <v>336.4</v>
      </c>
      <c r="Z35" s="49">
        <v>0.01</v>
      </c>
      <c r="AA35" s="13"/>
      <c r="AB35" s="13"/>
      <c r="AC35" s="13"/>
      <c r="AD35" s="47">
        <v>45300</v>
      </c>
      <c r="AE35" s="48">
        <v>24852.15</v>
      </c>
      <c r="AF35" s="49">
        <v>-1.52E-2</v>
      </c>
      <c r="AG35" s="13"/>
      <c r="AH35" s="13"/>
      <c r="AI35" s="13"/>
      <c r="AJ35" s="13"/>
      <c r="AK35" s="13"/>
      <c r="AL35" s="13"/>
      <c r="AM35" s="13"/>
      <c r="AN35" s="13"/>
      <c r="AO35" s="13"/>
      <c r="AP35" s="13"/>
      <c r="AQ35" s="13"/>
    </row>
    <row r="36" spans="1:43">
      <c r="A36" s="13"/>
      <c r="B36" s="47">
        <v>45963</v>
      </c>
      <c r="C36" s="46">
        <v>303.60000000000002</v>
      </c>
      <c r="D36" s="49">
        <v>-2.5000000000000001E-2</v>
      </c>
      <c r="E36" s="13"/>
      <c r="F36" s="13"/>
      <c r="G36" s="13"/>
      <c r="H36" s="47">
        <v>45963</v>
      </c>
      <c r="I36" s="48">
        <v>23071.8</v>
      </c>
      <c r="J36" s="49">
        <v>-1.32E-2</v>
      </c>
      <c r="K36" s="13"/>
      <c r="L36" s="13"/>
      <c r="M36" s="13"/>
      <c r="N36" s="13"/>
      <c r="O36" s="13"/>
      <c r="P36" s="13"/>
      <c r="Q36" s="13"/>
      <c r="R36" s="13"/>
      <c r="S36" s="13"/>
      <c r="T36" s="13"/>
      <c r="U36" s="13"/>
      <c r="W36" s="13"/>
      <c r="X36" s="46" t="s">
        <v>205</v>
      </c>
      <c r="Y36" s="46">
        <v>333.07</v>
      </c>
      <c r="Z36" s="49">
        <v>2.0199999999999999E-2</v>
      </c>
      <c r="AA36" s="13"/>
      <c r="AB36" s="13"/>
      <c r="AC36" s="13"/>
      <c r="AD36" s="46" t="s">
        <v>205</v>
      </c>
      <c r="AE36" s="48">
        <v>25235.9</v>
      </c>
      <c r="AF36" s="49">
        <v>1.66E-2</v>
      </c>
      <c r="AG36" s="13"/>
      <c r="AH36" s="13"/>
      <c r="AI36" s="13"/>
      <c r="AJ36" s="13"/>
      <c r="AK36" s="13"/>
      <c r="AL36" s="13"/>
      <c r="AM36" s="13"/>
      <c r="AN36" s="13"/>
      <c r="AO36" s="13"/>
      <c r="AP36" s="13"/>
      <c r="AQ36" s="13"/>
    </row>
    <row r="37" spans="1:43">
      <c r="A37" s="13"/>
      <c r="B37" s="47">
        <v>45932</v>
      </c>
      <c r="C37" s="46">
        <v>311.39999999999998</v>
      </c>
      <c r="D37" s="49">
        <v>-3.5299999999999998E-2</v>
      </c>
      <c r="E37" s="13"/>
      <c r="F37" s="13"/>
      <c r="G37" s="13"/>
      <c r="H37" s="47">
        <v>45932</v>
      </c>
      <c r="I37" s="48">
        <v>23381.599999999999</v>
      </c>
      <c r="J37" s="49">
        <v>-7.6E-3</v>
      </c>
      <c r="K37" s="13"/>
      <c r="L37" s="13"/>
      <c r="M37" s="13"/>
      <c r="N37" s="13"/>
      <c r="O37" s="13"/>
      <c r="P37" s="13"/>
      <c r="Q37" s="13"/>
      <c r="R37" s="13"/>
      <c r="S37" s="13"/>
      <c r="T37" s="13"/>
      <c r="U37" s="13"/>
      <c r="W37" s="13"/>
      <c r="X37" s="46" t="s">
        <v>206</v>
      </c>
      <c r="Y37" s="46">
        <v>326.49</v>
      </c>
      <c r="Z37" s="49">
        <v>4.48E-2</v>
      </c>
      <c r="AA37" s="13"/>
      <c r="AB37" s="13"/>
      <c r="AC37" s="13"/>
      <c r="AD37" s="46" t="s">
        <v>206</v>
      </c>
      <c r="AE37" s="48">
        <v>24823.15</v>
      </c>
      <c r="AF37" s="49">
        <v>1.15E-2</v>
      </c>
      <c r="AG37" s="13"/>
      <c r="AH37" s="13"/>
      <c r="AI37" s="13"/>
      <c r="AJ37" s="13"/>
      <c r="AK37" s="13"/>
      <c r="AL37" s="13"/>
      <c r="AM37" s="13"/>
      <c r="AN37" s="13"/>
      <c r="AO37" s="13"/>
      <c r="AP37" s="13"/>
      <c r="AQ37" s="13"/>
    </row>
    <row r="38" spans="1:43">
      <c r="A38" s="13"/>
      <c r="B38" s="47">
        <v>45840</v>
      </c>
      <c r="C38" s="46">
        <v>322.8</v>
      </c>
      <c r="D38" s="49">
        <v>1.6500000000000001E-2</v>
      </c>
      <c r="E38" s="13"/>
      <c r="F38" s="13"/>
      <c r="G38" s="13"/>
      <c r="H38" s="47">
        <v>45840</v>
      </c>
      <c r="I38" s="48">
        <v>23559.95</v>
      </c>
      <c r="J38" s="49">
        <v>-1.8E-3</v>
      </c>
      <c r="K38" s="13"/>
      <c r="L38" s="13"/>
      <c r="M38" s="13"/>
      <c r="N38" s="13"/>
      <c r="O38" s="13"/>
      <c r="P38" s="13"/>
      <c r="Q38" s="13"/>
      <c r="R38" s="13"/>
      <c r="S38" s="13"/>
      <c r="T38" s="13"/>
      <c r="U38" s="13"/>
      <c r="W38" s="13"/>
      <c r="X38" s="47">
        <v>45604</v>
      </c>
      <c r="Y38" s="46">
        <v>312.49</v>
      </c>
      <c r="Z38" s="49">
        <v>-1.78E-2</v>
      </c>
      <c r="AA38" s="13"/>
      <c r="AB38" s="13"/>
      <c r="AC38" s="13"/>
      <c r="AD38" s="47">
        <v>45604</v>
      </c>
      <c r="AE38" s="48">
        <v>24541.15</v>
      </c>
      <c r="AF38" s="49">
        <v>7.1000000000000004E-3</v>
      </c>
      <c r="AG38" s="13"/>
      <c r="AH38" s="13"/>
      <c r="AI38" s="13"/>
      <c r="AJ38" s="13"/>
      <c r="AK38" s="13"/>
      <c r="AL38" s="13"/>
      <c r="AM38" s="13"/>
      <c r="AN38" s="13"/>
      <c r="AO38" s="13"/>
      <c r="AP38" s="13"/>
      <c r="AQ38" s="13"/>
    </row>
    <row r="39" spans="1:43">
      <c r="A39" s="13"/>
      <c r="B39" s="47">
        <v>45810</v>
      </c>
      <c r="C39" s="46">
        <v>317.55</v>
      </c>
      <c r="D39" s="49">
        <v>-3.0999999999999999E-3</v>
      </c>
      <c r="E39" s="13"/>
      <c r="F39" s="13"/>
      <c r="G39" s="13"/>
      <c r="H39" s="47">
        <v>45810</v>
      </c>
      <c r="I39" s="48">
        <v>23603.35</v>
      </c>
      <c r="J39" s="49">
        <v>-3.8999999999999998E-3</v>
      </c>
      <c r="K39" s="13"/>
      <c r="L39" s="13"/>
      <c r="M39" s="13"/>
      <c r="N39" s="13"/>
      <c r="O39" s="13"/>
      <c r="P39" s="13"/>
      <c r="Q39" s="13"/>
      <c r="R39" s="13"/>
      <c r="S39" s="13"/>
      <c r="T39" s="13"/>
      <c r="U39" s="13"/>
      <c r="W39" s="13"/>
      <c r="X39" s="47">
        <v>45390</v>
      </c>
      <c r="Y39" s="46">
        <v>318.14999999999998</v>
      </c>
      <c r="Z39" s="49">
        <v>-5.0299999999999997E-2</v>
      </c>
      <c r="AA39" s="13"/>
      <c r="AB39" s="13"/>
      <c r="AC39" s="13"/>
      <c r="AD39" s="47">
        <v>45390</v>
      </c>
      <c r="AE39" s="48">
        <v>24367.5</v>
      </c>
      <c r="AF39" s="49">
        <v>-1.4200000000000001E-2</v>
      </c>
      <c r="AG39" s="13"/>
      <c r="AH39" s="13"/>
      <c r="AI39" s="13"/>
      <c r="AJ39" s="13"/>
      <c r="AK39" s="13"/>
      <c r="AL39" s="13"/>
      <c r="AM39" s="13"/>
      <c r="AN39" s="13"/>
      <c r="AO39" s="13"/>
      <c r="AP39" s="13"/>
      <c r="AQ39" s="13"/>
    </row>
    <row r="40" spans="1:43">
      <c r="A40" s="13"/>
      <c r="B40" s="47">
        <v>45779</v>
      </c>
      <c r="C40" s="46">
        <v>318.55</v>
      </c>
      <c r="D40" s="49">
        <v>-1.01E-2</v>
      </c>
      <c r="E40" s="13"/>
      <c r="F40" s="13"/>
      <c r="G40" s="13"/>
      <c r="H40" s="47">
        <v>45779</v>
      </c>
      <c r="I40" s="48">
        <v>23696.3</v>
      </c>
      <c r="J40" s="49">
        <v>-1.8E-3</v>
      </c>
      <c r="K40" s="13"/>
      <c r="L40" s="13"/>
      <c r="M40" s="13"/>
      <c r="N40" s="13"/>
      <c r="O40" s="13"/>
      <c r="P40" s="13"/>
      <c r="Q40" s="13"/>
      <c r="R40" s="13"/>
      <c r="S40" s="13"/>
      <c r="T40" s="13"/>
      <c r="U40" s="13"/>
      <c r="W40" s="13"/>
      <c r="X40" s="46" t="s">
        <v>207</v>
      </c>
      <c r="Y40" s="46">
        <v>335.01</v>
      </c>
      <c r="Z40" s="49">
        <v>7.6100000000000001E-2</v>
      </c>
      <c r="AA40" s="13"/>
      <c r="AB40" s="13"/>
      <c r="AC40" s="13"/>
      <c r="AD40" s="46" t="s">
        <v>207</v>
      </c>
      <c r="AE40" s="48">
        <v>24717.7</v>
      </c>
      <c r="AF40" s="49">
        <v>-4.7000000000000002E-3</v>
      </c>
      <c r="AG40" s="13"/>
      <c r="AH40" s="13"/>
      <c r="AI40" s="13"/>
      <c r="AJ40" s="13"/>
      <c r="AK40" s="13"/>
      <c r="AL40" s="13"/>
      <c r="AM40" s="13"/>
      <c r="AN40" s="13"/>
      <c r="AO40" s="13"/>
      <c r="AP40" s="13"/>
      <c r="AQ40" s="13"/>
    </row>
    <row r="41" spans="1:43">
      <c r="A41" s="13"/>
      <c r="B41" s="47">
        <v>45749</v>
      </c>
      <c r="C41" s="46">
        <v>321.8</v>
      </c>
      <c r="D41" s="49">
        <v>-1.61E-2</v>
      </c>
      <c r="E41" s="13"/>
      <c r="F41" s="13"/>
      <c r="G41" s="13"/>
      <c r="H41" s="47">
        <v>45749</v>
      </c>
      <c r="I41" s="48">
        <v>23739.25</v>
      </c>
      <c r="J41" s="49">
        <v>1.6199999999999999E-2</v>
      </c>
      <c r="K41" s="13"/>
      <c r="L41" s="13"/>
      <c r="M41" s="13"/>
      <c r="N41" s="13"/>
      <c r="O41" s="13"/>
      <c r="P41" s="13"/>
      <c r="Q41" s="13"/>
      <c r="R41" s="13"/>
      <c r="S41" s="13"/>
      <c r="T41" s="13"/>
      <c r="U41" s="13"/>
      <c r="W41" s="13"/>
      <c r="X41" s="46" t="s">
        <v>208</v>
      </c>
      <c r="Y41" s="46">
        <v>311.32</v>
      </c>
      <c r="Z41" s="49">
        <v>1.67E-2</v>
      </c>
      <c r="AA41" s="13"/>
      <c r="AB41" s="13"/>
      <c r="AC41" s="13"/>
      <c r="AD41" s="46" t="s">
        <v>208</v>
      </c>
      <c r="AE41" s="48">
        <v>24834.85</v>
      </c>
      <c r="AF41" s="49">
        <v>1.24E-2</v>
      </c>
      <c r="AG41" s="13"/>
      <c r="AH41" s="13"/>
      <c r="AI41" s="13"/>
      <c r="AJ41" s="13"/>
      <c r="AK41" s="13"/>
      <c r="AL41" s="13"/>
      <c r="AM41" s="13"/>
      <c r="AN41" s="13"/>
      <c r="AO41" s="13"/>
      <c r="AP41" s="13"/>
      <c r="AQ41" s="13"/>
    </row>
    <row r="42" spans="1:43">
      <c r="A42" s="13"/>
      <c r="B42" s="47">
        <v>45718</v>
      </c>
      <c r="C42" s="46">
        <v>327.05</v>
      </c>
      <c r="D42" s="49">
        <v>3.6600000000000001E-2</v>
      </c>
      <c r="E42" s="13"/>
      <c r="F42" s="13"/>
      <c r="G42" s="13"/>
      <c r="H42" s="47">
        <v>45718</v>
      </c>
      <c r="I42" s="48">
        <v>23361.05</v>
      </c>
      <c r="J42" s="49">
        <v>-5.1999999999999998E-3</v>
      </c>
      <c r="K42" s="13"/>
      <c r="L42" s="13"/>
      <c r="M42" s="13"/>
      <c r="N42" s="13"/>
      <c r="O42" s="13"/>
      <c r="P42" s="13"/>
      <c r="Q42" s="13"/>
      <c r="R42" s="13"/>
      <c r="S42" s="13"/>
      <c r="T42" s="13"/>
      <c r="U42" s="13"/>
      <c r="W42" s="13"/>
      <c r="X42" s="46" t="s">
        <v>209</v>
      </c>
      <c r="Y42" s="46">
        <v>306.20999999999998</v>
      </c>
      <c r="Z42" s="49">
        <v>-1.5100000000000001E-2</v>
      </c>
      <c r="AA42" s="13"/>
      <c r="AB42" s="13"/>
      <c r="AC42" s="13"/>
      <c r="AD42" s="46" t="s">
        <v>209</v>
      </c>
      <c r="AE42" s="48">
        <v>24530.9</v>
      </c>
      <c r="AF42" s="49">
        <v>1.1999999999999999E-3</v>
      </c>
      <c r="AG42" s="13"/>
      <c r="AH42" s="13"/>
      <c r="AI42" s="13"/>
      <c r="AJ42" s="13"/>
      <c r="AK42" s="13"/>
      <c r="AL42" s="13"/>
      <c r="AM42" s="13"/>
      <c r="AN42" s="13"/>
      <c r="AO42" s="13"/>
      <c r="AP42" s="13"/>
      <c r="AQ42" s="13"/>
    </row>
    <row r="43" spans="1:43">
      <c r="A43" s="13"/>
      <c r="B43" s="47">
        <v>45659</v>
      </c>
      <c r="C43" s="46">
        <v>315.5</v>
      </c>
      <c r="D43" s="49">
        <v>9.0200000000000002E-2</v>
      </c>
      <c r="E43" s="13"/>
      <c r="F43" s="13"/>
      <c r="G43" s="13"/>
      <c r="H43" s="47">
        <v>45659</v>
      </c>
      <c r="I43" s="48">
        <v>23482.15</v>
      </c>
      <c r="J43" s="49">
        <v>-1.1000000000000001E-3</v>
      </c>
      <c r="K43" s="13"/>
      <c r="L43" s="13"/>
      <c r="M43" s="13"/>
      <c r="N43" s="13"/>
      <c r="O43" s="13"/>
      <c r="P43" s="13"/>
      <c r="Q43" s="13"/>
      <c r="R43" s="13"/>
      <c r="S43" s="13"/>
      <c r="T43" s="13"/>
      <c r="U43" s="13"/>
      <c r="W43" s="13"/>
      <c r="X43" s="47">
        <v>45480</v>
      </c>
      <c r="Y43" s="46">
        <v>310.92</v>
      </c>
      <c r="Z43" s="49">
        <v>-1.78E-2</v>
      </c>
      <c r="AA43" s="13"/>
      <c r="AB43" s="13"/>
      <c r="AC43" s="13"/>
      <c r="AD43" s="47">
        <v>45480</v>
      </c>
      <c r="AE43" s="48">
        <v>24502.15</v>
      </c>
      <c r="AF43" s="49">
        <v>7.3000000000000001E-3</v>
      </c>
      <c r="AG43" s="13"/>
      <c r="AH43" s="13"/>
      <c r="AI43" s="13"/>
      <c r="AJ43" s="13"/>
      <c r="AK43" s="13"/>
      <c r="AL43" s="13"/>
      <c r="AM43" s="13"/>
      <c r="AN43" s="13"/>
      <c r="AO43" s="13"/>
      <c r="AP43" s="13"/>
      <c r="AQ43" s="13"/>
    </row>
    <row r="44" spans="1:43">
      <c r="A44" s="13"/>
      <c r="B44" s="46" t="s">
        <v>210</v>
      </c>
      <c r="C44" s="46">
        <v>289.39999999999998</v>
      </c>
      <c r="D44" s="49">
        <v>-2.3999999999999998E-3</v>
      </c>
      <c r="E44" s="13"/>
      <c r="F44" s="13"/>
      <c r="G44" s="13"/>
      <c r="H44" s="46" t="s">
        <v>210</v>
      </c>
      <c r="I44" s="48">
        <v>23508.400000000001</v>
      </c>
      <c r="J44" s="49">
        <v>1.11E-2</v>
      </c>
      <c r="K44" s="13"/>
      <c r="L44" s="13"/>
      <c r="M44" s="13"/>
      <c r="N44" s="13"/>
      <c r="O44" s="13"/>
      <c r="P44" s="13"/>
      <c r="Q44" s="13"/>
      <c r="R44" s="13"/>
      <c r="S44" s="13"/>
      <c r="T44" s="13"/>
      <c r="U44" s="13"/>
      <c r="W44" s="13"/>
      <c r="X44" s="46" t="s">
        <v>211</v>
      </c>
      <c r="Y44" s="46">
        <v>316.56</v>
      </c>
      <c r="Z44" s="49">
        <v>1.09E-2</v>
      </c>
      <c r="AA44" s="13"/>
      <c r="AB44" s="13"/>
      <c r="AC44" s="13"/>
      <c r="AD44" s="46" t="s">
        <v>211</v>
      </c>
      <c r="AE44" s="48">
        <v>24323.85</v>
      </c>
      <c r="AF44" s="49">
        <v>1.2999999999999999E-2</v>
      </c>
      <c r="AG44" s="13"/>
      <c r="AH44" s="13"/>
      <c r="AI44" s="13"/>
      <c r="AJ44" s="13"/>
      <c r="AK44" s="13"/>
      <c r="AL44" s="13"/>
      <c r="AM44" s="13"/>
      <c r="AN44" s="13"/>
      <c r="AO44" s="13"/>
      <c r="AP44" s="13"/>
      <c r="AQ44" s="13"/>
    </row>
    <row r="45" spans="1:43">
      <c r="A45" s="13"/>
      <c r="B45" s="46" t="s">
        <v>212</v>
      </c>
      <c r="C45" s="46">
        <v>290.10000000000002</v>
      </c>
      <c r="D45" s="49">
        <v>-2.8E-3</v>
      </c>
      <c r="E45" s="13"/>
      <c r="F45" s="13"/>
      <c r="G45" s="13"/>
      <c r="H45" s="46" t="s">
        <v>212</v>
      </c>
      <c r="I45" s="48">
        <v>23249.5</v>
      </c>
      <c r="J45" s="49">
        <v>3.7000000000000002E-3</v>
      </c>
      <c r="K45" s="13"/>
      <c r="L45" s="13"/>
      <c r="M45" s="13"/>
      <c r="N45" s="13"/>
      <c r="O45" s="13"/>
      <c r="P45" s="13"/>
      <c r="Q45" s="13"/>
      <c r="R45" s="13"/>
      <c r="S45" s="13"/>
      <c r="T45" s="13"/>
      <c r="U45" s="13"/>
      <c r="W45" s="13"/>
      <c r="X45" s="46" t="s">
        <v>213</v>
      </c>
      <c r="Y45" s="46">
        <v>313.16000000000003</v>
      </c>
      <c r="Z45" s="49">
        <v>-1.52E-2</v>
      </c>
      <c r="AA45" s="13"/>
      <c r="AB45" s="13"/>
      <c r="AC45" s="13"/>
      <c r="AD45" s="46" t="s">
        <v>213</v>
      </c>
      <c r="AE45" s="48">
        <v>24010.6</v>
      </c>
      <c r="AF45" s="49">
        <v>2.1700000000000001E-2</v>
      </c>
      <c r="AG45" s="13"/>
      <c r="AH45" s="13"/>
      <c r="AI45" s="13"/>
      <c r="AJ45" s="13"/>
      <c r="AK45" s="13"/>
      <c r="AL45" s="13"/>
      <c r="AM45" s="13"/>
      <c r="AN45" s="13"/>
      <c r="AO45" s="13"/>
      <c r="AP45" s="13"/>
      <c r="AQ45" s="13"/>
    </row>
    <row r="46" spans="1:43">
      <c r="A46" s="13"/>
      <c r="B46" s="46" t="s">
        <v>214</v>
      </c>
      <c r="C46" s="46">
        <v>290.89999999999998</v>
      </c>
      <c r="D46" s="49">
        <v>1.6400000000000001E-2</v>
      </c>
      <c r="E46" s="13"/>
      <c r="F46" s="13"/>
      <c r="G46" s="13"/>
      <c r="H46" s="46" t="s">
        <v>214</v>
      </c>
      <c r="I46" s="48">
        <v>23163.1</v>
      </c>
      <c r="J46" s="49">
        <v>8.9999999999999993E-3</v>
      </c>
      <c r="K46" s="13"/>
      <c r="L46" s="13"/>
      <c r="M46" s="13"/>
      <c r="N46" s="13"/>
      <c r="O46" s="13"/>
      <c r="P46" s="13"/>
      <c r="Q46" s="13"/>
      <c r="R46" s="13"/>
      <c r="S46" s="13"/>
      <c r="T46" s="13"/>
      <c r="U46" s="13"/>
      <c r="W46" s="13"/>
      <c r="X46" s="46" t="s">
        <v>215</v>
      </c>
      <c r="Y46" s="46">
        <v>317.99</v>
      </c>
      <c r="Z46" s="49">
        <v>5.6399999999999999E-2</v>
      </c>
      <c r="AA46" s="13"/>
      <c r="AB46" s="13"/>
      <c r="AC46" s="13"/>
      <c r="AD46" s="46" t="s">
        <v>215</v>
      </c>
      <c r="AE46" s="48">
        <v>23501.1</v>
      </c>
      <c r="AF46" s="49">
        <v>1.5E-3</v>
      </c>
      <c r="AG46" s="13"/>
      <c r="AH46" s="13"/>
      <c r="AI46" s="13"/>
      <c r="AJ46" s="13"/>
      <c r="AK46" s="13"/>
      <c r="AL46" s="13"/>
      <c r="AM46" s="13"/>
      <c r="AN46" s="13"/>
      <c r="AO46" s="13"/>
      <c r="AP46" s="13"/>
      <c r="AQ46" s="13"/>
    </row>
    <row r="47" spans="1:43">
      <c r="A47" s="13"/>
      <c r="B47" s="46" t="s">
        <v>216</v>
      </c>
      <c r="C47" s="46">
        <v>286.2</v>
      </c>
      <c r="D47" s="49">
        <v>-2.92E-2</v>
      </c>
      <c r="E47" s="13"/>
      <c r="F47" s="13"/>
      <c r="G47" s="13"/>
      <c r="H47" s="46" t="s">
        <v>216</v>
      </c>
      <c r="I47" s="48">
        <v>22957.25</v>
      </c>
      <c r="J47" s="49">
        <v>5.5999999999999999E-3</v>
      </c>
      <c r="K47" s="13"/>
      <c r="L47" s="13"/>
      <c r="M47" s="13"/>
      <c r="N47" s="13"/>
      <c r="O47" s="13"/>
      <c r="P47" s="13"/>
      <c r="Q47" s="13"/>
      <c r="R47" s="13"/>
      <c r="S47" s="13"/>
      <c r="T47" s="13"/>
      <c r="U47" s="13"/>
      <c r="W47" s="13"/>
      <c r="X47" s="47">
        <v>45541</v>
      </c>
      <c r="Y47" s="46">
        <v>301.02</v>
      </c>
      <c r="Z47" s="49">
        <v>1.5599999999999999E-2</v>
      </c>
      <c r="AA47" s="13"/>
      <c r="AB47" s="13"/>
      <c r="AC47" s="13"/>
      <c r="AD47" s="47">
        <v>45541</v>
      </c>
      <c r="AE47" s="48">
        <v>23465.599999999999</v>
      </c>
      <c r="AF47" s="49">
        <v>7.4999999999999997E-3</v>
      </c>
      <c r="AG47" s="13"/>
      <c r="AH47" s="13"/>
      <c r="AI47" s="13"/>
      <c r="AJ47" s="13"/>
      <c r="AK47" s="13"/>
      <c r="AL47" s="13"/>
      <c r="AM47" s="13"/>
      <c r="AN47" s="13"/>
      <c r="AO47" s="13"/>
      <c r="AP47" s="13"/>
      <c r="AQ47" s="13"/>
    </row>
    <row r="48" spans="1:43">
      <c r="A48" s="13"/>
      <c r="B48" s="46" t="s">
        <v>217</v>
      </c>
      <c r="C48" s="46">
        <v>294.8</v>
      </c>
      <c r="D48" s="49">
        <v>-3.4099999999999998E-2</v>
      </c>
      <c r="E48" s="13"/>
      <c r="F48" s="13"/>
      <c r="G48" s="13"/>
      <c r="H48" s="46" t="s">
        <v>217</v>
      </c>
      <c r="I48" s="48">
        <v>22829.15</v>
      </c>
      <c r="J48" s="49">
        <v>-1.14E-2</v>
      </c>
      <c r="K48" s="13"/>
      <c r="L48" s="13"/>
      <c r="M48" s="13"/>
      <c r="N48" s="13"/>
      <c r="O48" s="13"/>
      <c r="P48" s="13"/>
      <c r="Q48" s="13"/>
      <c r="R48" s="13"/>
      <c r="S48" s="13"/>
      <c r="T48" s="13"/>
      <c r="U48" s="13"/>
      <c r="W48" s="13"/>
      <c r="X48" s="47">
        <v>45328</v>
      </c>
      <c r="Y48" s="46">
        <v>296.39</v>
      </c>
      <c r="Z48" s="49">
        <v>0.02</v>
      </c>
      <c r="AA48" s="13"/>
      <c r="AB48" s="13"/>
      <c r="AC48" s="13"/>
      <c r="AD48" s="47">
        <v>45328</v>
      </c>
      <c r="AE48" s="48">
        <v>23290.15</v>
      </c>
      <c r="AF48" s="49">
        <v>3.3700000000000001E-2</v>
      </c>
      <c r="AG48" s="13"/>
      <c r="AH48" s="13"/>
      <c r="AI48" s="13"/>
      <c r="AJ48" s="13"/>
      <c r="AK48" s="13"/>
      <c r="AL48" s="13"/>
      <c r="AM48" s="13"/>
      <c r="AN48" s="13"/>
      <c r="AO48" s="13"/>
      <c r="AP48" s="13"/>
      <c r="AQ48" s="13"/>
    </row>
    <row r="49" spans="1:43">
      <c r="A49" s="13"/>
      <c r="B49" s="46" t="s">
        <v>218</v>
      </c>
      <c r="C49" s="46">
        <v>305.2</v>
      </c>
      <c r="D49" s="49">
        <v>-1E-3</v>
      </c>
      <c r="E49" s="13"/>
      <c r="F49" s="13"/>
      <c r="G49" s="13"/>
      <c r="H49" s="46" t="s">
        <v>218</v>
      </c>
      <c r="I49" s="48">
        <v>23092.2</v>
      </c>
      <c r="J49" s="49">
        <v>-4.8999999999999998E-3</v>
      </c>
      <c r="K49" s="13"/>
      <c r="L49" s="13"/>
      <c r="M49" s="13"/>
      <c r="N49" s="13"/>
      <c r="O49" s="13"/>
      <c r="P49" s="13"/>
      <c r="Q49" s="13"/>
      <c r="R49" s="13"/>
      <c r="S49" s="13"/>
      <c r="T49" s="13"/>
      <c r="U49" s="13"/>
      <c r="W49" s="13"/>
      <c r="X49" s="46" t="s">
        <v>219</v>
      </c>
      <c r="Y49" s="46">
        <v>290.58</v>
      </c>
      <c r="Z49" s="49">
        <v>4.3999999999999997E-2</v>
      </c>
      <c r="AA49" s="13"/>
      <c r="AB49" s="13"/>
      <c r="AC49" s="13"/>
      <c r="AD49" s="46" t="s">
        <v>219</v>
      </c>
      <c r="AE49" s="48">
        <v>22530.7</v>
      </c>
      <c r="AF49" s="49">
        <v>-1.8599999999999998E-2</v>
      </c>
      <c r="AG49" s="13"/>
      <c r="AH49" s="13"/>
      <c r="AI49" s="13"/>
      <c r="AJ49" s="13"/>
      <c r="AK49" s="13"/>
      <c r="AL49" s="13"/>
      <c r="AM49" s="13"/>
      <c r="AN49" s="13"/>
      <c r="AO49" s="13"/>
      <c r="AP49" s="13"/>
      <c r="AQ49" s="13"/>
    </row>
    <row r="50" spans="1:43">
      <c r="A50" s="13"/>
      <c r="B50" s="46" t="s">
        <v>220</v>
      </c>
      <c r="C50" s="46">
        <v>305.5</v>
      </c>
      <c r="D50" s="49">
        <v>-1.5599999999999999E-2</v>
      </c>
      <c r="E50" s="13"/>
      <c r="F50" s="13"/>
      <c r="G50" s="13"/>
      <c r="H50" s="46" t="s">
        <v>220</v>
      </c>
      <c r="I50" s="48">
        <v>23205.35</v>
      </c>
      <c r="J50" s="49">
        <v>2.2000000000000001E-3</v>
      </c>
      <c r="K50" s="13"/>
      <c r="L50" s="13"/>
      <c r="M50" s="13"/>
      <c r="N50" s="13"/>
      <c r="O50" s="13"/>
      <c r="P50" s="13"/>
      <c r="Q50" s="13"/>
      <c r="R50" s="13"/>
      <c r="S50" s="13"/>
      <c r="T50" s="13"/>
      <c r="U50" s="13"/>
      <c r="W50" s="13"/>
      <c r="X50" s="46" t="s">
        <v>221</v>
      </c>
      <c r="Y50" s="46">
        <v>278.33999999999997</v>
      </c>
      <c r="Z50" s="49">
        <v>2E-3</v>
      </c>
      <c r="AA50" s="13"/>
      <c r="AB50" s="13"/>
      <c r="AC50" s="13"/>
      <c r="AD50" s="46" t="s">
        <v>221</v>
      </c>
      <c r="AE50" s="48">
        <v>22957.1</v>
      </c>
      <c r="AF50" s="49">
        <v>2.1899999999999999E-2</v>
      </c>
      <c r="AG50" s="13"/>
      <c r="AH50" s="13"/>
      <c r="AI50" s="13"/>
      <c r="AJ50" s="13"/>
      <c r="AK50" s="13"/>
      <c r="AL50" s="13"/>
      <c r="AM50" s="13"/>
      <c r="AN50" s="13"/>
      <c r="AO50" s="13"/>
      <c r="AP50" s="13"/>
      <c r="AQ50" s="13"/>
    </row>
    <row r="51" spans="1:43">
      <c r="A51" s="13"/>
      <c r="B51" s="46" t="s">
        <v>222</v>
      </c>
      <c r="C51" s="46">
        <v>310.35000000000002</v>
      </c>
      <c r="D51" s="49">
        <v>-2.7000000000000001E-3</v>
      </c>
      <c r="E51" s="13"/>
      <c r="F51" s="13"/>
      <c r="G51" s="13"/>
      <c r="H51" s="46" t="s">
        <v>222</v>
      </c>
      <c r="I51" s="48">
        <v>23155.35</v>
      </c>
      <c r="J51" s="49">
        <v>5.7000000000000002E-3</v>
      </c>
      <c r="K51" s="13"/>
      <c r="L51" s="13"/>
      <c r="M51" s="13"/>
      <c r="N51" s="13"/>
      <c r="O51" s="13"/>
      <c r="P51" s="13"/>
      <c r="Q51" s="13"/>
      <c r="R51" s="13"/>
      <c r="S51" s="13"/>
      <c r="T51" s="13"/>
      <c r="U51" s="13"/>
      <c r="W51" s="13"/>
      <c r="X51" s="47">
        <v>45631</v>
      </c>
      <c r="Y51" s="46">
        <v>277.79000000000002</v>
      </c>
      <c r="Z51" s="49">
        <v>-2.12E-2</v>
      </c>
      <c r="AA51" s="13"/>
      <c r="AB51" s="13"/>
      <c r="AC51" s="13"/>
      <c r="AD51" s="47">
        <v>45631</v>
      </c>
      <c r="AE51" s="48">
        <v>22466.1</v>
      </c>
      <c r="AF51" s="49">
        <v>1.8599999999999998E-2</v>
      </c>
      <c r="AG51" s="13"/>
      <c r="AH51" s="13"/>
      <c r="AI51" s="13"/>
      <c r="AJ51" s="13"/>
      <c r="AK51" s="13"/>
      <c r="AL51" s="13"/>
      <c r="AM51" s="13"/>
      <c r="AN51" s="13"/>
      <c r="AO51" s="13"/>
      <c r="AP51" s="13"/>
      <c r="AQ51" s="13"/>
    </row>
    <row r="52" spans="1:43">
      <c r="A52" s="13"/>
      <c r="B52" s="46" t="s">
        <v>223</v>
      </c>
      <c r="C52" s="46">
        <v>311.2</v>
      </c>
      <c r="D52" s="49">
        <v>-1.2200000000000001E-2</v>
      </c>
      <c r="E52" s="13"/>
      <c r="F52" s="13"/>
      <c r="G52" s="13"/>
      <c r="H52" s="46" t="s">
        <v>223</v>
      </c>
      <c r="I52" s="48">
        <v>23024.65</v>
      </c>
      <c r="J52" s="49">
        <v>-1.37E-2</v>
      </c>
      <c r="K52" s="13"/>
      <c r="L52" s="13"/>
      <c r="M52" s="13"/>
      <c r="N52" s="13"/>
      <c r="O52" s="13"/>
      <c r="P52" s="13"/>
      <c r="Q52" s="13"/>
      <c r="R52" s="13"/>
      <c r="S52" s="13"/>
      <c r="T52" s="13"/>
      <c r="U52" s="13"/>
      <c r="W52" s="13"/>
      <c r="X52" s="47">
        <v>45417</v>
      </c>
      <c r="Y52" s="46">
        <v>283.81</v>
      </c>
      <c r="Z52" s="49">
        <v>4.5999999999999999E-3</v>
      </c>
      <c r="AA52" s="13"/>
      <c r="AB52" s="13"/>
      <c r="AC52" s="13"/>
      <c r="AD52" s="47">
        <v>45417</v>
      </c>
      <c r="AE52" s="48">
        <v>22055.200000000001</v>
      </c>
      <c r="AF52" s="49">
        <v>-1.8700000000000001E-2</v>
      </c>
      <c r="AG52" s="13"/>
      <c r="AH52" s="13"/>
      <c r="AI52" s="13"/>
      <c r="AJ52" s="13"/>
      <c r="AK52" s="13"/>
      <c r="AL52" s="13"/>
      <c r="AM52" s="13"/>
      <c r="AN52" s="13"/>
      <c r="AO52" s="13"/>
      <c r="AP52" s="13"/>
      <c r="AQ52" s="13"/>
    </row>
    <row r="53" spans="1:43">
      <c r="A53" s="13"/>
      <c r="B53" s="46" t="s">
        <v>224</v>
      </c>
      <c r="C53" s="46">
        <v>315.05</v>
      </c>
      <c r="D53" s="49">
        <v>-8.0000000000000002E-3</v>
      </c>
      <c r="E53" s="13"/>
      <c r="F53" s="13"/>
      <c r="G53" s="13"/>
      <c r="H53" s="46" t="s">
        <v>224</v>
      </c>
      <c r="I53" s="48">
        <v>23344.75</v>
      </c>
      <c r="J53" s="49">
        <v>6.1000000000000004E-3</v>
      </c>
      <c r="K53" s="13"/>
      <c r="L53" s="13"/>
      <c r="M53" s="13"/>
      <c r="N53" s="13"/>
      <c r="O53" s="13"/>
      <c r="P53" s="13"/>
      <c r="Q53" s="13"/>
      <c r="R53" s="13"/>
      <c r="S53" s="13"/>
      <c r="T53" s="13"/>
      <c r="U53" s="13"/>
      <c r="W53" s="13"/>
      <c r="X53" s="46" t="s">
        <v>225</v>
      </c>
      <c r="Y53" s="46">
        <v>282.52</v>
      </c>
      <c r="Z53" s="49">
        <v>4.1000000000000002E-2</v>
      </c>
      <c r="AA53" s="13"/>
      <c r="AB53" s="13"/>
      <c r="AC53" s="13"/>
      <c r="AD53" s="46" t="s">
        <v>225</v>
      </c>
      <c r="AE53" s="48">
        <v>22475.85</v>
      </c>
      <c r="AF53" s="49">
        <v>2.5000000000000001E-3</v>
      </c>
      <c r="AG53" s="13"/>
      <c r="AH53" s="13"/>
      <c r="AI53" s="13"/>
      <c r="AJ53" s="13"/>
      <c r="AK53" s="13"/>
      <c r="AL53" s="13"/>
      <c r="AM53" s="13"/>
      <c r="AN53" s="13"/>
      <c r="AO53" s="13"/>
      <c r="AP53" s="13"/>
      <c r="AQ53" s="13"/>
    </row>
    <row r="54" spans="1:43">
      <c r="A54" s="13"/>
      <c r="B54" s="46" t="s">
        <v>226</v>
      </c>
      <c r="C54" s="46">
        <v>317.60000000000002</v>
      </c>
      <c r="D54" s="49">
        <v>-1.7000000000000001E-2</v>
      </c>
      <c r="E54" s="13"/>
      <c r="F54" s="13"/>
      <c r="G54" s="13"/>
      <c r="H54" s="46" t="s">
        <v>226</v>
      </c>
      <c r="I54" s="48">
        <v>23203.200000000001</v>
      </c>
      <c r="J54" s="49">
        <v>-4.7000000000000002E-3</v>
      </c>
      <c r="K54" s="13"/>
      <c r="L54" s="13"/>
      <c r="M54" s="13"/>
      <c r="N54" s="13"/>
      <c r="O54" s="13"/>
      <c r="P54" s="13"/>
      <c r="Q54" s="13"/>
      <c r="R54" s="13"/>
      <c r="S54" s="13"/>
      <c r="T54" s="13"/>
      <c r="U54" s="13"/>
      <c r="W54" s="13"/>
      <c r="X54" s="46" t="s">
        <v>227</v>
      </c>
      <c r="Y54" s="46">
        <v>271.38</v>
      </c>
      <c r="Z54" s="49">
        <v>-8.1900000000000001E-2</v>
      </c>
      <c r="AA54" s="13"/>
      <c r="AB54" s="13"/>
      <c r="AC54" s="13"/>
      <c r="AD54" s="46" t="s">
        <v>227</v>
      </c>
      <c r="AE54" s="48">
        <v>22419.95</v>
      </c>
      <c r="AF54" s="49">
        <v>1.23E-2</v>
      </c>
      <c r="AG54" s="13"/>
      <c r="AH54" s="13"/>
      <c r="AI54" s="13"/>
      <c r="AJ54" s="13"/>
      <c r="AK54" s="13"/>
      <c r="AL54" s="13"/>
      <c r="AM54" s="13"/>
      <c r="AN54" s="13"/>
      <c r="AO54" s="13"/>
      <c r="AP54" s="13"/>
      <c r="AQ54" s="13"/>
    </row>
    <row r="55" spans="1:43">
      <c r="A55" s="13"/>
      <c r="B55" s="46" t="s">
        <v>228</v>
      </c>
      <c r="C55" s="46">
        <v>323.10000000000002</v>
      </c>
      <c r="D55" s="49">
        <v>-2.2200000000000001E-2</v>
      </c>
      <c r="E55" s="13"/>
      <c r="F55" s="13"/>
      <c r="G55" s="13"/>
      <c r="H55" s="46" t="s">
        <v>228</v>
      </c>
      <c r="I55" s="48">
        <v>23311.8</v>
      </c>
      <c r="J55" s="49">
        <v>4.1999999999999997E-3</v>
      </c>
      <c r="K55" s="13"/>
      <c r="L55" s="13"/>
      <c r="M55" s="13"/>
      <c r="N55" s="13"/>
      <c r="O55" s="13"/>
      <c r="P55" s="13"/>
      <c r="Q55" s="13"/>
      <c r="R55" s="13"/>
      <c r="S55" s="13"/>
      <c r="T55" s="13"/>
      <c r="U55" s="13"/>
      <c r="W55" s="13"/>
      <c r="X55" s="46" t="s">
        <v>229</v>
      </c>
      <c r="Y55" s="46">
        <v>295.58999999999997</v>
      </c>
      <c r="Z55" s="49">
        <v>-5.6099999999999997E-2</v>
      </c>
      <c r="AA55" s="13"/>
      <c r="AB55" s="13"/>
      <c r="AC55" s="13"/>
      <c r="AD55" s="46" t="s">
        <v>229</v>
      </c>
      <c r="AE55" s="48">
        <v>22147</v>
      </c>
      <c r="AF55" s="49">
        <v>-1.6500000000000001E-2</v>
      </c>
      <c r="AG55" s="13"/>
      <c r="AH55" s="13"/>
      <c r="AI55" s="13"/>
      <c r="AJ55" s="13"/>
      <c r="AK55" s="13"/>
      <c r="AL55" s="13"/>
      <c r="AM55" s="13"/>
      <c r="AN55" s="13"/>
      <c r="AO55" s="13"/>
      <c r="AP55" s="13"/>
      <c r="AQ55" s="13"/>
    </row>
    <row r="56" spans="1:43">
      <c r="A56" s="13"/>
      <c r="B56" s="46" t="s">
        <v>230</v>
      </c>
      <c r="C56" s="46">
        <v>330.45</v>
      </c>
      <c r="D56" s="49">
        <v>5.4999999999999997E-3</v>
      </c>
      <c r="E56" s="13"/>
      <c r="F56" s="13"/>
      <c r="G56" s="13"/>
      <c r="H56" s="46" t="s">
        <v>230</v>
      </c>
      <c r="I56" s="48">
        <v>23213.200000000001</v>
      </c>
      <c r="J56" s="49">
        <v>1.6000000000000001E-3</v>
      </c>
      <c r="K56" s="13"/>
      <c r="L56" s="13"/>
      <c r="M56" s="13"/>
      <c r="N56" s="13"/>
      <c r="O56" s="13"/>
      <c r="P56" s="13"/>
      <c r="Q56" s="13"/>
      <c r="R56" s="13"/>
      <c r="S56" s="13"/>
      <c r="T56" s="13"/>
      <c r="U56" s="13"/>
      <c r="W56" s="13"/>
      <c r="X56" s="47">
        <v>45477</v>
      </c>
      <c r="Y56" s="46">
        <v>313.14999999999998</v>
      </c>
      <c r="Z56" s="49">
        <v>2.8799999999999999E-2</v>
      </c>
      <c r="AA56" s="13"/>
      <c r="AB56" s="13"/>
      <c r="AC56" s="13"/>
      <c r="AD56" s="47">
        <v>45477</v>
      </c>
      <c r="AE56" s="48">
        <v>22519.4</v>
      </c>
      <c r="AF56" s="49">
        <v>2.9999999999999997E-4</v>
      </c>
      <c r="AG56" s="13"/>
      <c r="AH56" s="13"/>
      <c r="AI56" s="13"/>
      <c r="AJ56" s="13"/>
      <c r="AK56" s="13"/>
      <c r="AL56" s="13"/>
      <c r="AM56" s="13"/>
      <c r="AN56" s="13"/>
      <c r="AO56" s="13"/>
      <c r="AP56" s="13"/>
      <c r="AQ56" s="13"/>
    </row>
    <row r="57" spans="1:43">
      <c r="A57" s="13"/>
      <c r="B57" s="46" t="s">
        <v>231</v>
      </c>
      <c r="C57" s="46">
        <v>328.65</v>
      </c>
      <c r="D57" s="49">
        <v>2.4E-2</v>
      </c>
      <c r="E57" s="13"/>
      <c r="F57" s="13"/>
      <c r="G57" s="13"/>
      <c r="H57" s="46" t="s">
        <v>231</v>
      </c>
      <c r="I57" s="48">
        <v>23176.05</v>
      </c>
      <c r="J57" s="49">
        <v>3.8999999999999998E-3</v>
      </c>
      <c r="K57" s="13"/>
      <c r="L57" s="13"/>
      <c r="M57" s="13"/>
      <c r="N57" s="13"/>
      <c r="O57" s="13"/>
      <c r="P57" s="13"/>
      <c r="Q57" s="13"/>
      <c r="R57" s="13"/>
      <c r="S57" s="13"/>
      <c r="T57" s="13"/>
      <c r="U57" s="13"/>
      <c r="W57" s="13"/>
      <c r="X57" s="13"/>
      <c r="Y57" s="13"/>
      <c r="Z57" s="13"/>
      <c r="AA57" s="13"/>
      <c r="AB57" s="13"/>
      <c r="AC57" s="13"/>
      <c r="AD57" s="13"/>
      <c r="AE57" s="13"/>
      <c r="AF57" s="13"/>
      <c r="AG57" s="13"/>
      <c r="AH57" s="13"/>
      <c r="AI57" s="13"/>
      <c r="AJ57" s="13"/>
      <c r="AK57" s="13"/>
      <c r="AL57" s="13"/>
      <c r="AM57" s="13"/>
      <c r="AN57" s="13"/>
      <c r="AO57" s="13"/>
      <c r="AP57" s="13"/>
      <c r="AQ57" s="13"/>
    </row>
    <row r="58" spans="1:43">
      <c r="A58" s="13"/>
      <c r="B58" s="46" t="s">
        <v>232</v>
      </c>
      <c r="C58" s="46">
        <v>320.95</v>
      </c>
      <c r="D58" s="49">
        <v>-2.58E-2</v>
      </c>
      <c r="E58" s="13"/>
      <c r="F58" s="13"/>
      <c r="G58" s="13"/>
      <c r="H58" s="46" t="s">
        <v>232</v>
      </c>
      <c r="I58" s="48">
        <v>23085.95</v>
      </c>
      <c r="J58" s="49">
        <v>-1.47E-2</v>
      </c>
      <c r="K58" s="13"/>
      <c r="L58" s="13"/>
      <c r="M58" s="13"/>
      <c r="N58" s="13"/>
      <c r="O58" s="13"/>
      <c r="P58" s="13"/>
      <c r="Q58" s="13"/>
      <c r="R58" s="13"/>
      <c r="S58" s="13"/>
      <c r="T58" s="13"/>
      <c r="U58" s="13"/>
      <c r="W58" s="13"/>
      <c r="X58" s="13"/>
      <c r="Y58" s="13"/>
      <c r="Z58" s="13"/>
      <c r="AA58" s="13"/>
      <c r="AB58" s="13"/>
      <c r="AC58" s="13"/>
      <c r="AD58" s="13"/>
      <c r="AE58" s="13"/>
      <c r="AF58" s="13"/>
      <c r="AG58" s="13"/>
      <c r="AH58" s="13"/>
      <c r="AI58" s="13"/>
      <c r="AJ58" s="13"/>
      <c r="AK58" s="13"/>
      <c r="AL58" s="13"/>
      <c r="AM58" s="13"/>
      <c r="AN58" s="13"/>
      <c r="AO58" s="13"/>
      <c r="AP58" s="13"/>
      <c r="AQ58" s="13"/>
    </row>
    <row r="59" spans="1:43">
      <c r="A59" s="13"/>
      <c r="B59" s="47">
        <v>45931</v>
      </c>
      <c r="C59" s="46">
        <v>329.45</v>
      </c>
      <c r="D59" s="49">
        <v>-4.0300000000000002E-2</v>
      </c>
      <c r="E59" s="13"/>
      <c r="F59" s="13"/>
      <c r="G59" s="13"/>
      <c r="H59" s="47">
        <v>45931</v>
      </c>
      <c r="I59" s="48">
        <v>23431.5</v>
      </c>
      <c r="J59" s="49">
        <v>-4.0000000000000001E-3</v>
      </c>
      <c r="K59" s="13"/>
      <c r="L59" s="13"/>
      <c r="M59" s="13"/>
      <c r="N59" s="13"/>
      <c r="O59" s="13"/>
      <c r="P59" s="13"/>
      <c r="Q59" s="13"/>
      <c r="R59" s="13"/>
      <c r="S59" s="13"/>
      <c r="T59" s="13"/>
      <c r="U59" s="13"/>
    </row>
    <row r="60" spans="1:43">
      <c r="A60" s="13"/>
      <c r="B60" s="47">
        <v>45901</v>
      </c>
      <c r="C60" s="46">
        <v>343.3</v>
      </c>
      <c r="D60" s="49">
        <v>1.09E-2</v>
      </c>
      <c r="E60" s="13"/>
      <c r="F60" s="13"/>
      <c r="G60" s="13"/>
      <c r="H60" s="47">
        <v>45901</v>
      </c>
      <c r="I60" s="48">
        <v>23526.5</v>
      </c>
      <c r="J60" s="49">
        <v>-6.8999999999999999E-3</v>
      </c>
      <c r="K60" s="13"/>
      <c r="L60" s="13"/>
      <c r="M60" s="13"/>
      <c r="N60" s="13"/>
      <c r="O60" s="13"/>
      <c r="P60" s="13"/>
      <c r="Q60" s="13"/>
      <c r="R60" s="13"/>
      <c r="S60" s="13"/>
      <c r="T60" s="13"/>
      <c r="U60" s="13"/>
    </row>
    <row r="61" spans="1:43">
      <c r="A61" s="13"/>
      <c r="B61" s="47">
        <v>45870</v>
      </c>
      <c r="C61" s="46">
        <v>339.6</v>
      </c>
      <c r="D61" s="49">
        <v>-4.0899999999999999E-2</v>
      </c>
      <c r="E61" s="13"/>
      <c r="F61" s="13"/>
      <c r="G61" s="13"/>
      <c r="H61" s="47">
        <v>45870</v>
      </c>
      <c r="I61" s="48">
        <v>23688.95</v>
      </c>
      <c r="J61" s="49">
        <v>-8.0000000000000004E-4</v>
      </c>
      <c r="K61" s="13"/>
      <c r="L61" s="13"/>
      <c r="M61" s="13"/>
      <c r="N61" s="13"/>
      <c r="O61" s="13"/>
      <c r="P61" s="13"/>
      <c r="Q61" s="13"/>
      <c r="R61" s="13"/>
      <c r="S61" s="13"/>
      <c r="T61" s="13"/>
      <c r="U61" s="13"/>
    </row>
    <row r="62" spans="1:43">
      <c r="A62" s="13"/>
      <c r="B62" s="47">
        <v>45839</v>
      </c>
      <c r="C62" s="46">
        <v>354.1</v>
      </c>
      <c r="D62" s="49">
        <v>-5.9999999999999995E-4</v>
      </c>
      <c r="E62" s="13"/>
      <c r="F62" s="13"/>
      <c r="G62" s="13"/>
      <c r="H62" s="47">
        <v>45839</v>
      </c>
      <c r="I62" s="48">
        <v>23707.9</v>
      </c>
      <c r="J62" s="49">
        <v>3.8999999999999998E-3</v>
      </c>
      <c r="K62" s="13"/>
      <c r="L62" s="13"/>
      <c r="M62" s="13"/>
      <c r="N62" s="13"/>
      <c r="O62" s="13"/>
      <c r="P62" s="13"/>
      <c r="Q62" s="13"/>
      <c r="R62" s="13"/>
      <c r="S62" s="13"/>
      <c r="T62" s="13"/>
      <c r="U62" s="13"/>
    </row>
    <row r="63" spans="1:43">
      <c r="A63" s="13"/>
      <c r="B63" s="47">
        <v>45809</v>
      </c>
      <c r="C63" s="46">
        <v>354.3</v>
      </c>
      <c r="D63" s="49">
        <v>1.46E-2</v>
      </c>
      <c r="E63" s="13"/>
      <c r="F63" s="13"/>
      <c r="G63" s="13"/>
      <c r="H63" s="47">
        <v>45809</v>
      </c>
      <c r="I63" s="48">
        <v>23616.05</v>
      </c>
      <c r="J63" s="49">
        <v>-1.6199999999999999E-2</v>
      </c>
      <c r="K63" s="13"/>
      <c r="L63" s="13"/>
      <c r="M63" s="13"/>
      <c r="N63" s="13"/>
      <c r="O63" s="13"/>
      <c r="P63" s="13"/>
      <c r="Q63" s="13"/>
      <c r="R63" s="13"/>
      <c r="S63" s="13"/>
      <c r="T63" s="13"/>
      <c r="U63" s="13"/>
    </row>
    <row r="64" spans="1:43">
      <c r="A64" s="13"/>
      <c r="B64" s="47">
        <v>45717</v>
      </c>
      <c r="C64" s="46">
        <v>349.2</v>
      </c>
      <c r="D64" s="49">
        <v>2.2499999999999999E-2</v>
      </c>
      <c r="E64" s="13"/>
      <c r="F64" s="13"/>
      <c r="G64" s="13"/>
      <c r="H64" s="47">
        <v>45717</v>
      </c>
      <c r="I64" s="48">
        <v>24004.75</v>
      </c>
      <c r="J64" s="49">
        <v>-7.6E-3</v>
      </c>
      <c r="K64" s="13"/>
      <c r="L64" s="13"/>
      <c r="M64" s="13"/>
      <c r="N64" s="13"/>
      <c r="O64" s="13"/>
      <c r="P64" s="13"/>
      <c r="Q64" s="13"/>
      <c r="R64" s="13"/>
      <c r="S64" s="13"/>
      <c r="T64" s="13"/>
      <c r="U64" s="13"/>
    </row>
    <row r="65" spans="1:21">
      <c r="A65" s="13"/>
      <c r="B65" s="47">
        <v>45689</v>
      </c>
      <c r="C65" s="46">
        <v>341.5</v>
      </c>
      <c r="D65" s="49">
        <v>-8.6999999999999994E-3</v>
      </c>
      <c r="E65" s="13"/>
      <c r="F65" s="13"/>
      <c r="G65" s="13"/>
      <c r="H65" s="47">
        <v>45689</v>
      </c>
      <c r="I65" s="48">
        <v>24188.65</v>
      </c>
      <c r="J65" s="49">
        <v>1.8800000000000001E-2</v>
      </c>
      <c r="K65" s="13"/>
      <c r="L65" s="13"/>
      <c r="M65" s="13"/>
      <c r="N65" s="13"/>
      <c r="O65" s="13"/>
      <c r="P65" s="13"/>
      <c r="Q65" s="13"/>
      <c r="R65" s="13"/>
      <c r="S65" s="13"/>
      <c r="T65" s="13"/>
      <c r="U65" s="13"/>
    </row>
    <row r="66" spans="1:21">
      <c r="A66" s="13"/>
      <c r="B66" s="47">
        <v>45658</v>
      </c>
      <c r="C66" s="46">
        <v>344.5</v>
      </c>
      <c r="D66" s="49">
        <v>4.1700000000000001E-2</v>
      </c>
      <c r="E66" s="13"/>
      <c r="F66" s="13"/>
      <c r="G66" s="13"/>
      <c r="H66" s="47">
        <v>45658</v>
      </c>
      <c r="I66" s="48">
        <v>23742.9</v>
      </c>
      <c r="J66" s="49">
        <v>4.1000000000000003E-3</v>
      </c>
      <c r="K66" s="13"/>
      <c r="L66" s="13"/>
      <c r="M66" s="13"/>
      <c r="N66" s="13"/>
      <c r="O66" s="13"/>
      <c r="P66" s="13"/>
      <c r="Q66" s="13"/>
      <c r="R66" s="13"/>
      <c r="S66" s="13"/>
      <c r="T66" s="13"/>
      <c r="U66" s="13"/>
    </row>
    <row r="67" spans="1:21">
      <c r="A67" s="13"/>
      <c r="B67" s="46" t="s">
        <v>233</v>
      </c>
      <c r="C67" s="46">
        <v>330.7</v>
      </c>
      <c r="D67" s="49">
        <v>-5.0000000000000001E-3</v>
      </c>
      <c r="E67" s="13"/>
      <c r="F67" s="13"/>
      <c r="G67" s="13"/>
      <c r="H67" s="46" t="s">
        <v>233</v>
      </c>
      <c r="I67" s="48">
        <v>23644.799999999999</v>
      </c>
      <c r="J67" s="49">
        <v>0</v>
      </c>
      <c r="K67" s="13"/>
      <c r="L67" s="13"/>
      <c r="M67" s="13"/>
      <c r="N67" s="13"/>
      <c r="O67" s="13"/>
      <c r="P67" s="13"/>
      <c r="Q67" s="13"/>
      <c r="R67" s="13"/>
      <c r="S67" s="13"/>
      <c r="T67" s="13"/>
      <c r="U67" s="13"/>
    </row>
    <row r="68" spans="1:21">
      <c r="A68" s="13"/>
      <c r="B68" s="46" t="s">
        <v>234</v>
      </c>
      <c r="C68" s="46">
        <v>332.35</v>
      </c>
      <c r="D68" s="49">
        <v>6.1999999999999998E-3</v>
      </c>
      <c r="E68" s="13"/>
      <c r="F68" s="13"/>
      <c r="G68" s="13"/>
      <c r="H68" s="46" t="s">
        <v>234</v>
      </c>
      <c r="I68" s="48">
        <v>23644.9</v>
      </c>
      <c r="J68" s="49">
        <v>-7.1000000000000004E-3</v>
      </c>
      <c r="K68" s="13"/>
      <c r="L68" s="13"/>
      <c r="M68" s="13"/>
      <c r="N68" s="13"/>
      <c r="O68" s="13"/>
      <c r="P68" s="13"/>
      <c r="Q68" s="13"/>
      <c r="R68" s="13"/>
      <c r="S68" s="13"/>
      <c r="T68" s="13"/>
      <c r="U68" s="13"/>
    </row>
    <row r="69" spans="1:21">
      <c r="A69" s="13"/>
      <c r="B69" s="46" t="s">
        <v>235</v>
      </c>
      <c r="C69" s="46">
        <v>330.3</v>
      </c>
      <c r="D69" s="49">
        <v>2.8000000000000001E-2</v>
      </c>
      <c r="E69" s="13"/>
      <c r="F69" s="13"/>
      <c r="G69" s="13"/>
      <c r="H69" s="46" t="s">
        <v>235</v>
      </c>
      <c r="I69" s="48">
        <v>23813.4</v>
      </c>
      <c r="J69" s="49">
        <v>2.7000000000000001E-3</v>
      </c>
      <c r="K69" s="13"/>
      <c r="L69" s="13"/>
      <c r="M69" s="13"/>
      <c r="N69" s="13"/>
      <c r="O69" s="13"/>
      <c r="P69" s="13"/>
      <c r="Q69" s="13"/>
      <c r="R69" s="13"/>
      <c r="S69" s="13"/>
      <c r="T69" s="13"/>
      <c r="U69" s="13"/>
    </row>
    <row r="70" spans="1:21">
      <c r="A70" s="13"/>
      <c r="B70" s="46" t="s">
        <v>236</v>
      </c>
      <c r="C70" s="46">
        <v>321.3</v>
      </c>
      <c r="D70" s="49">
        <v>-1.12E-2</v>
      </c>
      <c r="E70" s="13"/>
      <c r="F70" s="13"/>
      <c r="G70" s="13"/>
      <c r="H70" s="46" t="s">
        <v>236</v>
      </c>
      <c r="I70" s="48">
        <v>23750.2</v>
      </c>
      <c r="J70" s="49">
        <v>1E-3</v>
      </c>
      <c r="K70" s="13"/>
      <c r="L70" s="13"/>
      <c r="M70" s="13"/>
      <c r="N70" s="13"/>
      <c r="O70" s="13"/>
      <c r="P70" s="13"/>
      <c r="Q70" s="13"/>
      <c r="R70" s="13"/>
      <c r="S70" s="13"/>
      <c r="T70" s="13"/>
      <c r="U70" s="13"/>
    </row>
    <row r="71" spans="1:21">
      <c r="A71" s="13"/>
      <c r="B71" s="46" t="s">
        <v>237</v>
      </c>
      <c r="C71" s="46">
        <v>324.95</v>
      </c>
      <c r="D71" s="49">
        <v>2.23E-2</v>
      </c>
      <c r="E71" s="13"/>
      <c r="F71" s="13"/>
      <c r="G71" s="13"/>
      <c r="H71" s="46" t="s">
        <v>237</v>
      </c>
      <c r="I71" s="48">
        <v>23727.65</v>
      </c>
      <c r="J71" s="49">
        <v>-1.1000000000000001E-3</v>
      </c>
      <c r="K71" s="13"/>
      <c r="L71" s="13"/>
      <c r="M71" s="13"/>
      <c r="N71" s="13"/>
      <c r="O71" s="13"/>
      <c r="P71" s="13"/>
      <c r="Q71" s="13"/>
      <c r="R71" s="13"/>
      <c r="S71" s="13"/>
      <c r="T71" s="13"/>
      <c r="U71" s="13"/>
    </row>
    <row r="72" spans="1:21">
      <c r="A72" s="13"/>
      <c r="B72" s="46" t="s">
        <v>238</v>
      </c>
      <c r="C72" s="46">
        <v>317.85000000000002</v>
      </c>
      <c r="D72" s="49">
        <v>1.9400000000000001E-2</v>
      </c>
      <c r="E72" s="13"/>
      <c r="F72" s="13"/>
      <c r="G72" s="13"/>
      <c r="H72" s="46" t="s">
        <v>238</v>
      </c>
      <c r="I72" s="48">
        <v>23753.45</v>
      </c>
      <c r="J72" s="49">
        <v>7.0000000000000001E-3</v>
      </c>
      <c r="K72" s="13"/>
      <c r="L72" s="13"/>
      <c r="M72" s="13"/>
      <c r="N72" s="13"/>
      <c r="O72" s="13"/>
      <c r="P72" s="13"/>
      <c r="Q72" s="13"/>
      <c r="R72" s="13"/>
      <c r="S72" s="13"/>
      <c r="T72" s="13"/>
      <c r="U72" s="13"/>
    </row>
    <row r="73" spans="1:21">
      <c r="A73" s="13"/>
      <c r="B73" s="46" t="s">
        <v>239</v>
      </c>
      <c r="C73" s="46">
        <v>311.8</v>
      </c>
      <c r="D73" s="49">
        <v>1.0200000000000001E-2</v>
      </c>
      <c r="E73" s="13"/>
      <c r="F73" s="13"/>
      <c r="G73" s="13"/>
      <c r="H73" s="46" t="s">
        <v>239</v>
      </c>
      <c r="I73" s="48">
        <v>23587.5</v>
      </c>
      <c r="J73" s="49">
        <v>-1.52E-2</v>
      </c>
      <c r="K73" s="13"/>
      <c r="L73" s="13"/>
      <c r="M73" s="13"/>
      <c r="N73" s="13"/>
      <c r="O73" s="13"/>
      <c r="P73" s="13"/>
      <c r="Q73" s="13"/>
      <c r="R73" s="13"/>
      <c r="S73" s="13"/>
      <c r="T73" s="13"/>
      <c r="U73" s="13"/>
    </row>
    <row r="74" spans="1:21">
      <c r="A74" s="13"/>
      <c r="B74" s="46" t="s">
        <v>240</v>
      </c>
      <c r="C74" s="46">
        <v>308.64999999999998</v>
      </c>
      <c r="D74" s="49">
        <v>-1.8E-3</v>
      </c>
      <c r="E74" s="13"/>
      <c r="F74" s="13"/>
      <c r="G74" s="13"/>
      <c r="H74" s="46" t="s">
        <v>240</v>
      </c>
      <c r="I74" s="48">
        <v>23951.7</v>
      </c>
      <c r="J74" s="49">
        <v>-1.0200000000000001E-2</v>
      </c>
      <c r="K74" s="13"/>
      <c r="L74" s="13"/>
      <c r="M74" s="13"/>
      <c r="N74" s="13"/>
      <c r="O74" s="13"/>
      <c r="P74" s="13"/>
      <c r="Q74" s="13"/>
      <c r="R74" s="13"/>
      <c r="S74" s="13"/>
      <c r="T74" s="13"/>
      <c r="U74" s="13"/>
    </row>
    <row r="75" spans="1:21">
      <c r="A75" s="13"/>
      <c r="B75" s="46" t="s">
        <v>241</v>
      </c>
      <c r="C75" s="46">
        <v>309.2</v>
      </c>
      <c r="D75" s="49">
        <v>-1.7299999999999999E-2</v>
      </c>
      <c r="E75" s="13"/>
      <c r="F75" s="13"/>
      <c r="G75" s="13"/>
      <c r="H75" s="46" t="s">
        <v>241</v>
      </c>
      <c r="I75" s="48">
        <v>24198.85</v>
      </c>
      <c r="J75" s="49">
        <v>-5.5999999999999999E-3</v>
      </c>
      <c r="K75" s="13"/>
      <c r="L75" s="13"/>
      <c r="M75" s="13"/>
      <c r="N75" s="13"/>
      <c r="O75" s="13"/>
      <c r="P75" s="13"/>
      <c r="Q75" s="13"/>
      <c r="R75" s="13"/>
      <c r="S75" s="13"/>
      <c r="T75" s="13"/>
      <c r="U75" s="13"/>
    </row>
    <row r="76" spans="1:21">
      <c r="A76" s="13"/>
      <c r="B76" s="46" t="s">
        <v>242</v>
      </c>
      <c r="C76" s="46">
        <v>314.64999999999998</v>
      </c>
      <c r="D76" s="49">
        <v>-7.6E-3</v>
      </c>
      <c r="E76" s="13"/>
      <c r="F76" s="13"/>
      <c r="G76" s="13"/>
      <c r="H76" s="46" t="s">
        <v>242</v>
      </c>
      <c r="I76" s="48">
        <v>24336</v>
      </c>
      <c r="J76" s="49">
        <v>-1.35E-2</v>
      </c>
      <c r="K76" s="13"/>
      <c r="L76" s="13"/>
      <c r="M76" s="13"/>
      <c r="N76" s="13"/>
      <c r="O76" s="13"/>
      <c r="P76" s="13"/>
      <c r="Q76" s="13"/>
      <c r="R76" s="13"/>
      <c r="S76" s="13"/>
      <c r="T76" s="13"/>
      <c r="U76" s="13"/>
    </row>
    <row r="77" spans="1:21">
      <c r="A77" s="13"/>
      <c r="B77" s="46" t="s">
        <v>243</v>
      </c>
      <c r="C77" s="46">
        <v>317.05</v>
      </c>
      <c r="D77" s="49">
        <v>1.6299999999999999E-2</v>
      </c>
      <c r="E77" s="13"/>
      <c r="F77" s="13"/>
      <c r="G77" s="13"/>
      <c r="H77" s="46" t="s">
        <v>243</v>
      </c>
      <c r="I77" s="48">
        <v>24668.25</v>
      </c>
      <c r="J77" s="49">
        <v>-4.0000000000000001E-3</v>
      </c>
      <c r="K77" s="13"/>
      <c r="L77" s="13"/>
      <c r="M77" s="13"/>
      <c r="N77" s="13"/>
      <c r="O77" s="13"/>
      <c r="P77" s="13"/>
      <c r="Q77" s="13"/>
      <c r="R77" s="13"/>
      <c r="S77" s="13"/>
      <c r="T77" s="13"/>
      <c r="U77" s="13"/>
    </row>
    <row r="78" spans="1:21">
      <c r="A78" s="13"/>
      <c r="B78" s="46" t="s">
        <v>244</v>
      </c>
      <c r="C78" s="46">
        <v>311.95</v>
      </c>
      <c r="D78" s="49">
        <v>-2.3900000000000001E-2</v>
      </c>
      <c r="E78" s="13"/>
      <c r="F78" s="13"/>
      <c r="G78" s="13"/>
      <c r="H78" s="46" t="s">
        <v>244</v>
      </c>
      <c r="I78" s="48">
        <v>24768.3</v>
      </c>
      <c r="J78" s="49">
        <v>8.8999999999999999E-3</v>
      </c>
      <c r="K78" s="13"/>
      <c r="L78" s="13"/>
      <c r="M78" s="13"/>
      <c r="N78" s="13"/>
      <c r="O78" s="13"/>
      <c r="P78" s="13"/>
      <c r="Q78" s="13"/>
      <c r="R78" s="13"/>
      <c r="S78" s="13"/>
      <c r="T78" s="13"/>
      <c r="U78" s="13"/>
    </row>
    <row r="79" spans="1:21">
      <c r="A79" s="13"/>
      <c r="B79" s="47">
        <v>45638</v>
      </c>
      <c r="C79" s="46">
        <v>319.60000000000002</v>
      </c>
      <c r="D79" s="49">
        <v>-1.6299999999999999E-2</v>
      </c>
      <c r="E79" s="13"/>
      <c r="F79" s="13"/>
      <c r="G79" s="13"/>
      <c r="H79" s="47">
        <v>45638</v>
      </c>
      <c r="I79" s="48">
        <v>24548.7</v>
      </c>
      <c r="J79" s="49">
        <v>-3.8E-3</v>
      </c>
      <c r="K79" s="13"/>
      <c r="L79" s="13"/>
      <c r="M79" s="13"/>
      <c r="N79" s="13"/>
      <c r="O79" s="13"/>
      <c r="P79" s="13"/>
      <c r="Q79" s="13"/>
      <c r="R79" s="13"/>
      <c r="S79" s="13"/>
      <c r="T79" s="13"/>
      <c r="U79" s="13"/>
    </row>
    <row r="80" spans="1:21">
      <c r="A80" s="13"/>
      <c r="B80" s="47">
        <v>45608</v>
      </c>
      <c r="C80" s="46">
        <v>324.89999999999998</v>
      </c>
      <c r="D80" s="49">
        <v>-1.4999999999999999E-2</v>
      </c>
      <c r="E80" s="13"/>
      <c r="F80" s="13"/>
      <c r="G80" s="13"/>
      <c r="H80" s="47">
        <v>45608</v>
      </c>
      <c r="I80" s="48">
        <v>24641.8</v>
      </c>
      <c r="J80" s="49">
        <v>1.2999999999999999E-3</v>
      </c>
      <c r="K80" s="13"/>
      <c r="L80" s="13"/>
      <c r="M80" s="13"/>
      <c r="N80" s="13"/>
      <c r="O80" s="13"/>
      <c r="P80" s="13"/>
      <c r="Q80" s="13"/>
      <c r="R80" s="13"/>
      <c r="S80" s="13"/>
      <c r="T80" s="13"/>
      <c r="U80" s="13"/>
    </row>
    <row r="81" spans="1:21">
      <c r="A81" s="13"/>
      <c r="B81" s="47">
        <v>45577</v>
      </c>
      <c r="C81" s="46">
        <v>329.85</v>
      </c>
      <c r="D81" s="49">
        <v>-3.0599999999999999E-2</v>
      </c>
      <c r="E81" s="13"/>
      <c r="F81" s="13"/>
      <c r="G81" s="13"/>
      <c r="H81" s="47">
        <v>45577</v>
      </c>
      <c r="I81" s="48">
        <v>24610.05</v>
      </c>
      <c r="J81" s="49">
        <v>-4.0000000000000002E-4</v>
      </c>
      <c r="K81" s="13"/>
      <c r="L81" s="13"/>
      <c r="M81" s="13"/>
      <c r="N81" s="13"/>
      <c r="O81" s="13"/>
      <c r="P81" s="13"/>
      <c r="Q81" s="13"/>
      <c r="R81" s="13"/>
      <c r="S81" s="13"/>
      <c r="T81" s="13"/>
      <c r="U81" s="13"/>
    </row>
    <row r="82" spans="1:21">
      <c r="A82" s="13"/>
      <c r="B82" s="47">
        <v>45547</v>
      </c>
      <c r="C82" s="46">
        <v>340.25</v>
      </c>
      <c r="D82" s="49">
        <v>-2.7900000000000001E-2</v>
      </c>
      <c r="E82" s="13"/>
      <c r="F82" s="13"/>
      <c r="G82" s="13"/>
      <c r="H82" s="47">
        <v>45547</v>
      </c>
      <c r="I82" s="48">
        <v>24619</v>
      </c>
      <c r="J82" s="49">
        <v>-2.3999999999999998E-3</v>
      </c>
      <c r="K82" s="13"/>
      <c r="L82" s="13"/>
      <c r="M82" s="13"/>
      <c r="N82" s="13"/>
      <c r="O82" s="13"/>
      <c r="P82" s="13"/>
      <c r="Q82" s="13"/>
      <c r="R82" s="13"/>
      <c r="S82" s="13"/>
      <c r="T82" s="13"/>
      <c r="U82" s="13"/>
    </row>
    <row r="83" spans="1:21">
      <c r="A83" s="13"/>
      <c r="B83" s="47">
        <v>45455</v>
      </c>
      <c r="C83" s="46">
        <v>350</v>
      </c>
      <c r="D83" s="49">
        <v>2.1299999999999999E-2</v>
      </c>
      <c r="E83" s="13"/>
      <c r="F83" s="13"/>
      <c r="G83" s="13"/>
      <c r="H83" s="47">
        <v>45455</v>
      </c>
      <c r="I83" s="48">
        <v>24677.8</v>
      </c>
      <c r="J83" s="49">
        <v>-1.1999999999999999E-3</v>
      </c>
      <c r="K83" s="13"/>
      <c r="L83" s="13"/>
      <c r="M83" s="13"/>
      <c r="N83" s="13"/>
      <c r="O83" s="13"/>
      <c r="P83" s="13"/>
      <c r="Q83" s="13"/>
      <c r="R83" s="13"/>
      <c r="S83" s="13"/>
      <c r="T83" s="13"/>
      <c r="U83" s="13"/>
    </row>
    <row r="84" spans="1:21">
      <c r="A84" s="13"/>
      <c r="B84" s="47">
        <v>45424</v>
      </c>
      <c r="C84" s="46">
        <v>342.7</v>
      </c>
      <c r="D84" s="49">
        <v>3.2000000000000002E-3</v>
      </c>
      <c r="E84" s="13"/>
      <c r="F84" s="13"/>
      <c r="G84" s="13"/>
      <c r="H84" s="47">
        <v>45424</v>
      </c>
      <c r="I84" s="48">
        <v>24708.400000000001</v>
      </c>
      <c r="J84" s="49">
        <v>9.7999999999999997E-3</v>
      </c>
      <c r="K84" s="13"/>
      <c r="L84" s="13"/>
      <c r="M84" s="13"/>
      <c r="N84" s="13"/>
      <c r="O84" s="13"/>
      <c r="P84" s="13"/>
      <c r="Q84" s="13"/>
      <c r="R84" s="13"/>
      <c r="S84" s="13"/>
      <c r="T84" s="13"/>
      <c r="U84" s="13"/>
    </row>
    <row r="85" spans="1:21">
      <c r="A85" s="13"/>
      <c r="B85" s="47">
        <v>45394</v>
      </c>
      <c r="C85" s="46">
        <v>341.6</v>
      </c>
      <c r="D85" s="49">
        <v>1.11E-2</v>
      </c>
      <c r="E85" s="13"/>
      <c r="F85" s="13"/>
      <c r="G85" s="13"/>
      <c r="H85" s="47">
        <v>45394</v>
      </c>
      <c r="I85" s="48">
        <v>24467.45</v>
      </c>
      <c r="J85" s="49">
        <v>4.0000000000000002E-4</v>
      </c>
      <c r="K85" s="13"/>
      <c r="L85" s="13"/>
      <c r="M85" s="13"/>
      <c r="N85" s="13"/>
      <c r="O85" s="13"/>
      <c r="P85" s="13"/>
      <c r="Q85" s="13"/>
      <c r="R85" s="13"/>
      <c r="S85" s="13"/>
      <c r="T85" s="13"/>
      <c r="U85" s="13"/>
    </row>
    <row r="86" spans="1:21">
      <c r="A86" s="13"/>
      <c r="B86" s="47">
        <v>45363</v>
      </c>
      <c r="C86" s="46">
        <v>337.85</v>
      </c>
      <c r="D86" s="49">
        <v>3.9100000000000003E-2</v>
      </c>
      <c r="E86" s="13"/>
      <c r="F86" s="13"/>
      <c r="G86" s="13"/>
      <c r="H86" s="47">
        <v>45363</v>
      </c>
      <c r="I86" s="48">
        <v>24457.15</v>
      </c>
      <c r="J86" s="49">
        <v>7.4999999999999997E-3</v>
      </c>
      <c r="K86" s="13"/>
      <c r="L86" s="13"/>
      <c r="M86" s="13"/>
      <c r="N86" s="13"/>
      <c r="O86" s="13"/>
      <c r="P86" s="13"/>
      <c r="Q86" s="13"/>
      <c r="R86" s="13"/>
      <c r="S86" s="13"/>
      <c r="T86" s="13"/>
      <c r="U86" s="13"/>
    </row>
    <row r="87" spans="1:21">
      <c r="A87" s="13"/>
      <c r="B87" s="47">
        <v>45334</v>
      </c>
      <c r="C87" s="46">
        <v>325.14999999999998</v>
      </c>
      <c r="D87" s="49">
        <v>-3.8E-3</v>
      </c>
      <c r="E87" s="13"/>
      <c r="F87" s="13"/>
      <c r="G87" s="13"/>
      <c r="H87" s="47">
        <v>45334</v>
      </c>
      <c r="I87" s="48">
        <v>24276.05</v>
      </c>
      <c r="J87" s="49">
        <v>6.0000000000000001E-3</v>
      </c>
      <c r="K87" s="13"/>
      <c r="L87" s="13"/>
      <c r="M87" s="13"/>
      <c r="N87" s="13"/>
      <c r="O87" s="13"/>
      <c r="P87" s="13"/>
      <c r="Q87" s="13"/>
      <c r="R87" s="13"/>
      <c r="S87" s="13"/>
      <c r="T87" s="13"/>
      <c r="U87" s="13"/>
    </row>
    <row r="88" spans="1:21">
      <c r="A88" s="13"/>
      <c r="B88" s="46" t="s">
        <v>245</v>
      </c>
      <c r="C88" s="46">
        <v>326.39999999999998</v>
      </c>
      <c r="D88" s="49">
        <v>6.6E-3</v>
      </c>
      <c r="E88" s="13"/>
      <c r="F88" s="13"/>
      <c r="G88" s="13"/>
      <c r="H88" s="46" t="s">
        <v>245</v>
      </c>
      <c r="I88" s="48">
        <v>24131.1</v>
      </c>
      <c r="J88" s="49">
        <v>9.1000000000000004E-3</v>
      </c>
      <c r="K88" s="13"/>
      <c r="L88" s="13"/>
      <c r="M88" s="13"/>
      <c r="N88" s="13"/>
      <c r="O88" s="13"/>
      <c r="P88" s="13"/>
      <c r="Q88" s="13"/>
      <c r="R88" s="13"/>
      <c r="S88" s="13"/>
      <c r="T88" s="13"/>
      <c r="U88" s="13"/>
    </row>
    <row r="89" spans="1:21">
      <c r="A89" s="13"/>
      <c r="B89" s="46" t="s">
        <v>246</v>
      </c>
      <c r="C89" s="46">
        <v>324.25</v>
      </c>
      <c r="D89" s="49">
        <v>-8.0000000000000004E-4</v>
      </c>
      <c r="E89" s="13"/>
      <c r="F89" s="13"/>
      <c r="G89" s="13"/>
      <c r="H89" s="46" t="s">
        <v>246</v>
      </c>
      <c r="I89" s="48">
        <v>23914.15</v>
      </c>
      <c r="J89" s="49">
        <v>-1.49E-2</v>
      </c>
      <c r="K89" s="13"/>
      <c r="L89" s="13"/>
      <c r="M89" s="13"/>
      <c r="N89" s="13"/>
      <c r="O89" s="13"/>
      <c r="P89" s="13"/>
      <c r="Q89" s="13"/>
      <c r="R89" s="13"/>
      <c r="S89" s="13"/>
      <c r="T89" s="13"/>
      <c r="U89" s="13"/>
    </row>
    <row r="90" spans="1:21">
      <c r="A90" s="13"/>
      <c r="B90" s="46" t="s">
        <v>247</v>
      </c>
      <c r="C90" s="46">
        <v>324.5</v>
      </c>
      <c r="D90" s="49">
        <v>2.3699999999999999E-2</v>
      </c>
      <c r="E90" s="13"/>
      <c r="F90" s="13"/>
      <c r="G90" s="13"/>
      <c r="H90" s="46" t="s">
        <v>247</v>
      </c>
      <c r="I90" s="48">
        <v>24274.9</v>
      </c>
      <c r="J90" s="49">
        <v>3.3E-3</v>
      </c>
      <c r="K90" s="13"/>
      <c r="L90" s="13"/>
      <c r="M90" s="13"/>
      <c r="N90" s="13"/>
      <c r="O90" s="13"/>
      <c r="P90" s="13"/>
      <c r="Q90" s="13"/>
      <c r="R90" s="13"/>
      <c r="S90" s="13"/>
      <c r="T90" s="13"/>
      <c r="U90" s="13"/>
    </row>
    <row r="91" spans="1:21">
      <c r="A91" s="13"/>
      <c r="B91" s="46" t="s">
        <v>248</v>
      </c>
      <c r="C91" s="46">
        <v>317</v>
      </c>
      <c r="D91" s="49">
        <v>2.0899999999999998E-2</v>
      </c>
      <c r="E91" s="13"/>
      <c r="F91" s="13"/>
      <c r="G91" s="13"/>
      <c r="H91" s="46" t="s">
        <v>248</v>
      </c>
      <c r="I91" s="48">
        <v>24194.5</v>
      </c>
      <c r="J91" s="49">
        <v>-1.1000000000000001E-3</v>
      </c>
      <c r="K91" s="13"/>
      <c r="L91" s="13"/>
      <c r="M91" s="13"/>
      <c r="N91" s="13"/>
      <c r="O91" s="13"/>
      <c r="P91" s="13"/>
      <c r="Q91" s="13"/>
      <c r="R91" s="13"/>
      <c r="S91" s="13"/>
      <c r="T91" s="13"/>
      <c r="U91" s="13"/>
    </row>
    <row r="92" spans="1:21">
      <c r="A92" s="13"/>
      <c r="B92" s="46" t="s">
        <v>249</v>
      </c>
      <c r="C92" s="46">
        <v>310.5</v>
      </c>
      <c r="D92" s="49">
        <v>3.2800000000000003E-2</v>
      </c>
      <c r="E92" s="13"/>
      <c r="F92" s="13"/>
      <c r="G92" s="13"/>
      <c r="H92" s="46" t="s">
        <v>249</v>
      </c>
      <c r="I92" s="48">
        <v>24221.9</v>
      </c>
      <c r="J92" s="49">
        <v>1.32E-2</v>
      </c>
      <c r="K92" s="13"/>
      <c r="L92" s="13"/>
      <c r="M92" s="13"/>
      <c r="N92" s="13"/>
      <c r="O92" s="13"/>
      <c r="P92" s="13"/>
      <c r="Q92" s="13"/>
      <c r="R92" s="13"/>
      <c r="S92" s="13"/>
      <c r="T92" s="13"/>
      <c r="U92" s="13"/>
    </row>
    <row r="93" spans="1:21">
      <c r="A93" s="13"/>
      <c r="B93" s="46" t="s">
        <v>250</v>
      </c>
      <c r="C93" s="46">
        <v>300.64999999999998</v>
      </c>
      <c r="D93" s="49">
        <v>0</v>
      </c>
      <c r="E93" s="13"/>
      <c r="F93" s="13"/>
      <c r="G93" s="13"/>
      <c r="H93" s="46" t="s">
        <v>250</v>
      </c>
      <c r="I93" s="48">
        <v>23907.25</v>
      </c>
      <c r="J93" s="49">
        <v>2.3900000000000001E-2</v>
      </c>
      <c r="K93" s="13"/>
      <c r="L93" s="13"/>
      <c r="M93" s="13"/>
      <c r="N93" s="13"/>
      <c r="O93" s="13"/>
      <c r="P93" s="13"/>
      <c r="Q93" s="13"/>
      <c r="R93" s="13"/>
      <c r="S93" s="13"/>
      <c r="T93" s="13"/>
      <c r="U93" s="13"/>
    </row>
    <row r="94" spans="1:21">
      <c r="A94" s="13"/>
      <c r="B94" s="46" t="s">
        <v>251</v>
      </c>
      <c r="C94" s="46">
        <v>300.64999999999998</v>
      </c>
      <c r="D94" s="49">
        <v>-2.0500000000000001E-2</v>
      </c>
      <c r="E94" s="13"/>
      <c r="F94" s="13"/>
      <c r="G94" s="13"/>
      <c r="H94" s="46" t="s">
        <v>251</v>
      </c>
      <c r="I94" s="48">
        <v>23349.9</v>
      </c>
      <c r="J94" s="49">
        <v>-7.1999999999999998E-3</v>
      </c>
      <c r="K94" s="13"/>
      <c r="L94" s="13"/>
      <c r="M94" s="13"/>
      <c r="N94" s="13"/>
      <c r="O94" s="13"/>
      <c r="P94" s="13"/>
      <c r="Q94" s="13"/>
      <c r="R94" s="13"/>
      <c r="S94" s="13"/>
      <c r="T94" s="13"/>
      <c r="U94" s="13"/>
    </row>
    <row r="95" spans="1:21">
      <c r="A95" s="13"/>
      <c r="B95" s="46" t="s">
        <v>252</v>
      </c>
      <c r="C95" s="46">
        <v>306.95</v>
      </c>
      <c r="D95" s="49">
        <v>5.8999999999999999E-3</v>
      </c>
      <c r="E95" s="13"/>
      <c r="F95" s="13"/>
      <c r="G95" s="13"/>
      <c r="H95" s="46" t="s">
        <v>252</v>
      </c>
      <c r="I95" s="48">
        <v>23518.5</v>
      </c>
      <c r="J95" s="49">
        <v>2.8E-3</v>
      </c>
      <c r="K95" s="13"/>
      <c r="L95" s="13"/>
      <c r="M95" s="13"/>
      <c r="N95" s="13"/>
      <c r="O95" s="13"/>
      <c r="P95" s="13"/>
      <c r="Q95" s="13"/>
      <c r="R95" s="13"/>
      <c r="S95" s="13"/>
      <c r="T95" s="13"/>
      <c r="U95" s="13"/>
    </row>
    <row r="96" spans="1:21">
      <c r="A96" s="13"/>
      <c r="B96" s="46" t="s">
        <v>253</v>
      </c>
      <c r="C96" s="46">
        <v>305.14999999999998</v>
      </c>
      <c r="D96" s="49">
        <v>-5.4000000000000003E-3</v>
      </c>
      <c r="E96" s="13"/>
      <c r="F96" s="13"/>
      <c r="G96" s="13"/>
      <c r="H96" s="46" t="s">
        <v>253</v>
      </c>
      <c r="I96" s="48">
        <v>23453.8</v>
      </c>
      <c r="J96" s="49">
        <v>-3.3999999999999998E-3</v>
      </c>
      <c r="K96" s="13"/>
      <c r="L96" s="13"/>
      <c r="M96" s="13"/>
      <c r="N96" s="13"/>
      <c r="O96" s="13"/>
      <c r="P96" s="13"/>
      <c r="Q96" s="13"/>
      <c r="R96" s="13"/>
      <c r="S96" s="13"/>
      <c r="T96" s="13"/>
      <c r="U96" s="13"/>
    </row>
    <row r="97" spans="1:21">
      <c r="A97" s="13"/>
      <c r="B97" s="46" t="s">
        <v>254</v>
      </c>
      <c r="C97" s="46">
        <v>306.8</v>
      </c>
      <c r="D97" s="49">
        <v>-7.4000000000000003E-3</v>
      </c>
      <c r="E97" s="13"/>
      <c r="F97" s="13"/>
      <c r="G97" s="13"/>
      <c r="H97" s="46" t="s">
        <v>254</v>
      </c>
      <c r="I97" s="48">
        <v>23532.7</v>
      </c>
      <c r="J97" s="49">
        <v>-1.1000000000000001E-3</v>
      </c>
      <c r="K97" s="13"/>
      <c r="L97" s="13"/>
      <c r="M97" s="13"/>
      <c r="N97" s="13"/>
      <c r="O97" s="13"/>
      <c r="P97" s="13"/>
      <c r="Q97" s="13"/>
      <c r="R97" s="13"/>
      <c r="S97" s="13"/>
      <c r="T97" s="13"/>
      <c r="U97" s="13"/>
    </row>
    <row r="98" spans="1:21">
      <c r="A98" s="13"/>
      <c r="B98" s="46" t="s">
        <v>255</v>
      </c>
      <c r="C98" s="46">
        <v>309.10000000000002</v>
      </c>
      <c r="D98" s="49">
        <v>-2.1100000000000001E-2</v>
      </c>
      <c r="E98" s="13"/>
      <c r="F98" s="13"/>
      <c r="G98" s="13"/>
      <c r="H98" s="46" t="s">
        <v>255</v>
      </c>
      <c r="I98" s="48">
        <v>23559.05</v>
      </c>
      <c r="J98" s="49">
        <v>-1.3599999999999999E-2</v>
      </c>
      <c r="K98" s="13"/>
      <c r="L98" s="13"/>
      <c r="M98" s="13"/>
      <c r="N98" s="13"/>
      <c r="O98" s="13"/>
      <c r="P98" s="13"/>
      <c r="Q98" s="13"/>
      <c r="R98" s="13"/>
      <c r="S98" s="13"/>
      <c r="T98" s="13"/>
      <c r="U98" s="13"/>
    </row>
    <row r="99" spans="1:21">
      <c r="A99" s="13"/>
      <c r="B99" s="47">
        <v>45637</v>
      </c>
      <c r="C99" s="46">
        <v>315.75</v>
      </c>
      <c r="D99" s="49">
        <v>3.7000000000000002E-3</v>
      </c>
      <c r="E99" s="13"/>
      <c r="F99" s="13"/>
      <c r="G99" s="13"/>
      <c r="H99" s="47">
        <v>45637</v>
      </c>
      <c r="I99" s="48">
        <v>23883.45</v>
      </c>
      <c r="J99" s="49">
        <v>-1.0699999999999999E-2</v>
      </c>
      <c r="K99" s="13"/>
      <c r="L99" s="13"/>
      <c r="M99" s="13"/>
      <c r="N99" s="13"/>
      <c r="O99" s="13"/>
      <c r="P99" s="13"/>
      <c r="Q99" s="13"/>
      <c r="R99" s="13"/>
      <c r="S99" s="13"/>
      <c r="T99" s="13"/>
      <c r="U99" s="13"/>
    </row>
    <row r="100" spans="1:21">
      <c r="A100" s="13"/>
      <c r="B100" s="47">
        <v>45607</v>
      </c>
      <c r="C100" s="46">
        <v>314.60000000000002</v>
      </c>
      <c r="D100" s="49">
        <v>-1.9599999999999999E-2</v>
      </c>
      <c r="E100" s="13"/>
      <c r="F100" s="13"/>
      <c r="G100" s="13"/>
      <c r="H100" s="47">
        <v>45607</v>
      </c>
      <c r="I100" s="48">
        <v>24141.3</v>
      </c>
      <c r="J100" s="49">
        <v>-2.9999999999999997E-4</v>
      </c>
      <c r="K100" s="13"/>
      <c r="L100" s="13"/>
      <c r="M100" s="13"/>
      <c r="N100" s="13"/>
      <c r="O100" s="13"/>
      <c r="P100" s="13"/>
      <c r="Q100" s="13"/>
      <c r="R100" s="13"/>
      <c r="S100" s="13"/>
      <c r="T100" s="13"/>
      <c r="U100" s="13"/>
    </row>
    <row r="101" spans="1:21">
      <c r="A101" s="13"/>
      <c r="B101" s="47">
        <v>45515</v>
      </c>
      <c r="C101" s="46">
        <v>320.89999999999998</v>
      </c>
      <c r="D101" s="49">
        <v>8.9999999999999993E-3</v>
      </c>
      <c r="E101" s="13"/>
      <c r="F101" s="13"/>
      <c r="G101" s="13"/>
      <c r="H101" s="47">
        <v>45515</v>
      </c>
      <c r="I101" s="48">
        <v>24148.2</v>
      </c>
      <c r="J101" s="49">
        <v>-2.0999999999999999E-3</v>
      </c>
      <c r="K101" s="13"/>
      <c r="L101" s="13"/>
      <c r="M101" s="13"/>
      <c r="N101" s="13"/>
      <c r="O101" s="13"/>
      <c r="P101" s="13"/>
      <c r="Q101" s="13"/>
      <c r="R101" s="13"/>
      <c r="S101" s="13"/>
      <c r="T101" s="13"/>
      <c r="U101" s="13"/>
    </row>
    <row r="102" spans="1:21">
      <c r="A102" s="13"/>
      <c r="B102" s="47">
        <v>45484</v>
      </c>
      <c r="C102" s="46">
        <v>318.05</v>
      </c>
      <c r="D102" s="49">
        <v>-5.5999999999999999E-3</v>
      </c>
      <c r="E102" s="13"/>
      <c r="F102" s="13"/>
      <c r="G102" s="13"/>
      <c r="H102" s="47">
        <v>45484</v>
      </c>
      <c r="I102" s="48">
        <v>24199.35</v>
      </c>
      <c r="J102" s="49">
        <v>-1.1599999999999999E-2</v>
      </c>
      <c r="K102" s="13"/>
      <c r="L102" s="13"/>
      <c r="M102" s="13"/>
      <c r="N102" s="13"/>
      <c r="O102" s="13"/>
      <c r="P102" s="13"/>
      <c r="Q102" s="13"/>
      <c r="R102" s="13"/>
      <c r="S102" s="13"/>
      <c r="T102" s="13"/>
      <c r="U102" s="13"/>
    </row>
    <row r="103" spans="1:21">
      <c r="A103" s="13"/>
      <c r="B103" s="47">
        <v>45454</v>
      </c>
      <c r="C103" s="46">
        <v>319.85000000000002</v>
      </c>
      <c r="D103" s="49">
        <v>-6.1000000000000004E-3</v>
      </c>
      <c r="E103" s="13"/>
      <c r="F103" s="13"/>
      <c r="G103" s="13"/>
      <c r="H103" s="47">
        <v>45454</v>
      </c>
      <c r="I103" s="48">
        <v>24484.05</v>
      </c>
      <c r="J103" s="49">
        <v>1.12E-2</v>
      </c>
      <c r="K103" s="13"/>
      <c r="L103" s="13"/>
      <c r="M103" s="13"/>
      <c r="N103" s="13"/>
      <c r="O103" s="13"/>
      <c r="P103" s="13"/>
      <c r="Q103" s="13"/>
      <c r="R103" s="13"/>
      <c r="S103" s="13"/>
      <c r="T103" s="13"/>
      <c r="U103" s="13"/>
    </row>
    <row r="104" spans="1:21">
      <c r="A104" s="13"/>
      <c r="B104" s="47">
        <v>45423</v>
      </c>
      <c r="C104" s="46">
        <v>321.8</v>
      </c>
      <c r="D104" s="49">
        <v>2.7E-2</v>
      </c>
      <c r="E104" s="13"/>
      <c r="F104" s="13"/>
      <c r="G104" s="13"/>
      <c r="H104" s="47">
        <v>45423</v>
      </c>
      <c r="I104" s="48">
        <v>24213.3</v>
      </c>
      <c r="J104" s="49">
        <v>9.1000000000000004E-3</v>
      </c>
      <c r="K104" s="13"/>
      <c r="L104" s="13"/>
      <c r="M104" s="13"/>
      <c r="N104" s="13"/>
      <c r="O104" s="13"/>
      <c r="P104" s="13"/>
      <c r="Q104" s="13"/>
      <c r="R104" s="13"/>
      <c r="S104" s="13"/>
      <c r="T104" s="13"/>
      <c r="U104" s="13"/>
    </row>
    <row r="105" spans="1:21">
      <c r="A105" s="13"/>
      <c r="B105" s="47">
        <v>45393</v>
      </c>
      <c r="C105" s="46">
        <v>313.35000000000002</v>
      </c>
      <c r="D105" s="49">
        <v>-3.6999999999999998E-2</v>
      </c>
      <c r="E105" s="13"/>
      <c r="F105" s="13"/>
      <c r="G105" s="13"/>
      <c r="H105" s="47">
        <v>45393</v>
      </c>
      <c r="I105" s="48">
        <v>23995.35</v>
      </c>
      <c r="J105" s="49">
        <v>-1.2699999999999999E-2</v>
      </c>
      <c r="K105" s="13"/>
      <c r="L105" s="13"/>
      <c r="M105" s="13"/>
      <c r="N105" s="13"/>
      <c r="O105" s="13"/>
      <c r="P105" s="13"/>
      <c r="Q105" s="13"/>
      <c r="R105" s="13"/>
      <c r="S105" s="13"/>
      <c r="T105" s="13"/>
      <c r="U105" s="13"/>
    </row>
    <row r="106" spans="1:21">
      <c r="A106" s="13"/>
      <c r="B106" s="47">
        <v>45302</v>
      </c>
      <c r="C106" s="46">
        <v>325.39999999999998</v>
      </c>
      <c r="D106" s="49">
        <v>1.4200000000000001E-2</v>
      </c>
      <c r="E106" s="13"/>
      <c r="F106" s="13"/>
      <c r="G106" s="13"/>
      <c r="H106" s="47">
        <v>45302</v>
      </c>
      <c r="I106" s="48">
        <v>24304.35</v>
      </c>
      <c r="J106" s="49">
        <v>4.1000000000000003E-3</v>
      </c>
      <c r="K106" s="13"/>
      <c r="L106" s="13"/>
      <c r="M106" s="13"/>
      <c r="N106" s="13"/>
      <c r="O106" s="13"/>
      <c r="P106" s="13"/>
      <c r="Q106" s="13"/>
      <c r="R106" s="13"/>
      <c r="S106" s="13"/>
      <c r="T106" s="13"/>
      <c r="U106" s="13"/>
    </row>
    <row r="107" spans="1:21">
      <c r="A107" s="13"/>
      <c r="B107" s="46" t="s">
        <v>256</v>
      </c>
      <c r="C107" s="46">
        <v>320.85000000000002</v>
      </c>
      <c r="D107" s="49">
        <v>-1.1900000000000001E-2</v>
      </c>
      <c r="E107" s="13"/>
      <c r="F107" s="13"/>
      <c r="G107" s="13"/>
      <c r="H107" s="46" t="s">
        <v>256</v>
      </c>
      <c r="I107" s="48">
        <v>24205.35</v>
      </c>
      <c r="J107" s="49">
        <v>-5.5999999999999999E-3</v>
      </c>
      <c r="K107" s="13"/>
      <c r="L107" s="13"/>
      <c r="M107" s="13"/>
      <c r="N107" s="13"/>
      <c r="O107" s="13"/>
      <c r="P107" s="13"/>
      <c r="Q107" s="13"/>
      <c r="R107" s="13"/>
      <c r="S107" s="13"/>
      <c r="T107" s="13"/>
      <c r="U107" s="13"/>
    </row>
    <row r="108" spans="1:21">
      <c r="A108" s="13"/>
      <c r="B108" s="46" t="s">
        <v>257</v>
      </c>
      <c r="C108" s="46">
        <v>324.7</v>
      </c>
      <c r="D108" s="49">
        <v>1.1000000000000001E-3</v>
      </c>
      <c r="E108" s="13"/>
      <c r="F108" s="13"/>
      <c r="G108" s="13"/>
      <c r="H108" s="46" t="s">
        <v>257</v>
      </c>
      <c r="I108" s="48">
        <v>24340.85</v>
      </c>
      <c r="J108" s="49">
        <v>-5.1000000000000004E-3</v>
      </c>
      <c r="K108" s="13"/>
      <c r="L108" s="13"/>
      <c r="M108" s="13"/>
      <c r="N108" s="13"/>
      <c r="O108" s="13"/>
      <c r="P108" s="13"/>
      <c r="Q108" s="13"/>
      <c r="R108" s="13"/>
      <c r="S108" s="13"/>
      <c r="T108" s="13"/>
      <c r="U108" s="13"/>
    </row>
    <row r="109" spans="1:21">
      <c r="A109" s="13"/>
      <c r="B109" s="46" t="s">
        <v>258</v>
      </c>
      <c r="C109" s="46">
        <v>324.35000000000002</v>
      </c>
      <c r="D109" s="49">
        <v>-6.1800000000000001E-2</v>
      </c>
      <c r="E109" s="13"/>
      <c r="F109" s="13"/>
      <c r="G109" s="13"/>
      <c r="H109" s="46" t="s">
        <v>258</v>
      </c>
      <c r="I109" s="48">
        <v>24466.85</v>
      </c>
      <c r="J109" s="49">
        <v>5.1999999999999998E-3</v>
      </c>
      <c r="K109" s="13"/>
      <c r="L109" s="13"/>
      <c r="M109" s="13"/>
      <c r="N109" s="13"/>
      <c r="O109" s="13"/>
      <c r="P109" s="13"/>
      <c r="Q109" s="13"/>
      <c r="R109" s="13"/>
      <c r="S109" s="13"/>
      <c r="T109" s="13"/>
      <c r="U109" s="13"/>
    </row>
    <row r="110" spans="1:21">
      <c r="A110" s="13"/>
      <c r="B110" s="46" t="s">
        <v>259</v>
      </c>
      <c r="C110" s="46">
        <v>345.7</v>
      </c>
      <c r="D110" s="49">
        <v>6.8000000000000005E-2</v>
      </c>
      <c r="E110" s="13"/>
      <c r="F110" s="13"/>
      <c r="G110" s="13"/>
      <c r="H110" s="46" t="s">
        <v>259</v>
      </c>
      <c r="I110" s="48">
        <v>24339.15</v>
      </c>
      <c r="J110" s="49">
        <v>6.4999999999999997E-3</v>
      </c>
      <c r="K110" s="13"/>
      <c r="L110" s="13"/>
      <c r="M110" s="13"/>
      <c r="N110" s="13"/>
      <c r="O110" s="13"/>
      <c r="P110" s="13"/>
      <c r="Q110" s="13"/>
      <c r="R110" s="13"/>
      <c r="S110" s="13"/>
      <c r="T110" s="13"/>
      <c r="U110" s="13"/>
    </row>
    <row r="111" spans="1:21">
      <c r="A111" s="13"/>
      <c r="B111" s="46" t="s">
        <v>260</v>
      </c>
      <c r="C111" s="46">
        <v>323.7</v>
      </c>
      <c r="D111" s="49">
        <v>-1.8200000000000001E-2</v>
      </c>
      <c r="E111" s="13"/>
      <c r="F111" s="13"/>
      <c r="G111" s="13"/>
      <c r="H111" s="46" t="s">
        <v>260</v>
      </c>
      <c r="I111" s="48">
        <v>24180.799999999999</v>
      </c>
      <c r="J111" s="49">
        <v>-8.9999999999999993E-3</v>
      </c>
      <c r="K111" s="13"/>
      <c r="L111" s="13"/>
      <c r="M111" s="13"/>
      <c r="N111" s="13"/>
      <c r="O111" s="13"/>
      <c r="P111" s="13"/>
      <c r="Q111" s="13"/>
      <c r="R111" s="13"/>
      <c r="S111" s="13"/>
      <c r="T111" s="13"/>
      <c r="U111" s="13"/>
    </row>
    <row r="112" spans="1:21">
      <c r="A112" s="13"/>
      <c r="B112" s="46" t="s">
        <v>261</v>
      </c>
      <c r="C112" s="46">
        <v>329.7</v>
      </c>
      <c r="D112" s="49">
        <v>-5.3E-3</v>
      </c>
      <c r="E112" s="13"/>
      <c r="F112" s="13"/>
      <c r="G112" s="13"/>
      <c r="H112" s="46" t="s">
        <v>261</v>
      </c>
      <c r="I112" s="48">
        <v>24399.4</v>
      </c>
      <c r="J112" s="49">
        <v>-1.5E-3</v>
      </c>
      <c r="K112" s="13"/>
      <c r="L112" s="13"/>
      <c r="M112" s="13"/>
      <c r="N112" s="13"/>
      <c r="O112" s="13"/>
      <c r="P112" s="13"/>
      <c r="Q112" s="13"/>
      <c r="R112" s="13"/>
      <c r="S112" s="13"/>
      <c r="T112" s="13"/>
      <c r="U112" s="13"/>
    </row>
    <row r="113" spans="1:21">
      <c r="A113" s="13"/>
      <c r="B113" s="46" t="s">
        <v>262</v>
      </c>
      <c r="C113" s="46">
        <v>331.45</v>
      </c>
      <c r="D113" s="49">
        <v>-2.1000000000000001E-2</v>
      </c>
      <c r="E113" s="13"/>
      <c r="F113" s="13"/>
      <c r="G113" s="13"/>
      <c r="H113" s="46" t="s">
        <v>262</v>
      </c>
      <c r="I113" s="48">
        <v>24435.5</v>
      </c>
      <c r="J113" s="49">
        <v>-1.5E-3</v>
      </c>
      <c r="K113" s="13"/>
      <c r="L113" s="13"/>
      <c r="M113" s="13"/>
      <c r="N113" s="13"/>
      <c r="O113" s="13"/>
      <c r="P113" s="13"/>
      <c r="Q113" s="13"/>
      <c r="R113" s="13"/>
      <c r="S113" s="13"/>
      <c r="T113" s="13"/>
      <c r="U113" s="13"/>
    </row>
    <row r="114" spans="1:21">
      <c r="A114" s="13"/>
      <c r="B114" s="46" t="s">
        <v>263</v>
      </c>
      <c r="C114" s="46">
        <v>338.55</v>
      </c>
      <c r="D114" s="49">
        <v>-1.77E-2</v>
      </c>
      <c r="E114" s="13"/>
      <c r="F114" s="13"/>
      <c r="G114" s="13"/>
      <c r="H114" s="46" t="s">
        <v>263</v>
      </c>
      <c r="I114" s="48">
        <v>24472.1</v>
      </c>
      <c r="J114" s="49">
        <v>-1.2500000000000001E-2</v>
      </c>
      <c r="K114" s="13"/>
      <c r="L114" s="13"/>
      <c r="M114" s="13"/>
      <c r="N114" s="13"/>
      <c r="O114" s="13"/>
      <c r="P114" s="13"/>
      <c r="Q114" s="13"/>
      <c r="R114" s="13"/>
      <c r="S114" s="13"/>
      <c r="T114" s="13"/>
      <c r="U114" s="13"/>
    </row>
    <row r="115" spans="1:21">
      <c r="A115" s="13"/>
      <c r="B115" s="46" t="s">
        <v>264</v>
      </c>
      <c r="C115" s="46">
        <v>344.65</v>
      </c>
      <c r="D115" s="49">
        <v>-7.4999999999999997E-3</v>
      </c>
      <c r="E115" s="13"/>
      <c r="F115" s="13"/>
      <c r="G115" s="13"/>
      <c r="H115" s="46" t="s">
        <v>264</v>
      </c>
      <c r="I115" s="48">
        <v>24781.1</v>
      </c>
      <c r="J115" s="49">
        <v>-2.8999999999999998E-3</v>
      </c>
      <c r="K115" s="13"/>
      <c r="L115" s="13"/>
      <c r="M115" s="13"/>
      <c r="N115" s="13"/>
      <c r="O115" s="13"/>
      <c r="P115" s="13"/>
      <c r="Q115" s="13"/>
      <c r="R115" s="13"/>
      <c r="S115" s="13"/>
      <c r="T115" s="13"/>
      <c r="U115" s="13"/>
    </row>
    <row r="116" spans="1:21">
      <c r="A116" s="13"/>
      <c r="B116" s="46" t="s">
        <v>265</v>
      </c>
      <c r="C116" s="46">
        <v>347.25</v>
      </c>
      <c r="D116" s="49">
        <v>-8.8000000000000005E-3</v>
      </c>
      <c r="E116" s="13"/>
      <c r="F116" s="13"/>
      <c r="G116" s="13"/>
      <c r="H116" s="46" t="s">
        <v>265</v>
      </c>
      <c r="I116" s="48">
        <v>24854.05</v>
      </c>
      <c r="J116" s="49">
        <v>4.1999999999999997E-3</v>
      </c>
      <c r="K116" s="13"/>
      <c r="L116" s="13"/>
      <c r="M116" s="13"/>
      <c r="N116" s="13"/>
      <c r="O116" s="13"/>
      <c r="P116" s="13"/>
      <c r="Q116" s="13"/>
      <c r="R116" s="13"/>
      <c r="S116" s="13"/>
      <c r="T116" s="13"/>
      <c r="U116" s="13"/>
    </row>
    <row r="117" spans="1:21">
      <c r="A117" s="13"/>
      <c r="B117" s="46" t="s">
        <v>266</v>
      </c>
      <c r="C117" s="46">
        <v>350.35</v>
      </c>
      <c r="D117" s="49">
        <v>-1.2999999999999999E-2</v>
      </c>
      <c r="E117" s="13"/>
      <c r="F117" s="13"/>
      <c r="G117" s="13"/>
      <c r="H117" s="46" t="s">
        <v>266</v>
      </c>
      <c r="I117" s="48">
        <v>24749.85</v>
      </c>
      <c r="J117" s="49">
        <v>-8.8999999999999999E-3</v>
      </c>
      <c r="K117" s="13"/>
      <c r="L117" s="13"/>
      <c r="M117" s="13"/>
      <c r="N117" s="13"/>
      <c r="O117" s="13"/>
      <c r="P117" s="13"/>
      <c r="Q117" s="13"/>
      <c r="R117" s="13"/>
      <c r="S117" s="13"/>
      <c r="T117" s="13"/>
      <c r="U117" s="13"/>
    </row>
    <row r="118" spans="1:21">
      <c r="A118" s="13"/>
      <c r="B118" s="46" t="s">
        <v>267</v>
      </c>
      <c r="C118" s="46">
        <v>354.95</v>
      </c>
      <c r="D118" s="49">
        <v>-6.7000000000000002E-3</v>
      </c>
      <c r="E118" s="13"/>
      <c r="F118" s="13"/>
      <c r="G118" s="13"/>
      <c r="H118" s="46" t="s">
        <v>267</v>
      </c>
      <c r="I118" s="48">
        <v>24971.3</v>
      </c>
      <c r="J118" s="49">
        <v>-3.3999999999999998E-3</v>
      </c>
      <c r="K118" s="13"/>
      <c r="L118" s="13"/>
      <c r="M118" s="13"/>
      <c r="N118" s="13"/>
      <c r="O118" s="13"/>
      <c r="P118" s="13"/>
      <c r="Q118" s="13"/>
      <c r="R118" s="13"/>
      <c r="S118" s="13"/>
      <c r="T118" s="13"/>
      <c r="U118" s="13"/>
    </row>
    <row r="119" spans="1:21">
      <c r="A119" s="13"/>
      <c r="B119" s="46" t="s">
        <v>268</v>
      </c>
      <c r="C119" s="46">
        <v>357.35</v>
      </c>
      <c r="D119" s="49">
        <v>1.6999999999999999E-3</v>
      </c>
      <c r="E119" s="13"/>
      <c r="F119" s="13"/>
      <c r="G119" s="13"/>
      <c r="H119" s="46" t="s">
        <v>268</v>
      </c>
      <c r="I119" s="48">
        <v>25057.35</v>
      </c>
      <c r="J119" s="49">
        <v>-2.8E-3</v>
      </c>
      <c r="K119" s="13"/>
      <c r="L119" s="13"/>
      <c r="M119" s="13"/>
      <c r="N119" s="13"/>
      <c r="O119" s="13"/>
      <c r="P119" s="13"/>
      <c r="Q119" s="13"/>
      <c r="R119" s="13"/>
      <c r="S119" s="13"/>
      <c r="T119" s="13"/>
      <c r="U119" s="13"/>
    </row>
    <row r="120" spans="1:21">
      <c r="A120" s="13"/>
      <c r="B120" s="46" t="s">
        <v>269</v>
      </c>
      <c r="C120" s="46">
        <v>356.75</v>
      </c>
      <c r="D120" s="49">
        <v>-3.8699999999999998E-2</v>
      </c>
      <c r="E120" s="13"/>
      <c r="F120" s="13"/>
      <c r="G120" s="13"/>
      <c r="H120" s="46" t="s">
        <v>269</v>
      </c>
      <c r="I120" s="48">
        <v>25127.95</v>
      </c>
      <c r="J120" s="49">
        <v>6.6E-3</v>
      </c>
      <c r="K120" s="13"/>
      <c r="L120" s="13"/>
      <c r="M120" s="13"/>
      <c r="N120" s="13"/>
      <c r="O120" s="13"/>
      <c r="P120" s="13"/>
      <c r="Q120" s="13"/>
      <c r="R120" s="13"/>
      <c r="S120" s="13"/>
      <c r="T120" s="13"/>
      <c r="U120" s="13"/>
    </row>
    <row r="121" spans="1:21">
      <c r="A121" s="13"/>
      <c r="B121" s="47">
        <v>45606</v>
      </c>
      <c r="C121" s="46">
        <v>371.1</v>
      </c>
      <c r="D121" s="49">
        <v>3.8600000000000002E-2</v>
      </c>
      <c r="E121" s="13"/>
      <c r="F121" s="13"/>
      <c r="G121" s="13"/>
      <c r="H121" s="47">
        <v>45606</v>
      </c>
      <c r="I121" s="48">
        <v>24964.25</v>
      </c>
      <c r="J121" s="49">
        <v>-1.4E-3</v>
      </c>
      <c r="K121" s="13"/>
      <c r="L121" s="13"/>
      <c r="M121" s="13"/>
      <c r="N121" s="13"/>
      <c r="O121" s="13"/>
      <c r="P121" s="13"/>
      <c r="Q121" s="13"/>
      <c r="R121" s="13"/>
      <c r="S121" s="13"/>
      <c r="T121" s="13"/>
      <c r="U121" s="13"/>
    </row>
    <row r="122" spans="1:21">
      <c r="A122" s="13"/>
      <c r="B122" s="47">
        <v>45575</v>
      </c>
      <c r="C122" s="46">
        <v>357.3</v>
      </c>
      <c r="D122" s="49">
        <v>1.2E-2</v>
      </c>
      <c r="E122" s="13"/>
      <c r="F122" s="13"/>
      <c r="G122" s="13"/>
      <c r="H122" s="47">
        <v>45575</v>
      </c>
      <c r="I122" s="48">
        <v>24998.45</v>
      </c>
      <c r="J122" s="49">
        <v>6.9999999999999999E-4</v>
      </c>
      <c r="K122" s="13"/>
      <c r="L122" s="13"/>
      <c r="M122" s="13"/>
      <c r="N122" s="13"/>
      <c r="O122" s="13"/>
      <c r="P122" s="13"/>
      <c r="Q122" s="13"/>
      <c r="R122" s="13"/>
      <c r="S122" s="13"/>
      <c r="T122" s="13"/>
      <c r="U122" s="13"/>
    </row>
    <row r="123" spans="1:21">
      <c r="A123" s="13"/>
      <c r="B123" s="47">
        <v>45545</v>
      </c>
      <c r="C123" s="46">
        <v>353.05</v>
      </c>
      <c r="D123" s="49">
        <v>1.0699999999999999E-2</v>
      </c>
      <c r="E123" s="13"/>
      <c r="F123" s="13"/>
      <c r="G123" s="13"/>
      <c r="H123" s="47">
        <v>45545</v>
      </c>
      <c r="I123" s="48">
        <v>24981.95</v>
      </c>
      <c r="J123" s="49">
        <v>-1.1999999999999999E-3</v>
      </c>
      <c r="K123" s="13"/>
      <c r="L123" s="13"/>
      <c r="M123" s="13"/>
      <c r="N123" s="13"/>
      <c r="O123" s="13"/>
      <c r="P123" s="13"/>
      <c r="Q123" s="13"/>
      <c r="R123" s="13"/>
      <c r="S123" s="13"/>
      <c r="T123" s="13"/>
      <c r="U123" s="13"/>
    </row>
    <row r="124" spans="1:21">
      <c r="A124" s="13"/>
      <c r="B124" s="47">
        <v>45514</v>
      </c>
      <c r="C124" s="46">
        <v>349.3</v>
      </c>
      <c r="D124" s="49">
        <v>4.4999999999999997E-3</v>
      </c>
      <c r="E124" s="13"/>
      <c r="F124" s="13"/>
      <c r="G124" s="13"/>
      <c r="H124" s="47">
        <v>45514</v>
      </c>
      <c r="I124" s="48">
        <v>25013.15</v>
      </c>
      <c r="J124" s="49">
        <v>8.8000000000000005E-3</v>
      </c>
      <c r="K124" s="13"/>
      <c r="L124" s="13"/>
      <c r="M124" s="13"/>
      <c r="N124" s="13"/>
      <c r="O124" s="13"/>
      <c r="P124" s="13"/>
      <c r="Q124" s="13"/>
      <c r="R124" s="13"/>
      <c r="S124" s="13"/>
      <c r="T124" s="13"/>
      <c r="U124" s="13"/>
    </row>
    <row r="125" spans="1:21">
      <c r="A125" s="13"/>
      <c r="B125" s="47">
        <v>45483</v>
      </c>
      <c r="C125" s="46">
        <v>347.75</v>
      </c>
      <c r="D125" s="49">
        <v>-7.6E-3</v>
      </c>
      <c r="E125" s="13"/>
      <c r="F125" s="13"/>
      <c r="G125" s="13"/>
      <c r="H125" s="47">
        <v>45483</v>
      </c>
      <c r="I125" s="48">
        <v>24795.75</v>
      </c>
      <c r="J125" s="49">
        <v>-8.6999999999999994E-3</v>
      </c>
      <c r="K125" s="13"/>
      <c r="L125" s="13"/>
      <c r="M125" s="13"/>
      <c r="N125" s="13"/>
      <c r="O125" s="13"/>
      <c r="P125" s="13"/>
      <c r="Q125" s="13"/>
      <c r="R125" s="13"/>
      <c r="S125" s="13"/>
      <c r="T125" s="13"/>
      <c r="U125" s="13"/>
    </row>
    <row r="126" spans="1:21">
      <c r="A126" s="13"/>
      <c r="B126" s="47">
        <v>45392</v>
      </c>
      <c r="C126" s="46">
        <v>350.4</v>
      </c>
      <c r="D126" s="49">
        <v>-5.9999999999999995E-4</v>
      </c>
      <c r="E126" s="13"/>
      <c r="F126" s="13"/>
      <c r="G126" s="13"/>
      <c r="H126" s="47">
        <v>45392</v>
      </c>
      <c r="I126" s="48">
        <v>25014.6</v>
      </c>
      <c r="J126" s="49">
        <v>-9.2999999999999992E-3</v>
      </c>
      <c r="K126" s="13"/>
      <c r="L126" s="13"/>
      <c r="M126" s="13"/>
      <c r="N126" s="13"/>
      <c r="O126" s="13"/>
      <c r="P126" s="13"/>
      <c r="Q126" s="13"/>
      <c r="R126" s="13"/>
      <c r="S126" s="13"/>
      <c r="T126" s="13"/>
      <c r="U126" s="13"/>
    </row>
    <row r="127" spans="1:21">
      <c r="A127" s="13"/>
      <c r="B127" s="47">
        <v>45361</v>
      </c>
      <c r="C127" s="46">
        <v>350.6</v>
      </c>
      <c r="D127" s="49">
        <v>-2.0500000000000001E-2</v>
      </c>
      <c r="E127" s="13"/>
      <c r="F127" s="13"/>
      <c r="G127" s="13"/>
      <c r="H127" s="47">
        <v>45361</v>
      </c>
      <c r="I127" s="48">
        <v>25250.1</v>
      </c>
      <c r="J127" s="49">
        <v>-2.12E-2</v>
      </c>
      <c r="K127" s="13"/>
      <c r="L127" s="13"/>
      <c r="M127" s="13"/>
      <c r="N127" s="13"/>
      <c r="O127" s="13"/>
      <c r="P127" s="13"/>
      <c r="Q127" s="13"/>
      <c r="R127" s="13"/>
      <c r="S127" s="13"/>
      <c r="T127" s="13"/>
      <c r="U127" s="13"/>
    </row>
    <row r="128" spans="1:21">
      <c r="A128" s="13"/>
      <c r="B128" s="47">
        <v>45301</v>
      </c>
      <c r="C128" s="46">
        <v>357.95</v>
      </c>
      <c r="D128" s="49">
        <v>2.9999999999999997E-4</v>
      </c>
      <c r="E128" s="13"/>
      <c r="F128" s="13"/>
      <c r="G128" s="13"/>
      <c r="H128" s="47">
        <v>45301</v>
      </c>
      <c r="I128" s="48">
        <v>25796.9</v>
      </c>
      <c r="J128" s="49">
        <v>-5.0000000000000001E-4</v>
      </c>
      <c r="K128" s="13"/>
      <c r="L128" s="13"/>
      <c r="M128" s="13"/>
      <c r="N128" s="13"/>
      <c r="O128" s="13"/>
      <c r="P128" s="13"/>
      <c r="Q128" s="13"/>
      <c r="R128" s="13"/>
      <c r="S128" s="13"/>
      <c r="T128" s="13"/>
      <c r="U128" s="13"/>
    </row>
    <row r="129" spans="1:21">
      <c r="A129" s="13"/>
      <c r="B129" s="46" t="s">
        <v>270</v>
      </c>
      <c r="C129" s="46">
        <v>357.85</v>
      </c>
      <c r="D129" s="49">
        <v>-3.9300000000000002E-2</v>
      </c>
      <c r="E129" s="13"/>
      <c r="F129" s="13"/>
      <c r="G129" s="13"/>
      <c r="H129" s="46" t="s">
        <v>270</v>
      </c>
      <c r="I129" s="48">
        <v>25810.85</v>
      </c>
      <c r="J129" s="49">
        <v>-1.41E-2</v>
      </c>
      <c r="K129" s="13"/>
      <c r="L129" s="13"/>
      <c r="M129" s="13"/>
      <c r="N129" s="13"/>
      <c r="O129" s="13"/>
      <c r="P129" s="13"/>
      <c r="Q129" s="13"/>
      <c r="R129" s="13"/>
      <c r="S129" s="13"/>
      <c r="T129" s="13"/>
      <c r="U129" s="13"/>
    </row>
    <row r="130" spans="1:21">
      <c r="A130" s="13"/>
      <c r="B130" s="46" t="s">
        <v>271</v>
      </c>
      <c r="C130" s="46">
        <v>372.5</v>
      </c>
      <c r="D130" s="49">
        <v>-2.35E-2</v>
      </c>
      <c r="E130" s="13"/>
      <c r="F130" s="13"/>
      <c r="G130" s="13"/>
      <c r="H130" s="46" t="s">
        <v>271</v>
      </c>
      <c r="I130" s="48">
        <v>26178.95</v>
      </c>
      <c r="J130" s="49">
        <v>-1.4E-3</v>
      </c>
      <c r="K130" s="13"/>
      <c r="L130" s="13"/>
      <c r="M130" s="13"/>
      <c r="N130" s="13"/>
      <c r="O130" s="13"/>
      <c r="P130" s="13"/>
      <c r="Q130" s="13"/>
      <c r="R130" s="13"/>
      <c r="S130" s="13"/>
      <c r="T130" s="13"/>
      <c r="U130" s="13"/>
    </row>
    <row r="131" spans="1:21">
      <c r="A131" s="13"/>
      <c r="B131" s="46" t="s">
        <v>272</v>
      </c>
      <c r="C131" s="46">
        <v>381.45</v>
      </c>
      <c r="D131" s="49">
        <v>3.0499999999999999E-2</v>
      </c>
      <c r="E131" s="13"/>
      <c r="F131" s="13"/>
      <c r="G131" s="13"/>
      <c r="H131" s="46" t="s">
        <v>272</v>
      </c>
      <c r="I131" s="48">
        <v>26216.05</v>
      </c>
      <c r="J131" s="49">
        <v>8.0999999999999996E-3</v>
      </c>
      <c r="K131" s="13"/>
      <c r="L131" s="13"/>
      <c r="M131" s="13"/>
      <c r="N131" s="13"/>
      <c r="O131" s="13"/>
      <c r="P131" s="13"/>
      <c r="Q131" s="13"/>
      <c r="R131" s="13"/>
      <c r="S131" s="13"/>
      <c r="T131" s="13"/>
      <c r="U131" s="13"/>
    </row>
    <row r="132" spans="1:21">
      <c r="A132" s="13"/>
      <c r="B132" s="46" t="s">
        <v>273</v>
      </c>
      <c r="C132" s="46">
        <v>370.15</v>
      </c>
      <c r="D132" s="49">
        <v>-1.3899999999999999E-2</v>
      </c>
      <c r="E132" s="13"/>
      <c r="F132" s="13"/>
      <c r="G132" s="13"/>
      <c r="H132" s="46" t="s">
        <v>273</v>
      </c>
      <c r="I132" s="48">
        <v>26004.15</v>
      </c>
      <c r="J132" s="49">
        <v>2.5000000000000001E-3</v>
      </c>
      <c r="K132" s="13"/>
      <c r="L132" s="13"/>
      <c r="M132" s="13"/>
      <c r="N132" s="13"/>
      <c r="O132" s="13"/>
      <c r="P132" s="13"/>
      <c r="Q132" s="13"/>
      <c r="R132" s="13"/>
      <c r="S132" s="13"/>
      <c r="T132" s="13"/>
      <c r="U132" s="13"/>
    </row>
    <row r="133" spans="1:21">
      <c r="A133" s="13"/>
      <c r="B133" s="46" t="s">
        <v>274</v>
      </c>
      <c r="C133" s="46">
        <v>375.35</v>
      </c>
      <c r="D133" s="49">
        <v>6.5100000000000005E-2</v>
      </c>
      <c r="E133" s="13"/>
      <c r="F133" s="13"/>
      <c r="G133" s="13"/>
      <c r="H133" s="46" t="s">
        <v>274</v>
      </c>
      <c r="I133" s="48">
        <v>25940.400000000001</v>
      </c>
      <c r="J133" s="49">
        <v>1E-4</v>
      </c>
      <c r="K133" s="13"/>
      <c r="L133" s="13"/>
      <c r="M133" s="13"/>
      <c r="N133" s="13"/>
      <c r="O133" s="13"/>
      <c r="P133" s="13"/>
      <c r="Q133" s="13"/>
      <c r="R133" s="13"/>
      <c r="S133" s="13"/>
      <c r="T133" s="13"/>
      <c r="U133" s="13"/>
    </row>
    <row r="134" spans="1:21">
      <c r="A134" s="13"/>
      <c r="B134" s="46" t="s">
        <v>275</v>
      </c>
      <c r="C134" s="46">
        <v>352.4</v>
      </c>
      <c r="D134" s="49">
        <v>1.35E-2</v>
      </c>
      <c r="E134" s="13"/>
      <c r="F134" s="13"/>
      <c r="G134" s="13"/>
      <c r="H134" s="46" t="s">
        <v>275</v>
      </c>
      <c r="I134" s="48">
        <v>25939.05</v>
      </c>
      <c r="J134" s="49">
        <v>5.7000000000000002E-3</v>
      </c>
      <c r="K134" s="13"/>
      <c r="L134" s="13"/>
      <c r="M134" s="13"/>
      <c r="N134" s="13"/>
      <c r="O134" s="13"/>
      <c r="P134" s="13"/>
      <c r="Q134" s="13"/>
      <c r="R134" s="13"/>
      <c r="S134" s="13"/>
      <c r="T134" s="13"/>
      <c r="U134" s="13"/>
    </row>
    <row r="135" spans="1:21">
      <c r="A135" s="13"/>
      <c r="B135" s="46" t="s">
        <v>276</v>
      </c>
      <c r="C135" s="46">
        <v>347.7</v>
      </c>
      <c r="D135" s="49">
        <v>2.8199999999999999E-2</v>
      </c>
      <c r="E135" s="13"/>
      <c r="F135" s="13"/>
      <c r="G135" s="13"/>
      <c r="H135" s="46" t="s">
        <v>276</v>
      </c>
      <c r="I135" s="48">
        <v>25790.95</v>
      </c>
      <c r="J135" s="49">
        <v>1.4800000000000001E-2</v>
      </c>
      <c r="K135" s="13"/>
      <c r="L135" s="13"/>
      <c r="M135" s="13"/>
      <c r="N135" s="13"/>
      <c r="O135" s="13"/>
      <c r="P135" s="13"/>
      <c r="Q135" s="13"/>
      <c r="R135" s="13"/>
      <c r="S135" s="13"/>
      <c r="T135" s="13"/>
      <c r="U135" s="13"/>
    </row>
    <row r="136" spans="1:21">
      <c r="A136" s="13"/>
      <c r="B136" s="46" t="s">
        <v>277</v>
      </c>
      <c r="C136" s="46">
        <v>338.15</v>
      </c>
      <c r="D136" s="49">
        <v>-2.9999999999999997E-4</v>
      </c>
      <c r="E136" s="13"/>
      <c r="F136" s="13"/>
      <c r="G136" s="13"/>
      <c r="H136" s="46" t="s">
        <v>277</v>
      </c>
      <c r="I136" s="48">
        <v>25415.8</v>
      </c>
      <c r="J136" s="49">
        <v>1.5E-3</v>
      </c>
      <c r="K136" s="13"/>
      <c r="L136" s="13"/>
      <c r="M136" s="13"/>
      <c r="N136" s="13"/>
      <c r="O136" s="13"/>
      <c r="P136" s="13"/>
      <c r="Q136" s="13"/>
      <c r="R136" s="13"/>
      <c r="S136" s="13"/>
      <c r="T136" s="13"/>
      <c r="U136" s="13"/>
    </row>
    <row r="137" spans="1:21">
      <c r="A137" s="13"/>
      <c r="B137" s="46" t="s">
        <v>278</v>
      </c>
      <c r="C137" s="46">
        <v>338.25</v>
      </c>
      <c r="D137" s="49">
        <v>1.6199999999999999E-2</v>
      </c>
      <c r="E137" s="13"/>
      <c r="F137" s="13"/>
      <c r="G137" s="13"/>
      <c r="H137" s="46" t="s">
        <v>278</v>
      </c>
      <c r="I137" s="48">
        <v>25377.55</v>
      </c>
      <c r="J137" s="49">
        <v>-1.6000000000000001E-3</v>
      </c>
      <c r="K137" s="13"/>
      <c r="L137" s="13"/>
      <c r="M137" s="13"/>
      <c r="N137" s="13"/>
      <c r="O137" s="13"/>
      <c r="P137" s="13"/>
      <c r="Q137" s="13"/>
      <c r="R137" s="13"/>
      <c r="S137" s="13"/>
      <c r="T137" s="13"/>
      <c r="U137" s="13"/>
    </row>
    <row r="138" spans="1:21">
      <c r="A138" s="13"/>
      <c r="B138" s="46" t="s">
        <v>279</v>
      </c>
      <c r="C138" s="46">
        <v>332.85</v>
      </c>
      <c r="D138" s="49">
        <v>1.37E-2</v>
      </c>
      <c r="E138" s="13"/>
      <c r="F138" s="13"/>
      <c r="G138" s="13"/>
      <c r="H138" s="46" t="s">
        <v>279</v>
      </c>
      <c r="I138" s="48">
        <v>25418.55</v>
      </c>
      <c r="J138" s="49">
        <v>1.4E-3</v>
      </c>
      <c r="K138" s="13"/>
      <c r="L138" s="13"/>
      <c r="M138" s="13"/>
      <c r="N138" s="13"/>
      <c r="O138" s="13"/>
      <c r="P138" s="13"/>
      <c r="Q138" s="13"/>
      <c r="R138" s="13"/>
      <c r="S138" s="13"/>
      <c r="T138" s="13"/>
      <c r="U138" s="13"/>
    </row>
    <row r="139" spans="1:21">
      <c r="A139" s="13"/>
      <c r="B139" s="46" t="s">
        <v>280</v>
      </c>
      <c r="C139" s="46">
        <v>328.35</v>
      </c>
      <c r="D139" s="49">
        <v>-2.9999999999999997E-4</v>
      </c>
      <c r="E139" s="13"/>
      <c r="F139" s="13"/>
      <c r="G139" s="13"/>
      <c r="H139" s="46" t="s">
        <v>280</v>
      </c>
      <c r="I139" s="48">
        <v>25383.75</v>
      </c>
      <c r="J139" s="49">
        <v>1.1000000000000001E-3</v>
      </c>
      <c r="K139" s="13"/>
      <c r="L139" s="13"/>
      <c r="M139" s="13"/>
      <c r="N139" s="13"/>
      <c r="O139" s="13"/>
      <c r="P139" s="13"/>
      <c r="Q139" s="13"/>
      <c r="R139" s="13"/>
      <c r="S139" s="13"/>
      <c r="T139" s="13"/>
      <c r="U139" s="13"/>
    </row>
    <row r="140" spans="1:21">
      <c r="A140" s="13"/>
      <c r="B140" s="46" t="s">
        <v>281</v>
      </c>
      <c r="C140" s="46">
        <v>328.45</v>
      </c>
      <c r="D140" s="49">
        <v>-1.1999999999999999E-3</v>
      </c>
      <c r="E140" s="13"/>
      <c r="F140" s="13"/>
      <c r="G140" s="13"/>
      <c r="H140" s="46" t="s">
        <v>281</v>
      </c>
      <c r="I140" s="48">
        <v>25356.5</v>
      </c>
      <c r="J140" s="49">
        <v>-1.2999999999999999E-3</v>
      </c>
      <c r="K140" s="13"/>
      <c r="L140" s="13"/>
      <c r="M140" s="13"/>
      <c r="N140" s="13"/>
      <c r="O140" s="13"/>
      <c r="P140" s="13"/>
      <c r="Q140" s="13"/>
      <c r="R140" s="13"/>
      <c r="S140" s="13"/>
      <c r="T140" s="13"/>
      <c r="U140" s="13"/>
    </row>
    <row r="141" spans="1:21">
      <c r="A141" s="13"/>
      <c r="B141" s="47">
        <v>45635</v>
      </c>
      <c r="C141" s="46">
        <v>328.85</v>
      </c>
      <c r="D141" s="49">
        <v>-1.9800000000000002E-2</v>
      </c>
      <c r="E141" s="13"/>
      <c r="F141" s="13"/>
      <c r="G141" s="13"/>
      <c r="H141" s="47">
        <v>45635</v>
      </c>
      <c r="I141" s="48">
        <v>25388.9</v>
      </c>
      <c r="J141" s="49">
        <v>1.89E-2</v>
      </c>
      <c r="K141" s="13"/>
      <c r="L141" s="13"/>
      <c r="M141" s="13"/>
      <c r="N141" s="13"/>
      <c r="O141" s="13"/>
      <c r="P141" s="13"/>
      <c r="Q141" s="13"/>
      <c r="R141" s="13"/>
      <c r="S141" s="13"/>
      <c r="T141" s="13"/>
      <c r="U141" s="13"/>
    </row>
    <row r="142" spans="1:21">
      <c r="A142" s="13"/>
      <c r="B142" s="47">
        <v>45605</v>
      </c>
      <c r="C142" s="46">
        <v>335.5</v>
      </c>
      <c r="D142" s="49">
        <v>-8.9999999999999993E-3</v>
      </c>
      <c r="E142" s="13"/>
      <c r="F142" s="13"/>
      <c r="G142" s="13"/>
      <c r="H142" s="47">
        <v>45605</v>
      </c>
      <c r="I142" s="48">
        <v>24918.45</v>
      </c>
      <c r="J142" s="49">
        <v>-4.8999999999999998E-3</v>
      </c>
      <c r="K142" s="13"/>
      <c r="L142" s="13"/>
      <c r="M142" s="13"/>
      <c r="N142" s="13"/>
      <c r="O142" s="13"/>
      <c r="P142" s="13"/>
      <c r="Q142" s="13"/>
      <c r="R142" s="13"/>
      <c r="S142" s="13"/>
      <c r="T142" s="13"/>
      <c r="U142" s="13"/>
    </row>
    <row r="143" spans="1:21">
      <c r="A143" s="13"/>
      <c r="B143" s="47">
        <v>45574</v>
      </c>
      <c r="C143" s="46">
        <v>338.55</v>
      </c>
      <c r="D143" s="49">
        <v>3.7199999999999997E-2</v>
      </c>
      <c r="E143" s="13"/>
      <c r="F143" s="13"/>
      <c r="G143" s="13"/>
      <c r="H143" s="47">
        <v>45574</v>
      </c>
      <c r="I143" s="48">
        <v>25041.1</v>
      </c>
      <c r="J143" s="49">
        <v>4.1999999999999997E-3</v>
      </c>
      <c r="K143" s="13"/>
      <c r="L143" s="13"/>
      <c r="M143" s="13"/>
      <c r="N143" s="13"/>
      <c r="O143" s="13"/>
      <c r="P143" s="13"/>
      <c r="Q143" s="13"/>
      <c r="R143" s="13"/>
      <c r="S143" s="13"/>
      <c r="T143" s="13"/>
      <c r="U143" s="13"/>
    </row>
    <row r="144" spans="1:21">
      <c r="A144" s="13"/>
      <c r="B144" s="47">
        <v>45544</v>
      </c>
      <c r="C144" s="46">
        <v>326.39999999999998</v>
      </c>
      <c r="D144" s="49">
        <v>-2.9700000000000001E-2</v>
      </c>
      <c r="E144" s="13"/>
      <c r="F144" s="13"/>
      <c r="G144" s="13"/>
      <c r="H144" s="47">
        <v>45544</v>
      </c>
      <c r="I144" s="48">
        <v>24936.400000000001</v>
      </c>
      <c r="J144" s="49">
        <v>3.3999999999999998E-3</v>
      </c>
      <c r="K144" s="13"/>
      <c r="L144" s="13"/>
      <c r="M144" s="13"/>
      <c r="N144" s="13"/>
      <c r="O144" s="13"/>
      <c r="P144" s="13"/>
      <c r="Q144" s="13"/>
      <c r="R144" s="13"/>
      <c r="S144" s="13"/>
      <c r="T144" s="13"/>
      <c r="U144" s="13"/>
    </row>
    <row r="145" spans="1:21">
      <c r="A145" s="13"/>
      <c r="B145" s="47">
        <v>45452</v>
      </c>
      <c r="C145" s="46">
        <v>336.4</v>
      </c>
      <c r="D145" s="49">
        <v>1.6299999999999999E-2</v>
      </c>
      <c r="E145" s="13"/>
      <c r="F145" s="13"/>
      <c r="G145" s="13"/>
      <c r="H145" s="47">
        <v>45452</v>
      </c>
      <c r="I145" s="48">
        <v>24852.15</v>
      </c>
      <c r="J145" s="49">
        <v>-1.17E-2</v>
      </c>
      <c r="K145" s="13"/>
      <c r="L145" s="13"/>
      <c r="M145" s="13"/>
      <c r="N145" s="13"/>
      <c r="O145" s="13"/>
      <c r="P145" s="13"/>
      <c r="Q145" s="13"/>
      <c r="R145" s="13"/>
      <c r="S145" s="13"/>
      <c r="T145" s="13"/>
      <c r="U145" s="13"/>
    </row>
    <row r="146" spans="1:21">
      <c r="A146" s="13"/>
      <c r="B146" s="47">
        <v>45421</v>
      </c>
      <c r="C146" s="46">
        <v>331</v>
      </c>
      <c r="D146" s="49">
        <v>-1.72E-2</v>
      </c>
      <c r="E146" s="13"/>
      <c r="F146" s="13"/>
      <c r="G146" s="13"/>
      <c r="H146" s="47">
        <v>45421</v>
      </c>
      <c r="I146" s="48">
        <v>25145.1</v>
      </c>
      <c r="J146" s="49">
        <v>-2.0999999999999999E-3</v>
      </c>
      <c r="K146" s="13"/>
      <c r="L146" s="13"/>
      <c r="M146" s="13"/>
      <c r="N146" s="13"/>
      <c r="O146" s="13"/>
      <c r="P146" s="13"/>
      <c r="Q146" s="13"/>
      <c r="R146" s="13"/>
      <c r="S146" s="13"/>
      <c r="T146" s="13"/>
      <c r="U146" s="13"/>
    </row>
    <row r="147" spans="1:21">
      <c r="A147" s="13"/>
      <c r="B147" s="47">
        <v>45391</v>
      </c>
      <c r="C147" s="46">
        <v>336.8</v>
      </c>
      <c r="D147" s="49">
        <v>1.5800000000000002E-2</v>
      </c>
      <c r="E147" s="13"/>
      <c r="F147" s="13"/>
      <c r="G147" s="13"/>
      <c r="H147" s="47">
        <v>45391</v>
      </c>
      <c r="I147" s="48">
        <v>25198.7</v>
      </c>
      <c r="J147" s="49">
        <v>-3.2000000000000002E-3</v>
      </c>
      <c r="K147" s="13"/>
      <c r="L147" s="13"/>
      <c r="M147" s="13"/>
      <c r="N147" s="13"/>
      <c r="O147" s="13"/>
      <c r="P147" s="13"/>
      <c r="Q147" s="13"/>
      <c r="R147" s="13"/>
      <c r="S147" s="13"/>
      <c r="T147" s="13"/>
      <c r="U147" s="13"/>
    </row>
    <row r="148" spans="1:21">
      <c r="A148" s="13"/>
      <c r="B148" s="47">
        <v>45360</v>
      </c>
      <c r="C148" s="46">
        <v>331.57</v>
      </c>
      <c r="D148" s="49">
        <v>3.0999999999999999E-3</v>
      </c>
      <c r="E148" s="13"/>
      <c r="F148" s="13"/>
      <c r="G148" s="13"/>
      <c r="H148" s="47">
        <v>45360</v>
      </c>
      <c r="I148" s="48">
        <v>25279.85</v>
      </c>
      <c r="J148" s="49">
        <v>0</v>
      </c>
      <c r="K148" s="13"/>
      <c r="L148" s="13"/>
      <c r="M148" s="13"/>
      <c r="N148" s="13"/>
      <c r="O148" s="13"/>
      <c r="P148" s="13"/>
      <c r="Q148" s="13"/>
      <c r="R148" s="13"/>
      <c r="S148" s="13"/>
      <c r="T148" s="13"/>
      <c r="U148" s="13"/>
    </row>
    <row r="149" spans="1:21">
      <c r="A149" s="13"/>
      <c r="B149" s="47">
        <v>45331</v>
      </c>
      <c r="C149" s="46">
        <v>330.56</v>
      </c>
      <c r="D149" s="49">
        <v>-7.4999999999999997E-3</v>
      </c>
      <c r="E149" s="13"/>
      <c r="F149" s="13"/>
      <c r="G149" s="13"/>
      <c r="H149" s="47">
        <v>45331</v>
      </c>
      <c r="I149" s="48">
        <v>25278.7</v>
      </c>
      <c r="J149" s="49">
        <v>1.6999999999999999E-3</v>
      </c>
      <c r="K149" s="13"/>
      <c r="L149" s="13"/>
      <c r="M149" s="13"/>
      <c r="N149" s="13"/>
      <c r="O149" s="13"/>
      <c r="P149" s="13"/>
      <c r="Q149" s="13"/>
      <c r="R149" s="13"/>
      <c r="S149" s="13"/>
      <c r="T149" s="13"/>
      <c r="U149" s="13"/>
    </row>
    <row r="150" spans="1:21">
      <c r="A150" s="13"/>
      <c r="B150" s="46" t="s">
        <v>282</v>
      </c>
      <c r="C150" s="46">
        <v>333.07</v>
      </c>
      <c r="D150" s="49">
        <v>4.02E-2</v>
      </c>
      <c r="E150" s="13"/>
      <c r="F150" s="13"/>
      <c r="G150" s="13"/>
      <c r="H150" s="46" t="s">
        <v>282</v>
      </c>
      <c r="I150" s="48">
        <v>25235.9</v>
      </c>
      <c r="J150" s="49">
        <v>3.3E-3</v>
      </c>
      <c r="K150" s="13"/>
      <c r="L150" s="13"/>
      <c r="M150" s="13"/>
      <c r="N150" s="13"/>
      <c r="O150" s="13"/>
      <c r="P150" s="13"/>
      <c r="Q150" s="13"/>
      <c r="R150" s="13"/>
      <c r="S150" s="13"/>
      <c r="T150" s="13"/>
      <c r="U150" s="13"/>
    </row>
    <row r="151" spans="1:21">
      <c r="A151" s="13"/>
      <c r="B151" s="46" t="s">
        <v>283</v>
      </c>
      <c r="C151" s="46">
        <v>320.20999999999998</v>
      </c>
      <c r="D151" s="49">
        <v>-1.6000000000000001E-3</v>
      </c>
      <c r="E151" s="13"/>
      <c r="F151" s="13"/>
      <c r="G151" s="13"/>
      <c r="H151" s="46" t="s">
        <v>283</v>
      </c>
      <c r="I151" s="48">
        <v>25151.95</v>
      </c>
      <c r="J151" s="49">
        <v>4.0000000000000001E-3</v>
      </c>
      <c r="K151" s="13"/>
      <c r="L151" s="13"/>
      <c r="M151" s="13"/>
      <c r="N151" s="13"/>
      <c r="O151" s="13"/>
      <c r="P151" s="13"/>
      <c r="Q151" s="13"/>
      <c r="R151" s="13"/>
      <c r="S151" s="13"/>
      <c r="T151" s="13"/>
      <c r="U151" s="13"/>
    </row>
    <row r="152" spans="1:21">
      <c r="A152" s="13"/>
      <c r="B152" s="46" t="s">
        <v>284</v>
      </c>
      <c r="C152" s="46">
        <v>320.72000000000003</v>
      </c>
      <c r="D152" s="49">
        <v>-1.11E-2</v>
      </c>
      <c r="E152" s="13"/>
      <c r="F152" s="13"/>
      <c r="G152" s="13"/>
      <c r="H152" s="46" t="s">
        <v>284</v>
      </c>
      <c r="I152" s="48">
        <v>25052.35</v>
      </c>
      <c r="J152" s="49">
        <v>1.4E-3</v>
      </c>
      <c r="K152" s="13"/>
      <c r="L152" s="13"/>
      <c r="M152" s="13"/>
      <c r="N152" s="13"/>
      <c r="O152" s="13"/>
      <c r="P152" s="13"/>
      <c r="Q152" s="13"/>
      <c r="R152" s="13"/>
      <c r="S152" s="13"/>
      <c r="T152" s="13"/>
      <c r="U152" s="13"/>
    </row>
    <row r="153" spans="1:21">
      <c r="A153" s="13"/>
      <c r="B153" s="46" t="s">
        <v>285</v>
      </c>
      <c r="C153" s="46">
        <v>324.33</v>
      </c>
      <c r="D153" s="49">
        <v>-2.0999999999999999E-3</v>
      </c>
      <c r="E153" s="13"/>
      <c r="F153" s="13"/>
      <c r="G153" s="13"/>
      <c r="H153" s="46" t="s">
        <v>285</v>
      </c>
      <c r="I153" s="48">
        <v>25017.75</v>
      </c>
      <c r="J153" s="49">
        <v>2.9999999999999997E-4</v>
      </c>
      <c r="K153" s="13"/>
      <c r="L153" s="13"/>
      <c r="M153" s="13"/>
      <c r="N153" s="13"/>
      <c r="O153" s="13"/>
      <c r="P153" s="13"/>
      <c r="Q153" s="13"/>
      <c r="R153" s="13"/>
      <c r="S153" s="13"/>
      <c r="T153" s="13"/>
      <c r="U153" s="13"/>
    </row>
    <row r="154" spans="1:21">
      <c r="A154" s="13"/>
      <c r="B154" s="46" t="s">
        <v>286</v>
      </c>
      <c r="C154" s="46">
        <v>325</v>
      </c>
      <c r="D154" s="49">
        <v>-4.5999999999999999E-3</v>
      </c>
      <c r="E154" s="13"/>
      <c r="F154" s="13"/>
      <c r="G154" s="13"/>
      <c r="H154" s="46" t="s">
        <v>286</v>
      </c>
      <c r="I154" s="48">
        <v>25010.6</v>
      </c>
      <c r="J154" s="49">
        <v>7.6E-3</v>
      </c>
      <c r="K154" s="13"/>
      <c r="L154" s="13"/>
      <c r="M154" s="13"/>
      <c r="N154" s="13"/>
      <c r="O154" s="13"/>
      <c r="P154" s="13"/>
      <c r="Q154" s="13"/>
      <c r="R154" s="13"/>
      <c r="S154" s="13"/>
      <c r="T154" s="13"/>
      <c r="U154" s="13"/>
    </row>
    <row r="155" spans="1:21">
      <c r="A155" s="13"/>
      <c r="B155" s="46" t="s">
        <v>287</v>
      </c>
      <c r="C155" s="46">
        <v>326.49</v>
      </c>
      <c r="D155" s="49">
        <v>1.4E-2</v>
      </c>
      <c r="E155" s="13"/>
      <c r="F155" s="13"/>
      <c r="G155" s="13"/>
      <c r="H155" s="46" t="s">
        <v>287</v>
      </c>
      <c r="I155" s="48">
        <v>24823.15</v>
      </c>
      <c r="J155" s="49">
        <v>5.0000000000000001E-4</v>
      </c>
      <c r="K155" s="13"/>
      <c r="L155" s="13"/>
      <c r="M155" s="13"/>
      <c r="N155" s="13"/>
      <c r="O155" s="13"/>
      <c r="P155" s="13"/>
      <c r="Q155" s="13"/>
      <c r="R155" s="13"/>
      <c r="S155" s="13"/>
      <c r="T155" s="13"/>
      <c r="U155" s="13"/>
    </row>
    <row r="156" spans="1:21">
      <c r="A156" s="13"/>
      <c r="B156" s="46" t="s">
        <v>288</v>
      </c>
      <c r="C156" s="46">
        <v>321.97000000000003</v>
      </c>
      <c r="D156" s="49">
        <v>9.4000000000000004E-3</v>
      </c>
      <c r="E156" s="13"/>
      <c r="F156" s="13"/>
      <c r="G156" s="13"/>
      <c r="H156" s="46" t="s">
        <v>288</v>
      </c>
      <c r="I156" s="48">
        <v>24811.5</v>
      </c>
      <c r="J156" s="49">
        <v>1.6999999999999999E-3</v>
      </c>
      <c r="K156" s="13"/>
      <c r="L156" s="13"/>
      <c r="M156" s="13"/>
      <c r="N156" s="13"/>
      <c r="O156" s="13"/>
      <c r="P156" s="13"/>
      <c r="Q156" s="13"/>
      <c r="R156" s="13"/>
      <c r="S156" s="13"/>
      <c r="T156" s="13"/>
      <c r="U156" s="13"/>
    </row>
    <row r="157" spans="1:21">
      <c r="A157" s="13"/>
      <c r="B157" s="46" t="s">
        <v>289</v>
      </c>
      <c r="C157" s="46">
        <v>318.95999999999998</v>
      </c>
      <c r="D157" s="49">
        <v>1.34E-2</v>
      </c>
      <c r="E157" s="13"/>
      <c r="F157" s="13"/>
      <c r="G157" s="13"/>
      <c r="H157" s="46" t="s">
        <v>289</v>
      </c>
      <c r="I157" s="48">
        <v>24770.2</v>
      </c>
      <c r="J157" s="49">
        <v>2.8999999999999998E-3</v>
      </c>
      <c r="K157" s="13"/>
      <c r="L157" s="13"/>
      <c r="M157" s="13"/>
      <c r="N157" s="13"/>
      <c r="O157" s="13"/>
      <c r="P157" s="13"/>
      <c r="Q157" s="13"/>
      <c r="R157" s="13"/>
      <c r="S157" s="13"/>
      <c r="T157" s="13"/>
      <c r="U157" s="13"/>
    </row>
    <row r="158" spans="1:21">
      <c r="A158" s="13"/>
      <c r="B158" s="46" t="s">
        <v>290</v>
      </c>
      <c r="C158" s="46">
        <v>314.75</v>
      </c>
      <c r="D158" s="49">
        <v>8.9999999999999993E-3</v>
      </c>
      <c r="E158" s="13"/>
      <c r="F158" s="13"/>
      <c r="G158" s="13"/>
      <c r="H158" s="46" t="s">
        <v>290</v>
      </c>
      <c r="I158" s="48">
        <v>24698.85</v>
      </c>
      <c r="J158" s="49">
        <v>5.1000000000000004E-3</v>
      </c>
      <c r="K158" s="13"/>
      <c r="L158" s="13"/>
      <c r="M158" s="13"/>
      <c r="N158" s="13"/>
      <c r="O158" s="13"/>
      <c r="P158" s="13"/>
      <c r="Q158" s="13"/>
      <c r="R158" s="13"/>
      <c r="S158" s="13"/>
      <c r="T158" s="13"/>
      <c r="U158" s="13"/>
    </row>
    <row r="159" spans="1:21">
      <c r="A159" s="13"/>
      <c r="B159" s="46" t="s">
        <v>291</v>
      </c>
      <c r="C159" s="46">
        <v>311.95</v>
      </c>
      <c r="D159" s="49">
        <v>-1.6999999999999999E-3</v>
      </c>
      <c r="E159" s="13"/>
      <c r="F159" s="13"/>
      <c r="G159" s="13"/>
      <c r="H159" s="46" t="s">
        <v>291</v>
      </c>
      <c r="I159" s="48">
        <v>24572.65</v>
      </c>
      <c r="J159" s="49">
        <v>1.2999999999999999E-3</v>
      </c>
      <c r="K159" s="13"/>
      <c r="L159" s="13"/>
      <c r="M159" s="13"/>
      <c r="N159" s="13"/>
      <c r="O159" s="13"/>
      <c r="P159" s="13"/>
      <c r="Q159" s="13"/>
      <c r="R159" s="13"/>
      <c r="S159" s="13"/>
      <c r="T159" s="13"/>
      <c r="U159" s="13"/>
    </row>
    <row r="160" spans="1:21">
      <c r="A160" s="13"/>
      <c r="B160" s="46" t="s">
        <v>292</v>
      </c>
      <c r="C160" s="46">
        <v>312.49</v>
      </c>
      <c r="D160" s="49">
        <v>1.6899999999999998E-2</v>
      </c>
      <c r="E160" s="13"/>
      <c r="F160" s="13"/>
      <c r="G160" s="13"/>
      <c r="H160" s="46" t="s">
        <v>292</v>
      </c>
      <c r="I160" s="48">
        <v>24541.15</v>
      </c>
      <c r="J160" s="49">
        <v>1.6500000000000001E-2</v>
      </c>
      <c r="K160" s="13"/>
      <c r="L160" s="13"/>
      <c r="M160" s="13"/>
      <c r="N160" s="13"/>
      <c r="O160" s="13"/>
      <c r="P160" s="13"/>
      <c r="Q160" s="13"/>
      <c r="R160" s="13"/>
      <c r="S160" s="13"/>
      <c r="T160" s="13"/>
      <c r="U160" s="13"/>
    </row>
    <row r="161" spans="1:21">
      <c r="A161" s="13"/>
      <c r="B161" s="46" t="s">
        <v>293</v>
      </c>
      <c r="C161" s="46">
        <v>307.3</v>
      </c>
      <c r="D161" s="49">
        <v>-2.2000000000000001E-3</v>
      </c>
      <c r="E161" s="13"/>
      <c r="F161" s="13"/>
      <c r="G161" s="13"/>
      <c r="H161" s="46" t="s">
        <v>293</v>
      </c>
      <c r="I161" s="48">
        <v>24143.75</v>
      </c>
      <c r="J161" s="49">
        <v>2.0000000000000001E-4</v>
      </c>
      <c r="K161" s="13"/>
      <c r="L161" s="13"/>
      <c r="M161" s="13"/>
      <c r="N161" s="13"/>
      <c r="O161" s="13"/>
      <c r="P161" s="13"/>
      <c r="Q161" s="13"/>
      <c r="R161" s="13"/>
      <c r="S161" s="13"/>
      <c r="T161" s="13"/>
      <c r="U161" s="13"/>
    </row>
    <row r="162" spans="1:21">
      <c r="A162" s="13"/>
      <c r="B162" s="46" t="s">
        <v>294</v>
      </c>
      <c r="C162" s="46">
        <v>307.97000000000003</v>
      </c>
      <c r="D162" s="49">
        <v>-3.4500000000000003E-2</v>
      </c>
      <c r="E162" s="13"/>
      <c r="F162" s="13"/>
      <c r="G162" s="13"/>
      <c r="H162" s="46" t="s">
        <v>294</v>
      </c>
      <c r="I162" s="48">
        <v>24139</v>
      </c>
      <c r="J162" s="49">
        <v>-8.5000000000000006E-3</v>
      </c>
      <c r="K162" s="13"/>
      <c r="L162" s="13"/>
      <c r="M162" s="13"/>
      <c r="N162" s="13"/>
      <c r="O162" s="13"/>
      <c r="P162" s="13"/>
      <c r="Q162" s="13"/>
      <c r="R162" s="13"/>
      <c r="S162" s="13"/>
      <c r="T162" s="13"/>
      <c r="U162" s="13"/>
    </row>
    <row r="163" spans="1:21">
      <c r="A163" s="13"/>
      <c r="B163" s="47">
        <v>45634</v>
      </c>
      <c r="C163" s="46">
        <v>318.99</v>
      </c>
      <c r="D163" s="49">
        <v>2.5999999999999999E-3</v>
      </c>
      <c r="E163" s="13"/>
      <c r="F163" s="13"/>
      <c r="G163" s="13"/>
      <c r="H163" s="47">
        <v>45634</v>
      </c>
      <c r="I163" s="48">
        <v>24347</v>
      </c>
      <c r="J163" s="49">
        <v>-8.0000000000000004E-4</v>
      </c>
      <c r="K163" s="13"/>
      <c r="L163" s="13"/>
      <c r="M163" s="13"/>
      <c r="N163" s="13"/>
      <c r="O163" s="13"/>
      <c r="P163" s="13"/>
      <c r="Q163" s="13"/>
      <c r="R163" s="13"/>
      <c r="S163" s="13"/>
      <c r="T163" s="13"/>
      <c r="U163" s="13"/>
    </row>
    <row r="164" spans="1:21">
      <c r="A164" s="13"/>
      <c r="B164" s="47">
        <v>45543</v>
      </c>
      <c r="C164" s="46">
        <v>318.14999999999998</v>
      </c>
      <c r="D164" s="49">
        <v>-1.3100000000000001E-2</v>
      </c>
      <c r="E164" s="13"/>
      <c r="F164" s="13"/>
      <c r="G164" s="13"/>
      <c r="H164" s="47">
        <v>45543</v>
      </c>
      <c r="I164" s="48">
        <v>24367.5</v>
      </c>
      <c r="J164" s="49">
        <v>1.04E-2</v>
      </c>
      <c r="K164" s="13"/>
      <c r="L164" s="13"/>
      <c r="M164" s="13"/>
      <c r="N164" s="13"/>
      <c r="O164" s="13"/>
      <c r="P164" s="13"/>
      <c r="Q164" s="13"/>
      <c r="R164" s="13"/>
      <c r="S164" s="13"/>
      <c r="T164" s="13"/>
      <c r="U164" s="13"/>
    </row>
    <row r="165" spans="1:21">
      <c r="A165" s="13"/>
      <c r="B165" s="47">
        <v>45512</v>
      </c>
      <c r="C165" s="46">
        <v>322.36</v>
      </c>
      <c r="D165" s="49">
        <v>-1.8100000000000002E-2</v>
      </c>
      <c r="E165" s="13"/>
      <c r="F165" s="13"/>
      <c r="G165" s="13"/>
      <c r="H165" s="47">
        <v>45512</v>
      </c>
      <c r="I165" s="48">
        <v>24117</v>
      </c>
      <c r="J165" s="49">
        <v>-7.4000000000000003E-3</v>
      </c>
      <c r="K165" s="13"/>
      <c r="L165" s="13"/>
      <c r="M165" s="13"/>
      <c r="N165" s="13"/>
      <c r="O165" s="13"/>
      <c r="P165" s="13"/>
      <c r="Q165" s="13"/>
      <c r="R165" s="13"/>
      <c r="S165" s="13"/>
      <c r="T165" s="13"/>
      <c r="U165" s="13"/>
    </row>
    <row r="166" spans="1:21">
      <c r="A166" s="13"/>
      <c r="B166" s="47">
        <v>45481</v>
      </c>
      <c r="C166" s="46">
        <v>328.29</v>
      </c>
      <c r="D166" s="49">
        <v>-6.4999999999999997E-3</v>
      </c>
      <c r="E166" s="13"/>
      <c r="F166" s="13"/>
      <c r="G166" s="13"/>
      <c r="H166" s="47">
        <v>45481</v>
      </c>
      <c r="I166" s="48">
        <v>24297.5</v>
      </c>
      <c r="J166" s="49">
        <v>1.2699999999999999E-2</v>
      </c>
      <c r="K166" s="13"/>
      <c r="L166" s="13"/>
      <c r="M166" s="13"/>
      <c r="N166" s="13"/>
      <c r="O166" s="13"/>
      <c r="P166" s="13"/>
      <c r="Q166" s="13"/>
      <c r="R166" s="13"/>
      <c r="S166" s="13"/>
      <c r="T166" s="13"/>
      <c r="U166" s="13"/>
    </row>
    <row r="167" spans="1:21">
      <c r="A167" s="13"/>
      <c r="B167" s="47">
        <v>45451</v>
      </c>
      <c r="C167" s="46">
        <v>330.44</v>
      </c>
      <c r="D167" s="49">
        <v>1.43E-2</v>
      </c>
      <c r="E167" s="13"/>
      <c r="F167" s="13"/>
      <c r="G167" s="13"/>
      <c r="H167" s="47">
        <v>45451</v>
      </c>
      <c r="I167" s="48">
        <v>23992.55</v>
      </c>
      <c r="J167" s="49">
        <v>-2.5999999999999999E-3</v>
      </c>
      <c r="K167" s="13"/>
      <c r="L167" s="13"/>
      <c r="M167" s="13"/>
      <c r="N167" s="13"/>
      <c r="O167" s="13"/>
      <c r="P167" s="13"/>
      <c r="Q167" s="13"/>
      <c r="R167" s="13"/>
      <c r="S167" s="13"/>
      <c r="T167" s="13"/>
      <c r="U167" s="13"/>
    </row>
    <row r="168" spans="1:21">
      <c r="A168" s="13"/>
      <c r="B168" s="47">
        <v>45420</v>
      </c>
      <c r="C168" s="46">
        <v>325.79000000000002</v>
      </c>
      <c r="D168" s="49">
        <v>-2.75E-2</v>
      </c>
      <c r="E168" s="13"/>
      <c r="F168" s="13"/>
      <c r="G168" s="13"/>
      <c r="H168" s="47">
        <v>45420</v>
      </c>
      <c r="I168" s="48">
        <v>24055.599999999999</v>
      </c>
      <c r="J168" s="49">
        <v>-2.6800000000000001E-2</v>
      </c>
      <c r="K168" s="13"/>
      <c r="L168" s="13"/>
      <c r="M168" s="13"/>
      <c r="N168" s="13"/>
      <c r="O168" s="13"/>
      <c r="P168" s="13"/>
      <c r="Q168" s="13"/>
      <c r="R168" s="13"/>
      <c r="S168" s="13"/>
      <c r="T168" s="13"/>
      <c r="U168" s="13"/>
    </row>
    <row r="169" spans="1:21">
      <c r="A169" s="13"/>
      <c r="B169" s="47">
        <v>45330</v>
      </c>
      <c r="C169" s="46">
        <v>335.01</v>
      </c>
      <c r="D169" s="49">
        <v>-1.2800000000000001E-2</v>
      </c>
      <c r="E169" s="13"/>
      <c r="F169" s="13"/>
      <c r="G169" s="13"/>
      <c r="H169" s="47">
        <v>45330</v>
      </c>
      <c r="I169" s="48">
        <v>24717.7</v>
      </c>
      <c r="J169" s="49">
        <v>-1.17E-2</v>
      </c>
      <c r="K169" s="13"/>
      <c r="L169" s="13"/>
      <c r="M169" s="13"/>
      <c r="N169" s="13"/>
      <c r="O169" s="13"/>
      <c r="P169" s="13"/>
      <c r="Q169" s="13"/>
      <c r="R169" s="13"/>
      <c r="S169" s="13"/>
      <c r="T169" s="13"/>
      <c r="U169" s="13"/>
    </row>
    <row r="170" spans="1:21">
      <c r="A170" s="13"/>
      <c r="B170" s="47">
        <v>45299</v>
      </c>
      <c r="C170" s="46">
        <v>339.35</v>
      </c>
      <c r="D170" s="49">
        <v>2.81E-2</v>
      </c>
      <c r="E170" s="13"/>
      <c r="F170" s="13"/>
      <c r="G170" s="13"/>
      <c r="H170" s="47">
        <v>45299</v>
      </c>
      <c r="I170" s="48">
        <v>25010.9</v>
      </c>
      <c r="J170" s="49">
        <v>2.3999999999999998E-3</v>
      </c>
      <c r="K170" s="13"/>
      <c r="L170" s="13"/>
      <c r="M170" s="13"/>
      <c r="N170" s="13"/>
      <c r="O170" s="13"/>
      <c r="P170" s="13"/>
      <c r="Q170" s="13"/>
      <c r="R170" s="13"/>
      <c r="S170" s="13"/>
      <c r="T170" s="13"/>
      <c r="U170" s="13"/>
    </row>
    <row r="171" spans="1:21">
      <c r="A171" s="13"/>
      <c r="B171" s="46" t="s">
        <v>295</v>
      </c>
      <c r="C171" s="46">
        <v>330.09</v>
      </c>
      <c r="D171" s="49">
        <v>2.5600000000000001E-2</v>
      </c>
      <c r="E171" s="13"/>
      <c r="F171" s="13"/>
      <c r="G171" s="13"/>
      <c r="H171" s="46" t="s">
        <v>295</v>
      </c>
      <c r="I171" s="48">
        <v>24951.15</v>
      </c>
      <c r="J171" s="49">
        <v>3.8E-3</v>
      </c>
      <c r="K171" s="13"/>
      <c r="L171" s="13"/>
      <c r="M171" s="13"/>
      <c r="N171" s="13"/>
      <c r="O171" s="13"/>
      <c r="P171" s="13"/>
      <c r="Q171" s="13"/>
      <c r="R171" s="13"/>
      <c r="S171" s="13"/>
      <c r="T171" s="13"/>
      <c r="U171" s="13"/>
    </row>
    <row r="172" spans="1:21">
      <c r="A172" s="13"/>
      <c r="B172" s="46" t="s">
        <v>296</v>
      </c>
      <c r="C172" s="46">
        <v>321.83999999999997</v>
      </c>
      <c r="D172" s="49">
        <v>1.7299999999999999E-2</v>
      </c>
      <c r="E172" s="13"/>
      <c r="F172" s="13"/>
      <c r="G172" s="13"/>
      <c r="H172" s="46" t="s">
        <v>296</v>
      </c>
      <c r="I172" s="48">
        <v>24857.3</v>
      </c>
      <c r="J172" s="49">
        <v>8.9999999999999998E-4</v>
      </c>
      <c r="K172" s="13"/>
      <c r="L172" s="13"/>
      <c r="M172" s="13"/>
      <c r="N172" s="13"/>
      <c r="O172" s="13"/>
      <c r="P172" s="13"/>
      <c r="Q172" s="13"/>
      <c r="R172" s="13"/>
      <c r="S172" s="13"/>
      <c r="T172" s="13"/>
      <c r="U172" s="13"/>
    </row>
    <row r="173" spans="1:21">
      <c r="A173" s="13"/>
      <c r="B173" s="46" t="s">
        <v>297</v>
      </c>
      <c r="C173" s="46">
        <v>316.37</v>
      </c>
      <c r="D173" s="49">
        <v>1.6199999999999999E-2</v>
      </c>
      <c r="E173" s="13"/>
      <c r="F173" s="13"/>
      <c r="G173" s="13"/>
      <c r="H173" s="46" t="s">
        <v>297</v>
      </c>
      <c r="I173" s="48">
        <v>24836.1</v>
      </c>
      <c r="J173" s="49">
        <v>1E-4</v>
      </c>
      <c r="K173" s="13"/>
      <c r="L173" s="13"/>
      <c r="M173" s="13"/>
      <c r="N173" s="13"/>
      <c r="O173" s="13"/>
      <c r="P173" s="13"/>
      <c r="Q173" s="13"/>
      <c r="R173" s="13"/>
      <c r="S173" s="13"/>
      <c r="T173" s="13"/>
      <c r="U173" s="13"/>
    </row>
    <row r="174" spans="1:21">
      <c r="A174" s="13"/>
      <c r="B174" s="46" t="s">
        <v>298</v>
      </c>
      <c r="C174" s="46">
        <v>311.32</v>
      </c>
      <c r="D174" s="49">
        <v>-1.14E-2</v>
      </c>
      <c r="E174" s="13"/>
      <c r="F174" s="13"/>
      <c r="G174" s="13"/>
      <c r="H174" s="46" t="s">
        <v>298</v>
      </c>
      <c r="I174" s="48">
        <v>24834.85</v>
      </c>
      <c r="J174" s="49">
        <v>1.7600000000000001E-2</v>
      </c>
      <c r="K174" s="13"/>
      <c r="L174" s="13"/>
      <c r="M174" s="13"/>
      <c r="N174" s="13"/>
      <c r="O174" s="13"/>
      <c r="P174" s="13"/>
      <c r="Q174" s="13"/>
      <c r="R174" s="13"/>
      <c r="S174" s="13"/>
      <c r="T174" s="13"/>
      <c r="U174" s="13"/>
    </row>
    <row r="175" spans="1:21">
      <c r="A175" s="13"/>
      <c r="B175" s="46" t="s">
        <v>299</v>
      </c>
      <c r="C175" s="46">
        <v>314.92</v>
      </c>
      <c r="D175" s="49">
        <v>-3.3000000000000002E-2</v>
      </c>
      <c r="E175" s="13"/>
      <c r="F175" s="13"/>
      <c r="G175" s="13"/>
      <c r="H175" s="46" t="s">
        <v>299</v>
      </c>
      <c r="I175" s="48">
        <v>24406.1</v>
      </c>
      <c r="J175" s="49">
        <v>-2.9999999999999997E-4</v>
      </c>
      <c r="K175" s="13"/>
      <c r="L175" s="13"/>
      <c r="M175" s="13"/>
      <c r="N175" s="13"/>
      <c r="O175" s="13"/>
      <c r="P175" s="13"/>
      <c r="Q175" s="13"/>
      <c r="R175" s="13"/>
      <c r="S175" s="13"/>
      <c r="T175" s="13"/>
      <c r="U175" s="13"/>
    </row>
    <row r="176" spans="1:21">
      <c r="A176" s="13"/>
      <c r="B176" s="46" t="s">
        <v>300</v>
      </c>
      <c r="C176" s="46">
        <v>325.67</v>
      </c>
      <c r="D176" s="49">
        <v>4.2599999999999999E-2</v>
      </c>
      <c r="E176" s="13"/>
      <c r="F176" s="13"/>
      <c r="G176" s="13"/>
      <c r="H176" s="46" t="s">
        <v>300</v>
      </c>
      <c r="I176" s="48">
        <v>24413.5</v>
      </c>
      <c r="J176" s="49">
        <v>-2.7000000000000001E-3</v>
      </c>
      <c r="K176" s="13"/>
      <c r="L176" s="13"/>
      <c r="M176" s="13"/>
      <c r="N176" s="13"/>
      <c r="O176" s="13"/>
      <c r="P176" s="13"/>
      <c r="Q176" s="13"/>
      <c r="R176" s="13"/>
      <c r="S176" s="13"/>
      <c r="T176" s="13"/>
      <c r="U176" s="13"/>
    </row>
    <row r="177" spans="1:21">
      <c r="A177" s="13"/>
      <c r="B177" s="46" t="s">
        <v>301</v>
      </c>
      <c r="C177" s="46">
        <v>312.36</v>
      </c>
      <c r="D177" s="49">
        <v>2.1000000000000001E-2</v>
      </c>
      <c r="E177" s="13"/>
      <c r="F177" s="13"/>
      <c r="G177" s="13"/>
      <c r="H177" s="46" t="s">
        <v>301</v>
      </c>
      <c r="I177" s="48">
        <v>24479.05</v>
      </c>
      <c r="J177" s="49">
        <v>-1.1999999999999999E-3</v>
      </c>
      <c r="K177" s="13"/>
      <c r="L177" s="13"/>
      <c r="M177" s="13"/>
      <c r="N177" s="13"/>
      <c r="O177" s="13"/>
      <c r="P177" s="13"/>
      <c r="Q177" s="13"/>
      <c r="R177" s="13"/>
      <c r="S177" s="13"/>
      <c r="T177" s="13"/>
      <c r="U177" s="13"/>
    </row>
    <row r="178" spans="1:21">
      <c r="A178" s="13"/>
      <c r="B178" s="46" t="s">
        <v>302</v>
      </c>
      <c r="C178" s="46">
        <v>305.93</v>
      </c>
      <c r="D178" s="49">
        <v>-8.9999999999999998E-4</v>
      </c>
      <c r="E178" s="13"/>
      <c r="F178" s="13"/>
      <c r="G178" s="13"/>
      <c r="H178" s="46" t="s">
        <v>302</v>
      </c>
      <c r="I178" s="48">
        <v>24509.25</v>
      </c>
      <c r="J178" s="49">
        <v>-8.9999999999999998E-4</v>
      </c>
      <c r="K178" s="13"/>
      <c r="L178" s="13"/>
      <c r="M178" s="13"/>
      <c r="N178" s="13"/>
      <c r="O178" s="13"/>
      <c r="P178" s="13"/>
      <c r="Q178" s="13"/>
      <c r="R178" s="13"/>
      <c r="S178" s="13"/>
      <c r="T178" s="13"/>
      <c r="U178" s="13"/>
    </row>
    <row r="179" spans="1:21">
      <c r="A179" s="13"/>
      <c r="B179" s="46" t="s">
        <v>303</v>
      </c>
      <c r="C179" s="46">
        <v>306.20999999999998</v>
      </c>
      <c r="D179" s="49">
        <v>-1.06E-2</v>
      </c>
      <c r="E179" s="13"/>
      <c r="F179" s="13"/>
      <c r="G179" s="13"/>
      <c r="H179" s="46" t="s">
        <v>303</v>
      </c>
      <c r="I179" s="48">
        <v>24530.9</v>
      </c>
      <c r="J179" s="49">
        <v>-1.09E-2</v>
      </c>
      <c r="K179" s="13"/>
      <c r="L179" s="13"/>
      <c r="M179" s="13"/>
      <c r="N179" s="13"/>
      <c r="O179" s="13"/>
      <c r="P179" s="13"/>
      <c r="Q179" s="13"/>
      <c r="R179" s="13"/>
      <c r="S179" s="13"/>
      <c r="T179" s="13"/>
      <c r="U179" s="13"/>
    </row>
    <row r="180" spans="1:21">
      <c r="A180" s="13"/>
      <c r="B180" s="46" t="s">
        <v>304</v>
      </c>
      <c r="C180" s="46">
        <v>309.5</v>
      </c>
      <c r="D180" s="49">
        <v>-1.8E-3</v>
      </c>
      <c r="E180" s="13"/>
      <c r="F180" s="13"/>
      <c r="G180" s="13"/>
      <c r="H180" s="46" t="s">
        <v>304</v>
      </c>
      <c r="I180" s="48">
        <v>24800.85</v>
      </c>
      <c r="J180" s="49">
        <v>7.6E-3</v>
      </c>
      <c r="K180" s="13"/>
      <c r="L180" s="13"/>
      <c r="M180" s="13"/>
      <c r="N180" s="13"/>
      <c r="O180" s="13"/>
      <c r="P180" s="13"/>
      <c r="Q180" s="13"/>
      <c r="R180" s="13"/>
      <c r="S180" s="13"/>
      <c r="T180" s="13"/>
      <c r="U180" s="13"/>
    </row>
    <row r="181" spans="1:21">
      <c r="A181" s="13"/>
      <c r="B181" s="46" t="s">
        <v>305</v>
      </c>
      <c r="C181" s="46">
        <v>310.07</v>
      </c>
      <c r="D181" s="49">
        <v>-4.1000000000000003E-3</v>
      </c>
      <c r="E181" s="13"/>
      <c r="F181" s="13"/>
      <c r="G181" s="13"/>
      <c r="H181" s="46" t="s">
        <v>305</v>
      </c>
      <c r="I181" s="48">
        <v>24613</v>
      </c>
      <c r="J181" s="49">
        <v>1.1000000000000001E-3</v>
      </c>
      <c r="K181" s="13"/>
      <c r="L181" s="13"/>
      <c r="M181" s="13"/>
      <c r="N181" s="13"/>
      <c r="O181" s="13"/>
      <c r="P181" s="13"/>
      <c r="Q181" s="13"/>
      <c r="R181" s="13"/>
      <c r="S181" s="13"/>
      <c r="T181" s="13"/>
      <c r="U181" s="13"/>
    </row>
    <row r="182" spans="1:21">
      <c r="A182" s="13"/>
      <c r="B182" s="46" t="s">
        <v>306</v>
      </c>
      <c r="C182" s="46">
        <v>311.33999999999997</v>
      </c>
      <c r="D182" s="49">
        <v>1.4E-3</v>
      </c>
      <c r="E182" s="13"/>
      <c r="F182" s="13"/>
      <c r="G182" s="13"/>
      <c r="H182" s="46" t="s">
        <v>306</v>
      </c>
      <c r="I182" s="48">
        <v>24586.7</v>
      </c>
      <c r="J182" s="49">
        <v>3.5000000000000001E-3</v>
      </c>
      <c r="K182" s="13"/>
      <c r="L182" s="13"/>
      <c r="M182" s="13"/>
      <c r="N182" s="13"/>
      <c r="O182" s="13"/>
      <c r="P182" s="13"/>
      <c r="Q182" s="13"/>
      <c r="R182" s="13"/>
      <c r="S182" s="13"/>
      <c r="T182" s="13"/>
      <c r="U182" s="13"/>
    </row>
    <row r="183" spans="1:21">
      <c r="A183" s="13"/>
      <c r="B183" s="47">
        <v>45633</v>
      </c>
      <c r="C183" s="46">
        <v>310.92</v>
      </c>
      <c r="D183" s="49">
        <v>4.1999999999999997E-3</v>
      </c>
      <c r="E183" s="13"/>
      <c r="F183" s="13"/>
      <c r="G183" s="13"/>
      <c r="H183" s="47">
        <v>45633</v>
      </c>
      <c r="I183" s="48">
        <v>24502.15</v>
      </c>
      <c r="J183" s="49">
        <v>7.7000000000000002E-3</v>
      </c>
      <c r="K183" s="13"/>
      <c r="L183" s="13"/>
      <c r="M183" s="13"/>
      <c r="N183" s="13"/>
      <c r="O183" s="13"/>
      <c r="P183" s="13"/>
      <c r="Q183" s="13"/>
      <c r="R183" s="13"/>
      <c r="S183" s="13"/>
      <c r="T183" s="13"/>
      <c r="U183" s="13"/>
    </row>
    <row r="184" spans="1:21">
      <c r="A184" s="13"/>
      <c r="B184" s="47">
        <v>45603</v>
      </c>
      <c r="C184" s="46">
        <v>309.62</v>
      </c>
      <c r="D184" s="49">
        <v>-5.5999999999999999E-3</v>
      </c>
      <c r="E184" s="13"/>
      <c r="F184" s="13"/>
      <c r="G184" s="13"/>
      <c r="H184" s="47">
        <v>45603</v>
      </c>
      <c r="I184" s="48">
        <v>24315.95</v>
      </c>
      <c r="J184" s="49">
        <v>-2.9999999999999997E-4</v>
      </c>
      <c r="K184" s="13"/>
      <c r="L184" s="13"/>
      <c r="M184" s="13"/>
      <c r="N184" s="13"/>
      <c r="O184" s="13"/>
      <c r="P184" s="13"/>
      <c r="Q184" s="13"/>
      <c r="R184" s="13"/>
      <c r="S184" s="13"/>
      <c r="T184" s="13"/>
      <c r="U184" s="13"/>
    </row>
    <row r="185" spans="1:21">
      <c r="A185" s="13"/>
      <c r="B185" s="47">
        <v>45572</v>
      </c>
      <c r="C185" s="46">
        <v>311.35000000000002</v>
      </c>
      <c r="D185" s="49">
        <v>-1.4E-3</v>
      </c>
      <c r="E185" s="13"/>
      <c r="F185" s="13"/>
      <c r="G185" s="13"/>
      <c r="H185" s="47">
        <v>45572</v>
      </c>
      <c r="I185" s="48">
        <v>24324.45</v>
      </c>
      <c r="J185" s="49">
        <v>-4.4999999999999997E-3</v>
      </c>
      <c r="K185" s="13"/>
      <c r="L185" s="13"/>
      <c r="M185" s="13"/>
      <c r="N185" s="13"/>
      <c r="O185" s="13"/>
      <c r="P185" s="13"/>
      <c r="Q185" s="13"/>
      <c r="R185" s="13"/>
      <c r="S185" s="13"/>
      <c r="T185" s="13"/>
      <c r="U185" s="13"/>
    </row>
    <row r="186" spans="1:21">
      <c r="A186" s="13"/>
      <c r="B186" s="47">
        <v>45542</v>
      </c>
      <c r="C186" s="46">
        <v>311.77999999999997</v>
      </c>
      <c r="D186" s="49">
        <v>-2.9999999999999997E-4</v>
      </c>
      <c r="E186" s="13"/>
      <c r="F186" s="13"/>
      <c r="G186" s="13"/>
      <c r="H186" s="47">
        <v>45542</v>
      </c>
      <c r="I186" s="48">
        <v>24433.200000000001</v>
      </c>
      <c r="J186" s="49">
        <v>4.5999999999999999E-3</v>
      </c>
      <c r="K186" s="13"/>
      <c r="L186" s="13"/>
      <c r="M186" s="13"/>
      <c r="N186" s="13"/>
      <c r="O186" s="13"/>
      <c r="P186" s="13"/>
      <c r="Q186" s="13"/>
      <c r="R186" s="13"/>
      <c r="S186" s="13"/>
      <c r="T186" s="13"/>
      <c r="U186" s="13"/>
    </row>
    <row r="187" spans="1:21">
      <c r="A187" s="13"/>
      <c r="B187" s="47">
        <v>45511</v>
      </c>
      <c r="C187" s="46">
        <v>311.86</v>
      </c>
      <c r="D187" s="49">
        <v>-1.4800000000000001E-2</v>
      </c>
      <c r="E187" s="13"/>
      <c r="F187" s="13"/>
      <c r="G187" s="13"/>
      <c r="H187" s="47">
        <v>45511</v>
      </c>
      <c r="I187" s="48">
        <v>24320.55</v>
      </c>
      <c r="J187" s="49">
        <v>-1E-4</v>
      </c>
      <c r="K187" s="13"/>
      <c r="L187" s="13"/>
      <c r="M187" s="13"/>
      <c r="N187" s="13"/>
      <c r="O187" s="13"/>
      <c r="P187" s="13"/>
      <c r="Q187" s="13"/>
      <c r="R187" s="13"/>
      <c r="S187" s="13"/>
      <c r="T187" s="13"/>
      <c r="U187" s="13"/>
    </row>
    <row r="188" spans="1:21">
      <c r="A188" s="13"/>
      <c r="B188" s="47">
        <v>45419</v>
      </c>
      <c r="C188" s="46">
        <v>316.56</v>
      </c>
      <c r="D188" s="49">
        <v>-6.6E-3</v>
      </c>
      <c r="E188" s="13"/>
      <c r="F188" s="13"/>
      <c r="G188" s="13"/>
      <c r="H188" s="47">
        <v>45419</v>
      </c>
      <c r="I188" s="48">
        <v>24323.85</v>
      </c>
      <c r="J188" s="49">
        <v>8.9999999999999998E-4</v>
      </c>
      <c r="K188" s="13"/>
      <c r="L188" s="13"/>
      <c r="M188" s="13"/>
      <c r="N188" s="13"/>
      <c r="O188" s="13"/>
      <c r="P188" s="13"/>
      <c r="Q188" s="13"/>
      <c r="R188" s="13"/>
      <c r="S188" s="13"/>
      <c r="T188" s="13"/>
      <c r="U188" s="13"/>
    </row>
    <row r="189" spans="1:21">
      <c r="A189" s="13"/>
      <c r="B189" s="47">
        <v>45389</v>
      </c>
      <c r="C189" s="46">
        <v>318.64999999999998</v>
      </c>
      <c r="D189" s="49">
        <v>3.0000000000000001E-3</v>
      </c>
      <c r="E189" s="13"/>
      <c r="F189" s="13"/>
      <c r="G189" s="13"/>
      <c r="H189" s="47">
        <v>45389</v>
      </c>
      <c r="I189" s="48">
        <v>24302.15</v>
      </c>
      <c r="J189" s="49">
        <v>5.9999999999999995E-4</v>
      </c>
      <c r="K189" s="13"/>
      <c r="L189" s="13"/>
      <c r="M189" s="13"/>
      <c r="N189" s="13"/>
      <c r="O189" s="13"/>
      <c r="P189" s="13"/>
      <c r="Q189" s="13"/>
      <c r="R189" s="13"/>
      <c r="S189" s="13"/>
      <c r="T189" s="13"/>
      <c r="U189" s="13"/>
    </row>
    <row r="190" spans="1:21">
      <c r="A190" s="13"/>
      <c r="B190" s="47">
        <v>45358</v>
      </c>
      <c r="C190" s="46">
        <v>317.70999999999998</v>
      </c>
      <c r="D190" s="49">
        <v>1.78E-2</v>
      </c>
      <c r="E190" s="13"/>
      <c r="F190" s="13"/>
      <c r="G190" s="13"/>
      <c r="H190" s="47">
        <v>45358</v>
      </c>
      <c r="I190" s="48">
        <v>24286.5</v>
      </c>
      <c r="J190" s="49">
        <v>6.7000000000000002E-3</v>
      </c>
      <c r="K190" s="13"/>
      <c r="L190" s="13"/>
      <c r="M190" s="13"/>
      <c r="N190" s="13"/>
      <c r="O190" s="13"/>
      <c r="P190" s="13"/>
      <c r="Q190" s="13"/>
      <c r="R190" s="13"/>
      <c r="S190" s="13"/>
      <c r="T190" s="13"/>
      <c r="U190" s="13"/>
    </row>
    <row r="191" spans="1:21">
      <c r="A191" s="13"/>
      <c r="B191" s="47">
        <v>45329</v>
      </c>
      <c r="C191" s="46">
        <v>312.16000000000003</v>
      </c>
      <c r="D191" s="49">
        <v>-6.3E-3</v>
      </c>
      <c r="E191" s="13"/>
      <c r="F191" s="13"/>
      <c r="G191" s="13"/>
      <c r="H191" s="47">
        <v>45329</v>
      </c>
      <c r="I191" s="48">
        <v>24123.85</v>
      </c>
      <c r="J191" s="49">
        <v>-6.9999999999999999E-4</v>
      </c>
      <c r="K191" s="13"/>
      <c r="L191" s="13"/>
      <c r="M191" s="13"/>
      <c r="N191" s="13"/>
      <c r="O191" s="13"/>
      <c r="P191" s="13"/>
      <c r="Q191" s="13"/>
      <c r="R191" s="13"/>
      <c r="S191" s="13"/>
      <c r="T191" s="13"/>
      <c r="U191" s="13"/>
    </row>
    <row r="192" spans="1:21">
      <c r="A192" s="13"/>
      <c r="B192" s="47">
        <v>45298</v>
      </c>
      <c r="C192" s="46">
        <v>314.14</v>
      </c>
      <c r="D192" s="49">
        <v>3.0999999999999999E-3</v>
      </c>
      <c r="E192" s="13"/>
      <c r="F192" s="13"/>
      <c r="G192" s="13"/>
      <c r="H192" s="47">
        <v>45298</v>
      </c>
      <c r="I192" s="48">
        <v>24141.95</v>
      </c>
      <c r="J192" s="49">
        <v>5.4999999999999997E-3</v>
      </c>
      <c r="K192" s="13"/>
      <c r="L192" s="13"/>
      <c r="M192" s="13"/>
      <c r="N192" s="13"/>
      <c r="O192" s="13"/>
      <c r="P192" s="13"/>
      <c r="Q192" s="13"/>
      <c r="R192" s="13"/>
      <c r="S192" s="13"/>
      <c r="T192" s="13"/>
      <c r="U192" s="13"/>
    </row>
    <row r="193" spans="1:21">
      <c r="A193" s="13"/>
      <c r="B193" s="46" t="s">
        <v>307</v>
      </c>
      <c r="C193" s="46">
        <v>313.16000000000003</v>
      </c>
      <c r="D193" s="49">
        <v>7.1000000000000004E-3</v>
      </c>
      <c r="E193" s="13"/>
      <c r="F193" s="13"/>
      <c r="G193" s="13"/>
      <c r="H193" s="46" t="s">
        <v>307</v>
      </c>
      <c r="I193" s="48">
        <v>24010.6</v>
      </c>
      <c r="J193" s="49">
        <v>-1.4E-3</v>
      </c>
      <c r="K193" s="13"/>
      <c r="L193" s="13"/>
      <c r="M193" s="13"/>
      <c r="N193" s="13"/>
      <c r="O193" s="13"/>
      <c r="P193" s="13"/>
      <c r="Q193" s="13"/>
      <c r="R193" s="13"/>
      <c r="S193" s="13"/>
      <c r="T193" s="13"/>
      <c r="U193" s="13"/>
    </row>
    <row r="194" spans="1:21">
      <c r="A194" s="13"/>
      <c r="B194" s="46" t="s">
        <v>308</v>
      </c>
      <c r="C194" s="46">
        <v>310.95</v>
      </c>
      <c r="D194" s="49">
        <v>2.0000000000000001E-4</v>
      </c>
      <c r="E194" s="13"/>
      <c r="F194" s="13"/>
      <c r="G194" s="13"/>
      <c r="H194" s="46" t="s">
        <v>308</v>
      </c>
      <c r="I194" s="48">
        <v>24044.5</v>
      </c>
      <c r="J194" s="49">
        <v>7.4000000000000003E-3</v>
      </c>
      <c r="K194" s="13"/>
      <c r="L194" s="13"/>
      <c r="M194" s="13"/>
      <c r="N194" s="13"/>
      <c r="O194" s="13"/>
      <c r="P194" s="13"/>
      <c r="Q194" s="13"/>
      <c r="R194" s="13"/>
      <c r="S194" s="13"/>
      <c r="T194" s="13"/>
      <c r="U194" s="13"/>
    </row>
    <row r="195" spans="1:21">
      <c r="A195" s="13"/>
      <c r="B195" s="46" t="s">
        <v>309</v>
      </c>
      <c r="C195" s="46">
        <v>310.89999999999998</v>
      </c>
      <c r="D195" s="49">
        <v>-1.47E-2</v>
      </c>
      <c r="E195" s="13"/>
      <c r="F195" s="13"/>
      <c r="G195" s="13"/>
      <c r="H195" s="46" t="s">
        <v>309</v>
      </c>
      <c r="I195" s="48">
        <v>23868.799999999999</v>
      </c>
      <c r="J195" s="49">
        <v>6.1999999999999998E-3</v>
      </c>
      <c r="K195" s="13"/>
      <c r="L195" s="13"/>
      <c r="M195" s="13"/>
      <c r="N195" s="13"/>
      <c r="O195" s="13"/>
      <c r="P195" s="13"/>
      <c r="Q195" s="13"/>
      <c r="R195" s="13"/>
      <c r="S195" s="13"/>
      <c r="T195" s="13"/>
      <c r="U195" s="13"/>
    </row>
    <row r="196" spans="1:21">
      <c r="A196" s="13"/>
      <c r="B196" s="46" t="s">
        <v>310</v>
      </c>
      <c r="C196" s="46">
        <v>315.52999999999997</v>
      </c>
      <c r="D196" s="49">
        <v>-3.5999999999999999E-3</v>
      </c>
      <c r="E196" s="13"/>
      <c r="F196" s="13"/>
      <c r="G196" s="13"/>
      <c r="H196" s="46" t="s">
        <v>310</v>
      </c>
      <c r="I196" s="48">
        <v>23721.3</v>
      </c>
      <c r="J196" s="49">
        <v>7.7999999999999996E-3</v>
      </c>
      <c r="K196" s="13"/>
      <c r="L196" s="13"/>
      <c r="M196" s="13"/>
      <c r="N196" s="13"/>
      <c r="O196" s="13"/>
      <c r="P196" s="13"/>
      <c r="Q196" s="13"/>
      <c r="R196" s="13"/>
      <c r="S196" s="13"/>
      <c r="T196" s="13"/>
      <c r="U196" s="13"/>
    </row>
    <row r="197" spans="1:21">
      <c r="A197" s="13"/>
      <c r="B197" s="46" t="s">
        <v>311</v>
      </c>
      <c r="C197" s="46">
        <v>316.67</v>
      </c>
      <c r="D197" s="49">
        <v>-4.1999999999999997E-3</v>
      </c>
      <c r="E197" s="13"/>
      <c r="F197" s="13"/>
      <c r="G197" s="13"/>
      <c r="H197" s="46" t="s">
        <v>311</v>
      </c>
      <c r="I197" s="48">
        <v>23537.85</v>
      </c>
      <c r="J197" s="49">
        <v>1.6000000000000001E-3</v>
      </c>
      <c r="K197" s="13"/>
      <c r="L197" s="13"/>
      <c r="M197" s="13"/>
      <c r="N197" s="13"/>
      <c r="O197" s="13"/>
      <c r="P197" s="13"/>
      <c r="Q197" s="13"/>
      <c r="R197" s="13"/>
      <c r="S197" s="13"/>
      <c r="T197" s="13"/>
      <c r="U197" s="13"/>
    </row>
    <row r="198" spans="1:21">
      <c r="A198" s="13"/>
      <c r="B198" s="46" t="s">
        <v>312</v>
      </c>
      <c r="C198" s="46">
        <v>317.99</v>
      </c>
      <c r="D198" s="49">
        <v>8.2000000000000007E-3</v>
      </c>
      <c r="E198" s="13"/>
      <c r="F198" s="13"/>
      <c r="G198" s="13"/>
      <c r="H198" s="46" t="s">
        <v>312</v>
      </c>
      <c r="I198" s="48">
        <v>23501.1</v>
      </c>
      <c r="J198" s="49">
        <v>-2.8E-3</v>
      </c>
      <c r="K198" s="13"/>
      <c r="L198" s="13"/>
      <c r="M198" s="13"/>
      <c r="N198" s="13"/>
      <c r="O198" s="13"/>
      <c r="P198" s="13"/>
      <c r="Q198" s="13"/>
      <c r="R198" s="13"/>
      <c r="S198" s="13"/>
      <c r="T198" s="13"/>
      <c r="U198" s="13"/>
    </row>
    <row r="199" spans="1:21">
      <c r="A199" s="13"/>
      <c r="B199" s="46" t="s">
        <v>313</v>
      </c>
      <c r="C199" s="46">
        <v>315.39999999999998</v>
      </c>
      <c r="D199" s="49">
        <v>1.2500000000000001E-2</v>
      </c>
      <c r="E199" s="13"/>
      <c r="F199" s="13"/>
      <c r="G199" s="13"/>
      <c r="H199" s="46" t="s">
        <v>313</v>
      </c>
      <c r="I199" s="48">
        <v>23567</v>
      </c>
      <c r="J199" s="49">
        <v>2.2000000000000001E-3</v>
      </c>
      <c r="K199" s="13"/>
      <c r="L199" s="13"/>
      <c r="M199" s="13"/>
      <c r="N199" s="13"/>
      <c r="O199" s="13"/>
      <c r="P199" s="13"/>
      <c r="Q199" s="13"/>
      <c r="R199" s="13"/>
      <c r="S199" s="13"/>
      <c r="T199" s="13"/>
      <c r="U199" s="13"/>
    </row>
    <row r="200" spans="1:21">
      <c r="A200" s="13"/>
      <c r="B200" s="46" t="s">
        <v>314</v>
      </c>
      <c r="C200" s="46">
        <v>311.5</v>
      </c>
      <c r="D200" s="49">
        <v>2.87E-2</v>
      </c>
      <c r="E200" s="13"/>
      <c r="F200" s="13"/>
      <c r="G200" s="13"/>
      <c r="H200" s="46" t="s">
        <v>314</v>
      </c>
      <c r="I200" s="48">
        <v>23516</v>
      </c>
      <c r="J200" s="49">
        <v>-1.8E-3</v>
      </c>
      <c r="K200" s="13"/>
      <c r="L200" s="13"/>
      <c r="M200" s="13"/>
      <c r="N200" s="13"/>
      <c r="O200" s="13"/>
      <c r="P200" s="13"/>
      <c r="Q200" s="13"/>
      <c r="R200" s="13"/>
      <c r="S200" s="13"/>
      <c r="T200" s="13"/>
      <c r="U200" s="13"/>
    </row>
    <row r="201" spans="1:21">
      <c r="A201" s="13"/>
      <c r="B201" s="46" t="s">
        <v>315</v>
      </c>
      <c r="C201" s="46">
        <v>302.8</v>
      </c>
      <c r="D201" s="49">
        <v>5.8999999999999999E-3</v>
      </c>
      <c r="E201" s="13"/>
      <c r="F201" s="13"/>
      <c r="G201" s="13"/>
      <c r="H201" s="46" t="s">
        <v>315</v>
      </c>
      <c r="I201" s="48">
        <v>23557.9</v>
      </c>
      <c r="J201" s="49">
        <v>3.8999999999999998E-3</v>
      </c>
      <c r="K201" s="13"/>
      <c r="L201" s="13"/>
      <c r="M201" s="13"/>
      <c r="N201" s="13"/>
      <c r="O201" s="13"/>
      <c r="P201" s="13"/>
      <c r="Q201" s="13"/>
      <c r="R201" s="13"/>
      <c r="S201" s="13"/>
      <c r="T201" s="13"/>
      <c r="U201" s="13"/>
    </row>
    <row r="202" spans="1:21">
      <c r="A202" s="13"/>
      <c r="B202" s="46" t="s">
        <v>316</v>
      </c>
      <c r="C202" s="46">
        <v>301.02</v>
      </c>
      <c r="D202" s="49">
        <v>-2.8E-3</v>
      </c>
      <c r="E202" s="13"/>
      <c r="F202" s="13"/>
      <c r="G202" s="13"/>
      <c r="H202" s="46" t="s">
        <v>316</v>
      </c>
      <c r="I202" s="48">
        <v>23465.599999999999</v>
      </c>
      <c r="J202" s="49">
        <v>2.8999999999999998E-3</v>
      </c>
      <c r="K202" s="13"/>
      <c r="L202" s="13"/>
      <c r="M202" s="13"/>
      <c r="N202" s="13"/>
      <c r="O202" s="13"/>
      <c r="P202" s="13"/>
      <c r="Q202" s="13"/>
      <c r="R202" s="13"/>
      <c r="S202" s="13"/>
      <c r="T202" s="13"/>
      <c r="U202" s="13"/>
    </row>
    <row r="203" spans="1:21">
      <c r="A203" s="13"/>
      <c r="B203" s="46" t="s">
        <v>317</v>
      </c>
      <c r="C203" s="46">
        <v>301.88</v>
      </c>
      <c r="D203" s="49">
        <v>9.4999999999999998E-3</v>
      </c>
      <c r="E203" s="13"/>
      <c r="F203" s="13"/>
      <c r="G203" s="13"/>
      <c r="H203" s="46" t="s">
        <v>317</v>
      </c>
      <c r="I203" s="48">
        <v>23398.9</v>
      </c>
      <c r="J203" s="49">
        <v>3.3E-3</v>
      </c>
      <c r="K203" s="13"/>
      <c r="L203" s="13"/>
      <c r="M203" s="13"/>
      <c r="N203" s="13"/>
      <c r="O203" s="13"/>
      <c r="P203" s="13"/>
      <c r="Q203" s="13"/>
      <c r="R203" s="13"/>
      <c r="S203" s="13"/>
      <c r="T203" s="13"/>
      <c r="U203" s="13"/>
    </row>
    <row r="204" spans="1:21">
      <c r="A204" s="13"/>
      <c r="B204" s="47">
        <v>45632</v>
      </c>
      <c r="C204" s="46">
        <v>299.02999999999997</v>
      </c>
      <c r="D204" s="49">
        <v>-6.0000000000000001E-3</v>
      </c>
      <c r="E204" s="13"/>
      <c r="F204" s="13"/>
      <c r="G204" s="13"/>
      <c r="H204" s="47">
        <v>45632</v>
      </c>
      <c r="I204" s="48">
        <v>23322.95</v>
      </c>
      <c r="J204" s="49">
        <v>2.5000000000000001E-3</v>
      </c>
      <c r="K204" s="13"/>
      <c r="L204" s="13"/>
      <c r="M204" s="13"/>
      <c r="N204" s="13"/>
      <c r="O204" s="13"/>
      <c r="P204" s="13"/>
      <c r="Q204" s="13"/>
      <c r="R204" s="13"/>
      <c r="S204" s="13"/>
      <c r="T204" s="13"/>
      <c r="U204" s="13"/>
    </row>
    <row r="205" spans="1:21">
      <c r="A205" s="13"/>
      <c r="B205" s="47">
        <v>45602</v>
      </c>
      <c r="C205" s="46">
        <v>300.82</v>
      </c>
      <c r="D205" s="49">
        <v>4.4999999999999997E-3</v>
      </c>
      <c r="E205" s="13"/>
      <c r="F205" s="13"/>
      <c r="G205" s="13"/>
      <c r="H205" s="47">
        <v>45602</v>
      </c>
      <c r="I205" s="48">
        <v>23264.85</v>
      </c>
      <c r="J205" s="49">
        <v>2.0000000000000001E-4</v>
      </c>
      <c r="K205" s="13"/>
      <c r="L205" s="13"/>
      <c r="M205" s="13"/>
      <c r="N205" s="13"/>
      <c r="O205" s="13"/>
      <c r="P205" s="13"/>
      <c r="Q205" s="13"/>
      <c r="R205" s="13"/>
      <c r="S205" s="13"/>
      <c r="T205" s="13"/>
      <c r="U205" s="13"/>
    </row>
    <row r="206" spans="1:21">
      <c r="A206" s="13"/>
      <c r="B206" s="47">
        <v>45571</v>
      </c>
      <c r="C206" s="46">
        <v>299.48</v>
      </c>
      <c r="D206" s="49">
        <v>1.04E-2</v>
      </c>
      <c r="E206" s="13"/>
      <c r="F206" s="13"/>
      <c r="G206" s="13"/>
      <c r="H206" s="47">
        <v>45571</v>
      </c>
      <c r="I206" s="48">
        <v>23259.200000000001</v>
      </c>
      <c r="J206" s="49">
        <v>-1.2999999999999999E-3</v>
      </c>
      <c r="K206" s="13"/>
      <c r="L206" s="13"/>
      <c r="M206" s="13"/>
      <c r="N206" s="13"/>
      <c r="O206" s="13"/>
      <c r="P206" s="13"/>
      <c r="Q206" s="13"/>
      <c r="R206" s="13"/>
      <c r="S206" s="13"/>
      <c r="T206" s="13"/>
      <c r="U206" s="13"/>
    </row>
    <row r="207" spans="1:21">
      <c r="A207" s="13"/>
      <c r="B207" s="47">
        <v>45479</v>
      </c>
      <c r="C207" s="46">
        <v>296.39</v>
      </c>
      <c r="D207" s="49">
        <v>1.47E-2</v>
      </c>
      <c r="E207" s="13"/>
      <c r="F207" s="13"/>
      <c r="G207" s="13"/>
      <c r="H207" s="47">
        <v>45479</v>
      </c>
      <c r="I207" s="48">
        <v>23290.15</v>
      </c>
      <c r="J207" s="49">
        <v>2.0500000000000001E-2</v>
      </c>
      <c r="K207" s="13"/>
      <c r="L207" s="13"/>
      <c r="M207" s="13"/>
      <c r="N207" s="13"/>
      <c r="O207" s="13"/>
      <c r="P207" s="13"/>
      <c r="Q207" s="13"/>
      <c r="R207" s="13"/>
      <c r="S207" s="13"/>
      <c r="T207" s="13"/>
      <c r="U207" s="13"/>
    </row>
    <row r="208" spans="1:21">
      <c r="A208" s="13"/>
      <c r="B208" s="47">
        <v>45449</v>
      </c>
      <c r="C208" s="46">
        <v>292.10000000000002</v>
      </c>
      <c r="D208" s="49">
        <v>8.6999999999999994E-3</v>
      </c>
      <c r="E208" s="13"/>
      <c r="F208" s="13"/>
      <c r="G208" s="13"/>
      <c r="H208" s="47">
        <v>45449</v>
      </c>
      <c r="I208" s="48">
        <v>22821.4</v>
      </c>
      <c r="J208" s="49">
        <v>8.8999999999999999E-3</v>
      </c>
      <c r="K208" s="13"/>
      <c r="L208" s="13"/>
      <c r="M208" s="13"/>
      <c r="N208" s="13"/>
      <c r="O208" s="13"/>
      <c r="P208" s="13"/>
      <c r="Q208" s="13"/>
      <c r="R208" s="13"/>
      <c r="S208" s="13"/>
      <c r="T208" s="13"/>
      <c r="U208" s="13"/>
    </row>
    <row r="209" spans="1:21">
      <c r="A209" s="13"/>
      <c r="B209" s="47">
        <v>45418</v>
      </c>
      <c r="C209" s="46">
        <v>289.58</v>
      </c>
      <c r="D209" s="49">
        <v>2.3800000000000002E-2</v>
      </c>
      <c r="E209" s="13"/>
      <c r="F209" s="13"/>
      <c r="G209" s="13"/>
      <c r="H209" s="47">
        <v>45418</v>
      </c>
      <c r="I209" s="48">
        <v>22620.35</v>
      </c>
      <c r="J209" s="49">
        <v>3.3599999999999998E-2</v>
      </c>
      <c r="K209" s="13"/>
      <c r="L209" s="13"/>
      <c r="M209" s="13"/>
      <c r="N209" s="13"/>
      <c r="O209" s="13"/>
      <c r="P209" s="13"/>
      <c r="Q209" s="13"/>
      <c r="R209" s="13"/>
      <c r="S209" s="13"/>
      <c r="T209" s="13"/>
      <c r="U209" s="13"/>
    </row>
    <row r="210" spans="1:21">
      <c r="A210" s="13"/>
      <c r="B210" s="47">
        <v>45388</v>
      </c>
      <c r="C210" s="46">
        <v>282.83999999999997</v>
      </c>
      <c r="D210" s="49">
        <v>-7.7999999999999996E-3</v>
      </c>
      <c r="E210" s="13"/>
      <c r="F210" s="13"/>
      <c r="G210" s="13"/>
      <c r="H210" s="47">
        <v>45388</v>
      </c>
      <c r="I210" s="48">
        <v>21884.5</v>
      </c>
      <c r="J210" s="49">
        <v>-5.9299999999999999E-2</v>
      </c>
      <c r="K210" s="13"/>
      <c r="L210" s="13"/>
      <c r="M210" s="13"/>
      <c r="N210" s="13"/>
      <c r="O210" s="13"/>
      <c r="P210" s="13"/>
      <c r="Q210" s="13"/>
      <c r="R210" s="13"/>
      <c r="S210" s="13"/>
      <c r="T210" s="13"/>
      <c r="U210" s="13"/>
    </row>
    <row r="211" spans="1:21">
      <c r="A211" s="13"/>
      <c r="B211" s="47">
        <v>45357</v>
      </c>
      <c r="C211" s="46">
        <v>285.06</v>
      </c>
      <c r="D211" s="49">
        <v>-1.9E-2</v>
      </c>
      <c r="E211" s="13"/>
      <c r="F211" s="13"/>
      <c r="G211" s="13"/>
      <c r="H211" s="47">
        <v>45357</v>
      </c>
      <c r="I211" s="48">
        <v>23263.9</v>
      </c>
      <c r="J211" s="49">
        <v>3.2500000000000001E-2</v>
      </c>
      <c r="K211" s="13"/>
      <c r="L211" s="13"/>
      <c r="M211" s="13"/>
      <c r="N211" s="13"/>
      <c r="O211" s="13"/>
      <c r="P211" s="13"/>
      <c r="Q211" s="13"/>
      <c r="R211" s="13"/>
      <c r="S211" s="13"/>
      <c r="T211" s="13"/>
      <c r="U211" s="13"/>
    </row>
    <row r="212" spans="1:21">
      <c r="A212" s="13"/>
      <c r="B212" s="46" t="s">
        <v>318</v>
      </c>
      <c r="C212" s="46">
        <v>290.58</v>
      </c>
      <c r="D212" s="49">
        <v>2.2499999999999999E-2</v>
      </c>
      <c r="E212" s="13"/>
      <c r="F212" s="13"/>
      <c r="G212" s="13"/>
      <c r="H212" s="46" t="s">
        <v>318</v>
      </c>
      <c r="I212" s="48">
        <v>22530.7</v>
      </c>
      <c r="J212" s="49">
        <v>1.9E-3</v>
      </c>
      <c r="K212" s="13"/>
      <c r="L212" s="13"/>
      <c r="M212" s="13"/>
      <c r="N212" s="13"/>
      <c r="O212" s="13"/>
      <c r="P212" s="13"/>
      <c r="Q212" s="13"/>
      <c r="R212" s="13"/>
      <c r="S212" s="13"/>
      <c r="T212" s="13"/>
      <c r="U212" s="13"/>
    </row>
    <row r="213" spans="1:21">
      <c r="A213" s="13"/>
      <c r="B213" s="46" t="s">
        <v>319</v>
      </c>
      <c r="C213" s="46">
        <v>284.18</v>
      </c>
      <c r="D213" s="49">
        <v>6.1000000000000004E-3</v>
      </c>
      <c r="E213" s="13"/>
      <c r="F213" s="13"/>
      <c r="G213" s="13"/>
      <c r="H213" s="46" t="s">
        <v>319</v>
      </c>
      <c r="I213" s="48">
        <v>22488.65</v>
      </c>
      <c r="J213" s="49">
        <v>-9.4999999999999998E-3</v>
      </c>
      <c r="K213" s="13"/>
      <c r="L213" s="13"/>
      <c r="M213" s="13"/>
      <c r="N213" s="13"/>
      <c r="O213" s="13"/>
      <c r="P213" s="13"/>
      <c r="Q213" s="13"/>
      <c r="R213" s="13"/>
      <c r="S213" s="13"/>
      <c r="T213" s="13"/>
      <c r="U213" s="13"/>
    </row>
    <row r="214" spans="1:21">
      <c r="A214" s="13"/>
      <c r="B214" s="46" t="s">
        <v>320</v>
      </c>
      <c r="C214" s="46">
        <v>282.45</v>
      </c>
      <c r="D214" s="49">
        <v>5.7999999999999996E-3</v>
      </c>
      <c r="E214" s="13"/>
      <c r="F214" s="13"/>
      <c r="G214" s="13"/>
      <c r="H214" s="46" t="s">
        <v>320</v>
      </c>
      <c r="I214" s="48">
        <v>22704.7</v>
      </c>
      <c r="J214" s="49">
        <v>-8.0000000000000002E-3</v>
      </c>
      <c r="K214" s="13"/>
      <c r="L214" s="13"/>
      <c r="M214" s="13"/>
      <c r="N214" s="13"/>
      <c r="O214" s="13"/>
      <c r="P214" s="13"/>
      <c r="Q214" s="13"/>
      <c r="R214" s="13"/>
      <c r="S214" s="13"/>
      <c r="T214" s="13"/>
      <c r="U214" s="13"/>
    </row>
    <row r="215" spans="1:21">
      <c r="A215" s="13"/>
      <c r="B215" s="46" t="s">
        <v>321</v>
      </c>
      <c r="C215" s="46">
        <v>280.82</v>
      </c>
      <c r="D215" s="49">
        <v>1.1000000000000001E-3</v>
      </c>
      <c r="E215" s="13"/>
      <c r="F215" s="13"/>
      <c r="G215" s="13"/>
      <c r="H215" s="46" t="s">
        <v>321</v>
      </c>
      <c r="I215" s="48">
        <v>22888.15</v>
      </c>
      <c r="J215" s="49">
        <v>-1.9E-3</v>
      </c>
      <c r="K215" s="13"/>
      <c r="L215" s="13"/>
      <c r="M215" s="13"/>
      <c r="N215" s="13"/>
      <c r="O215" s="13"/>
      <c r="P215" s="13"/>
      <c r="Q215" s="13"/>
      <c r="R215" s="13"/>
      <c r="S215" s="13"/>
      <c r="T215" s="13"/>
      <c r="U215" s="13"/>
    </row>
    <row r="216" spans="1:21">
      <c r="A216" s="13"/>
      <c r="B216" s="46" t="s">
        <v>322</v>
      </c>
      <c r="C216" s="46">
        <v>280.52</v>
      </c>
      <c r="D216" s="49">
        <v>7.7999999999999996E-3</v>
      </c>
      <c r="E216" s="13"/>
      <c r="F216" s="13"/>
      <c r="G216" s="13"/>
      <c r="H216" s="46" t="s">
        <v>322</v>
      </c>
      <c r="I216" s="48">
        <v>22932.45</v>
      </c>
      <c r="J216" s="49">
        <v>-1.1000000000000001E-3</v>
      </c>
      <c r="K216" s="13"/>
      <c r="L216" s="13"/>
      <c r="M216" s="13"/>
      <c r="N216" s="13"/>
      <c r="O216" s="13"/>
      <c r="P216" s="13"/>
      <c r="Q216" s="13"/>
      <c r="R216" s="13"/>
      <c r="S216" s="13"/>
      <c r="T216" s="13"/>
      <c r="U216" s="13"/>
    </row>
    <row r="217" spans="1:21">
      <c r="A217" s="13"/>
      <c r="B217" s="46" t="s">
        <v>323</v>
      </c>
      <c r="C217" s="46">
        <v>278.33999999999997</v>
      </c>
      <c r="D217" s="49">
        <v>-1.6400000000000001E-2</v>
      </c>
      <c r="E217" s="13"/>
      <c r="F217" s="13"/>
      <c r="G217" s="13"/>
      <c r="H217" s="46" t="s">
        <v>323</v>
      </c>
      <c r="I217" s="48">
        <v>22957.1</v>
      </c>
      <c r="J217" s="49">
        <v>-5.0000000000000001E-4</v>
      </c>
      <c r="K217" s="13"/>
      <c r="L217" s="13"/>
      <c r="M217" s="13"/>
      <c r="N217" s="13"/>
      <c r="O217" s="13"/>
      <c r="P217" s="13"/>
      <c r="Q217" s="13"/>
      <c r="R217" s="13"/>
      <c r="S217" s="13"/>
      <c r="T217" s="13"/>
      <c r="U217" s="13"/>
    </row>
    <row r="218" spans="1:21">
      <c r="A218" s="13"/>
      <c r="B218" s="46" t="s">
        <v>324</v>
      </c>
      <c r="C218" s="46">
        <v>282.97000000000003</v>
      </c>
      <c r="D218" s="49">
        <v>-4.1999999999999997E-3</v>
      </c>
      <c r="E218" s="13"/>
      <c r="F218" s="13"/>
      <c r="G218" s="13"/>
      <c r="H218" s="46" t="s">
        <v>324</v>
      </c>
      <c r="I218" s="48">
        <v>22967.65</v>
      </c>
      <c r="J218" s="49">
        <v>1.6400000000000001E-2</v>
      </c>
      <c r="K218" s="13"/>
      <c r="L218" s="13"/>
      <c r="M218" s="13"/>
      <c r="N218" s="13"/>
      <c r="O218" s="13"/>
      <c r="P218" s="13"/>
      <c r="Q218" s="13"/>
      <c r="R218" s="13"/>
      <c r="S218" s="13"/>
      <c r="T218" s="13"/>
      <c r="U218" s="13"/>
    </row>
    <row r="219" spans="1:21">
      <c r="A219" s="13"/>
      <c r="B219" s="46" t="s">
        <v>325</v>
      </c>
      <c r="C219" s="46">
        <v>284.16000000000003</v>
      </c>
      <c r="D219" s="49">
        <v>2E-3</v>
      </c>
      <c r="E219" s="13"/>
      <c r="F219" s="13"/>
      <c r="G219" s="13"/>
      <c r="H219" s="46" t="s">
        <v>325</v>
      </c>
      <c r="I219" s="48">
        <v>22597.8</v>
      </c>
      <c r="J219" s="49">
        <v>3.0999999999999999E-3</v>
      </c>
      <c r="K219" s="13"/>
      <c r="L219" s="13"/>
      <c r="M219" s="13"/>
      <c r="N219" s="13"/>
      <c r="O219" s="13"/>
      <c r="P219" s="13"/>
      <c r="Q219" s="13"/>
      <c r="R219" s="13"/>
      <c r="S219" s="13"/>
      <c r="T219" s="13"/>
      <c r="U219" s="13"/>
    </row>
    <row r="220" spans="1:21">
      <c r="A220" s="13"/>
      <c r="B220" s="46" t="s">
        <v>326</v>
      </c>
      <c r="C220" s="46">
        <v>283.58</v>
      </c>
      <c r="D220" s="49">
        <v>2.4400000000000002E-2</v>
      </c>
      <c r="E220" s="13"/>
      <c r="F220" s="13"/>
      <c r="G220" s="13"/>
      <c r="H220" s="46" t="s">
        <v>326</v>
      </c>
      <c r="I220" s="48">
        <v>22529.05</v>
      </c>
      <c r="J220" s="49">
        <v>1.1999999999999999E-3</v>
      </c>
      <c r="K220" s="13"/>
      <c r="L220" s="13"/>
      <c r="M220" s="13"/>
      <c r="N220" s="13"/>
      <c r="O220" s="13"/>
      <c r="P220" s="13"/>
      <c r="Q220" s="13"/>
      <c r="R220" s="13"/>
      <c r="S220" s="13"/>
      <c r="T220" s="13"/>
      <c r="U220" s="13"/>
    </row>
    <row r="221" spans="1:21">
      <c r="A221" s="13"/>
      <c r="B221" s="46" t="s">
        <v>327</v>
      </c>
      <c r="C221" s="46">
        <v>276.83</v>
      </c>
      <c r="D221" s="49">
        <v>-3.5000000000000001E-3</v>
      </c>
      <c r="E221" s="13"/>
      <c r="F221" s="13"/>
      <c r="G221" s="13"/>
      <c r="H221" s="46" t="s">
        <v>327</v>
      </c>
      <c r="I221" s="48">
        <v>22502</v>
      </c>
      <c r="J221" s="49">
        <v>1.6000000000000001E-3</v>
      </c>
      <c r="K221" s="13"/>
      <c r="L221" s="13"/>
      <c r="M221" s="13"/>
      <c r="N221" s="13"/>
      <c r="O221" s="13"/>
      <c r="P221" s="13"/>
      <c r="Q221" s="13"/>
      <c r="R221" s="13"/>
      <c r="S221" s="13"/>
      <c r="T221" s="13"/>
      <c r="U221" s="13"/>
    </row>
    <row r="222" spans="1:21">
      <c r="A222" s="13"/>
      <c r="B222" s="46" t="s">
        <v>328</v>
      </c>
      <c r="C222" s="46">
        <v>277.79000000000002</v>
      </c>
      <c r="D222" s="49">
        <v>5.9999999999999995E-4</v>
      </c>
      <c r="E222" s="13"/>
      <c r="F222" s="13"/>
      <c r="G222" s="13"/>
      <c r="H222" s="46" t="s">
        <v>328</v>
      </c>
      <c r="I222" s="48">
        <v>22466.1</v>
      </c>
      <c r="J222" s="49">
        <v>2.8E-3</v>
      </c>
      <c r="K222" s="13"/>
      <c r="L222" s="13"/>
      <c r="M222" s="13"/>
      <c r="N222" s="13"/>
      <c r="O222" s="13"/>
      <c r="P222" s="13"/>
      <c r="Q222" s="13"/>
      <c r="R222" s="13"/>
      <c r="S222" s="13"/>
      <c r="T222" s="13"/>
      <c r="U222" s="13"/>
    </row>
    <row r="223" spans="1:21">
      <c r="A223" s="13"/>
      <c r="B223" s="46" t="s">
        <v>329</v>
      </c>
      <c r="C223" s="46">
        <v>277.62</v>
      </c>
      <c r="D223" s="49">
        <v>1.5800000000000002E-2</v>
      </c>
      <c r="E223" s="13"/>
      <c r="F223" s="13"/>
      <c r="G223" s="13"/>
      <c r="H223" s="46" t="s">
        <v>329</v>
      </c>
      <c r="I223" s="48">
        <v>22403.85</v>
      </c>
      <c r="J223" s="49">
        <v>9.1999999999999998E-3</v>
      </c>
      <c r="K223" s="13"/>
      <c r="L223" s="13"/>
      <c r="M223" s="13"/>
      <c r="N223" s="13"/>
      <c r="O223" s="13"/>
      <c r="P223" s="13"/>
      <c r="Q223" s="13"/>
      <c r="R223" s="13"/>
      <c r="S223" s="13"/>
      <c r="T223" s="13"/>
      <c r="U223" s="13"/>
    </row>
    <row r="224" spans="1:21">
      <c r="A224" s="13"/>
      <c r="B224" s="46" t="s">
        <v>330</v>
      </c>
      <c r="C224" s="46">
        <v>273.31</v>
      </c>
      <c r="D224" s="49">
        <v>-1.3100000000000001E-2</v>
      </c>
      <c r="E224" s="13"/>
      <c r="F224" s="13"/>
      <c r="G224" s="13"/>
      <c r="H224" s="46" t="s">
        <v>330</v>
      </c>
      <c r="I224" s="48">
        <v>22200.55</v>
      </c>
      <c r="J224" s="49">
        <v>-8.0000000000000004E-4</v>
      </c>
      <c r="K224" s="13"/>
      <c r="L224" s="13"/>
      <c r="M224" s="13"/>
      <c r="N224" s="13"/>
      <c r="O224" s="13"/>
      <c r="P224" s="13"/>
      <c r="Q224" s="13"/>
      <c r="R224" s="13"/>
      <c r="S224" s="13"/>
      <c r="T224" s="13"/>
      <c r="U224" s="13"/>
    </row>
    <row r="225" spans="1:21">
      <c r="A225" s="13"/>
      <c r="B225" s="46" t="s">
        <v>331</v>
      </c>
      <c r="C225" s="46">
        <v>276.94</v>
      </c>
      <c r="D225" s="49">
        <v>7.7999999999999996E-3</v>
      </c>
      <c r="E225" s="13"/>
      <c r="F225" s="13"/>
      <c r="G225" s="13"/>
      <c r="H225" s="46" t="s">
        <v>331</v>
      </c>
      <c r="I225" s="48">
        <v>22217.85</v>
      </c>
      <c r="J225" s="49">
        <v>5.1000000000000004E-3</v>
      </c>
      <c r="K225" s="13"/>
      <c r="L225" s="13"/>
      <c r="M225" s="13"/>
      <c r="N225" s="13"/>
      <c r="O225" s="13"/>
      <c r="P225" s="13"/>
      <c r="Q225" s="13"/>
      <c r="R225" s="13"/>
      <c r="S225" s="13"/>
      <c r="T225" s="13"/>
      <c r="U225" s="13"/>
    </row>
    <row r="226" spans="1:21">
      <c r="A226" s="13"/>
      <c r="B226" s="46" t="s">
        <v>332</v>
      </c>
      <c r="C226" s="46">
        <v>274.81</v>
      </c>
      <c r="D226" s="49">
        <v>-3.1699999999999999E-2</v>
      </c>
      <c r="E226" s="13"/>
      <c r="F226" s="13"/>
      <c r="G226" s="13"/>
      <c r="H226" s="46" t="s">
        <v>332</v>
      </c>
      <c r="I226" s="48">
        <v>22104.05</v>
      </c>
      <c r="J226" s="49">
        <v>2.2000000000000001E-3</v>
      </c>
      <c r="K226" s="13"/>
      <c r="L226" s="13"/>
      <c r="M226" s="13"/>
      <c r="N226" s="13"/>
      <c r="O226" s="13"/>
      <c r="P226" s="13"/>
      <c r="Q226" s="13"/>
      <c r="R226" s="13"/>
      <c r="S226" s="13"/>
      <c r="T226" s="13"/>
      <c r="U226" s="13"/>
    </row>
    <row r="227" spans="1:21">
      <c r="A227" s="13"/>
      <c r="B227" s="47">
        <v>45570</v>
      </c>
      <c r="C227" s="46">
        <v>283.81</v>
      </c>
      <c r="D227" s="49">
        <v>3.49E-2</v>
      </c>
      <c r="E227" s="13"/>
      <c r="F227" s="13"/>
      <c r="G227" s="13"/>
      <c r="H227" s="47">
        <v>45570</v>
      </c>
      <c r="I227" s="48">
        <v>22055.200000000001</v>
      </c>
      <c r="J227" s="49">
        <v>4.4000000000000003E-3</v>
      </c>
      <c r="K227" s="13"/>
      <c r="L227" s="13"/>
      <c r="M227" s="13"/>
      <c r="N227" s="13"/>
      <c r="O227" s="13"/>
      <c r="P227" s="13"/>
      <c r="Q227" s="13"/>
      <c r="R227" s="13"/>
      <c r="S227" s="13"/>
      <c r="T227" s="13"/>
      <c r="U227" s="13"/>
    </row>
    <row r="228" spans="1:21">
      <c r="A228" s="13"/>
      <c r="B228" s="47">
        <v>45540</v>
      </c>
      <c r="C228" s="46">
        <v>274.23</v>
      </c>
      <c r="D228" s="49">
        <v>-2.4799999999999999E-2</v>
      </c>
      <c r="E228" s="13"/>
      <c r="F228" s="13"/>
      <c r="G228" s="13"/>
      <c r="H228" s="47">
        <v>45540</v>
      </c>
      <c r="I228" s="48">
        <v>21957.5</v>
      </c>
      <c r="J228" s="49">
        <v>-1.55E-2</v>
      </c>
      <c r="K228" s="13"/>
      <c r="L228" s="13"/>
      <c r="M228" s="13"/>
      <c r="N228" s="13"/>
      <c r="O228" s="13"/>
      <c r="P228" s="13"/>
      <c r="Q228" s="13"/>
      <c r="R228" s="13"/>
      <c r="S228" s="13"/>
      <c r="T228" s="13"/>
      <c r="U228" s="13"/>
    </row>
    <row r="229" spans="1:21">
      <c r="A229" s="13"/>
      <c r="B229" s="47">
        <v>45509</v>
      </c>
      <c r="C229" s="46">
        <v>281.19</v>
      </c>
      <c r="D229" s="49">
        <v>-5.5999999999999999E-3</v>
      </c>
      <c r="E229" s="13"/>
      <c r="F229" s="13"/>
      <c r="G229" s="13"/>
      <c r="H229" s="47">
        <v>45509</v>
      </c>
      <c r="I229" s="48">
        <v>22302.5</v>
      </c>
      <c r="J229" s="49">
        <v>0</v>
      </c>
      <c r="K229" s="13"/>
      <c r="L229" s="13"/>
      <c r="M229" s="13"/>
      <c r="N229" s="13"/>
      <c r="O229" s="13"/>
      <c r="P229" s="13"/>
      <c r="Q229" s="13"/>
      <c r="R229" s="13"/>
      <c r="S229" s="13"/>
      <c r="T229" s="13"/>
      <c r="U229" s="13"/>
    </row>
    <row r="230" spans="1:21">
      <c r="A230" s="13"/>
      <c r="B230" s="47">
        <v>45478</v>
      </c>
      <c r="C230" s="46">
        <v>282.77999999999997</v>
      </c>
      <c r="D230" s="49">
        <v>1.5900000000000001E-2</v>
      </c>
      <c r="E230" s="13"/>
      <c r="F230" s="13"/>
      <c r="G230" s="13"/>
      <c r="H230" s="47">
        <v>45478</v>
      </c>
      <c r="I230" s="48">
        <v>22302.5</v>
      </c>
      <c r="J230" s="49">
        <v>-6.1999999999999998E-3</v>
      </c>
      <c r="K230" s="13"/>
      <c r="L230" s="13"/>
      <c r="M230" s="13"/>
      <c r="N230" s="13"/>
      <c r="O230" s="13"/>
      <c r="P230" s="13"/>
      <c r="Q230" s="13"/>
      <c r="R230" s="13"/>
      <c r="S230" s="13"/>
      <c r="T230" s="13"/>
      <c r="U230" s="13"/>
    </row>
    <row r="231" spans="1:21">
      <c r="A231" s="13"/>
      <c r="B231" s="47">
        <v>45448</v>
      </c>
      <c r="C231" s="46">
        <v>278.35000000000002</v>
      </c>
      <c r="D231" s="49">
        <v>-1.4800000000000001E-2</v>
      </c>
      <c r="E231" s="13"/>
      <c r="F231" s="13"/>
      <c r="G231" s="13"/>
      <c r="H231" s="47">
        <v>45448</v>
      </c>
      <c r="I231" s="48">
        <v>22442.7</v>
      </c>
      <c r="J231" s="49">
        <v>-1.5E-3</v>
      </c>
      <c r="K231" s="13"/>
      <c r="L231" s="13"/>
      <c r="M231" s="13"/>
      <c r="N231" s="13"/>
      <c r="O231" s="13"/>
      <c r="P231" s="13"/>
      <c r="Q231" s="13"/>
      <c r="R231" s="13"/>
      <c r="S231" s="13"/>
      <c r="T231" s="13"/>
      <c r="U231" s="13"/>
    </row>
    <row r="232" spans="1:21">
      <c r="A232" s="13"/>
      <c r="B232" s="47">
        <v>45356</v>
      </c>
      <c r="C232" s="46">
        <v>282.52</v>
      </c>
      <c r="D232" s="49">
        <v>4.1000000000000003E-3</v>
      </c>
      <c r="E232" s="13"/>
      <c r="F232" s="13"/>
      <c r="G232" s="13"/>
      <c r="H232" s="47">
        <v>45356</v>
      </c>
      <c r="I232" s="48">
        <v>22475.85</v>
      </c>
      <c r="J232" s="49">
        <v>-7.6E-3</v>
      </c>
      <c r="K232" s="13"/>
      <c r="L232" s="13"/>
      <c r="M232" s="13"/>
      <c r="N232" s="13"/>
      <c r="O232" s="13"/>
      <c r="P232" s="13"/>
      <c r="Q232" s="13"/>
      <c r="R232" s="13"/>
      <c r="S232" s="13"/>
      <c r="T232" s="13"/>
      <c r="U232" s="13"/>
    </row>
    <row r="233" spans="1:21">
      <c r="A233" s="13"/>
      <c r="B233" s="47">
        <v>45327</v>
      </c>
      <c r="C233" s="46">
        <v>281.38</v>
      </c>
      <c r="D233" s="49">
        <v>-1.21E-2</v>
      </c>
      <c r="E233" s="13"/>
      <c r="F233" s="13"/>
      <c r="G233" s="13"/>
      <c r="H233" s="47">
        <v>45327</v>
      </c>
      <c r="I233" s="48">
        <v>22648.2</v>
      </c>
      <c r="J233" s="49">
        <v>1.9E-3</v>
      </c>
      <c r="K233" s="13"/>
      <c r="L233" s="13"/>
      <c r="M233" s="13"/>
      <c r="N233" s="13"/>
      <c r="O233" s="13"/>
      <c r="P233" s="13"/>
      <c r="Q233" s="13"/>
      <c r="R233" s="13"/>
      <c r="S233" s="13"/>
      <c r="T233" s="13"/>
      <c r="U233" s="13"/>
    </row>
    <row r="234" spans="1:21">
      <c r="A234" s="13"/>
      <c r="B234" s="46" t="s">
        <v>333</v>
      </c>
      <c r="C234" s="46">
        <v>284.83</v>
      </c>
      <c r="D234" s="49">
        <v>5.1799999999999999E-2</v>
      </c>
      <c r="E234" s="13"/>
      <c r="F234" s="13"/>
      <c r="G234" s="13"/>
      <c r="H234" s="46" t="s">
        <v>333</v>
      </c>
      <c r="I234" s="48">
        <v>22604.85</v>
      </c>
      <c r="J234" s="49">
        <v>-1.6999999999999999E-3</v>
      </c>
      <c r="K234" s="13"/>
      <c r="L234" s="13"/>
      <c r="M234" s="13"/>
      <c r="N234" s="13"/>
      <c r="O234" s="13"/>
      <c r="P234" s="13"/>
      <c r="Q234" s="13"/>
      <c r="R234" s="13"/>
      <c r="S234" s="13"/>
      <c r="T234" s="13"/>
      <c r="U234" s="13"/>
    </row>
    <row r="235" spans="1:21">
      <c r="A235" s="13"/>
      <c r="B235" s="46" t="s">
        <v>334</v>
      </c>
      <c r="C235" s="46">
        <v>270.8</v>
      </c>
      <c r="D235" s="49">
        <v>-2.0999999999999999E-3</v>
      </c>
      <c r="E235" s="13"/>
      <c r="F235" s="13"/>
      <c r="G235" s="13"/>
      <c r="H235" s="46" t="s">
        <v>334</v>
      </c>
      <c r="I235" s="48">
        <v>22643.4</v>
      </c>
      <c r="J235" s="49">
        <v>0.01</v>
      </c>
      <c r="K235" s="13"/>
      <c r="L235" s="13"/>
      <c r="M235" s="13"/>
      <c r="N235" s="13"/>
      <c r="O235" s="13"/>
      <c r="P235" s="13"/>
      <c r="Q235" s="13"/>
      <c r="R235" s="13"/>
      <c r="S235" s="13"/>
      <c r="T235" s="13"/>
      <c r="U235" s="13"/>
    </row>
    <row r="236" spans="1:21">
      <c r="A236" s="13"/>
      <c r="B236" s="46" t="s">
        <v>335</v>
      </c>
      <c r="C236" s="46">
        <v>271.38</v>
      </c>
      <c r="D236" s="49">
        <v>-1.6299999999999999E-2</v>
      </c>
      <c r="E236" s="13"/>
      <c r="F236" s="13"/>
      <c r="G236" s="13"/>
      <c r="H236" s="46" t="s">
        <v>335</v>
      </c>
      <c r="I236" s="48">
        <v>22419.95</v>
      </c>
      <c r="J236" s="49">
        <v>-6.7000000000000002E-3</v>
      </c>
      <c r="K236" s="13"/>
      <c r="L236" s="13"/>
      <c r="M236" s="13"/>
      <c r="N236" s="13"/>
      <c r="O236" s="13"/>
      <c r="P236" s="13"/>
      <c r="Q236" s="13"/>
      <c r="R236" s="13"/>
      <c r="S236" s="13"/>
      <c r="T236" s="13"/>
      <c r="U236" s="13"/>
    </row>
    <row r="237" spans="1:21">
      <c r="A237" s="13"/>
      <c r="B237" s="46" t="s">
        <v>336</v>
      </c>
      <c r="C237" s="46">
        <v>275.88</v>
      </c>
      <c r="D237" s="49">
        <v>-1.37E-2</v>
      </c>
      <c r="E237" s="13"/>
      <c r="F237" s="13"/>
      <c r="G237" s="13"/>
      <c r="H237" s="46" t="s">
        <v>336</v>
      </c>
      <c r="I237" s="48">
        <v>22570.35</v>
      </c>
      <c r="J237" s="49">
        <v>7.4999999999999997E-3</v>
      </c>
      <c r="K237" s="13"/>
      <c r="L237" s="13"/>
      <c r="M237" s="13"/>
      <c r="N237" s="13"/>
      <c r="O237" s="13"/>
      <c r="P237" s="13"/>
      <c r="Q237" s="13"/>
      <c r="R237" s="13"/>
      <c r="S237" s="13"/>
      <c r="T237" s="13"/>
      <c r="U237" s="13"/>
    </row>
    <row r="238" spans="1:21">
      <c r="A238" s="13"/>
      <c r="B238" s="46" t="s">
        <v>337</v>
      </c>
      <c r="C238" s="46">
        <v>279.72000000000003</v>
      </c>
      <c r="D238" s="49">
        <v>-1.0200000000000001E-2</v>
      </c>
      <c r="E238" s="13"/>
      <c r="F238" s="13"/>
      <c r="G238" s="13"/>
      <c r="H238" s="46" t="s">
        <v>337</v>
      </c>
      <c r="I238" s="48">
        <v>22402.400000000001</v>
      </c>
      <c r="J238" s="49">
        <v>1.5E-3</v>
      </c>
      <c r="K238" s="13"/>
      <c r="L238" s="13"/>
      <c r="M238" s="13"/>
      <c r="N238" s="13"/>
      <c r="O238" s="13"/>
      <c r="P238" s="13"/>
      <c r="Q238" s="13"/>
      <c r="R238" s="13"/>
      <c r="S238" s="13"/>
      <c r="T238" s="13"/>
      <c r="U238" s="13"/>
    </row>
    <row r="239" spans="1:21">
      <c r="A239" s="13"/>
      <c r="B239" s="46" t="s">
        <v>338</v>
      </c>
      <c r="C239" s="46">
        <v>282.61</v>
      </c>
      <c r="D239" s="49">
        <v>-4.5199999999999997E-2</v>
      </c>
      <c r="E239" s="13"/>
      <c r="F239" s="13"/>
      <c r="G239" s="13"/>
      <c r="H239" s="46" t="s">
        <v>338</v>
      </c>
      <c r="I239" s="48">
        <v>22368</v>
      </c>
      <c r="J239" s="49">
        <v>1.4E-3</v>
      </c>
      <c r="K239" s="13"/>
      <c r="L239" s="13"/>
      <c r="M239" s="13"/>
      <c r="N239" s="13"/>
      <c r="O239" s="13"/>
      <c r="P239" s="13"/>
      <c r="Q239" s="13"/>
      <c r="R239" s="13"/>
      <c r="S239" s="13"/>
      <c r="T239" s="13"/>
      <c r="U239" s="13"/>
    </row>
    <row r="240" spans="1:21">
      <c r="A240" s="13"/>
      <c r="B240" s="46" t="s">
        <v>339</v>
      </c>
      <c r="C240" s="46">
        <v>296</v>
      </c>
      <c r="D240" s="49">
        <v>1.4E-3</v>
      </c>
      <c r="E240" s="13"/>
      <c r="F240" s="13"/>
      <c r="G240" s="13"/>
      <c r="H240" s="46" t="s">
        <v>339</v>
      </c>
      <c r="I240" s="48">
        <v>22336.400000000001</v>
      </c>
      <c r="J240" s="49">
        <v>8.6E-3</v>
      </c>
      <c r="K240" s="13"/>
      <c r="L240" s="13"/>
      <c r="M240" s="13"/>
      <c r="N240" s="13"/>
      <c r="O240" s="13"/>
      <c r="P240" s="13"/>
      <c r="Q240" s="13"/>
      <c r="R240" s="13"/>
      <c r="S240" s="13"/>
      <c r="T240" s="13"/>
      <c r="U240" s="13"/>
    </row>
    <row r="241" spans="1:21">
      <c r="A241" s="13"/>
      <c r="B241" s="46" t="s">
        <v>340</v>
      </c>
      <c r="C241" s="46">
        <v>295.58999999999997</v>
      </c>
      <c r="D241" s="49">
        <v>-1.3899999999999999E-2</v>
      </c>
      <c r="E241" s="13"/>
      <c r="F241" s="13"/>
      <c r="G241" s="13"/>
      <c r="H241" s="46" t="s">
        <v>340</v>
      </c>
      <c r="I241" s="48">
        <v>22147</v>
      </c>
      <c r="J241" s="49">
        <v>6.8999999999999999E-3</v>
      </c>
      <c r="K241" s="13"/>
      <c r="L241" s="13"/>
      <c r="M241" s="13"/>
      <c r="N241" s="13"/>
      <c r="O241" s="13"/>
      <c r="P241" s="13"/>
      <c r="Q241" s="13"/>
      <c r="R241" s="13"/>
      <c r="S241" s="13"/>
      <c r="T241" s="13"/>
      <c r="U241" s="13"/>
    </row>
    <row r="242" spans="1:21">
      <c r="A242" s="13"/>
      <c r="B242" s="46" t="s">
        <v>341</v>
      </c>
      <c r="C242" s="46">
        <v>299.77</v>
      </c>
      <c r="D242" s="49">
        <v>0</v>
      </c>
      <c r="E242" s="13"/>
      <c r="F242" s="13"/>
      <c r="G242" s="13"/>
      <c r="H242" s="46" t="s">
        <v>341</v>
      </c>
      <c r="I242" s="48">
        <v>21995.85</v>
      </c>
      <c r="J242" s="49">
        <v>-6.8999999999999999E-3</v>
      </c>
      <c r="K242" s="13"/>
      <c r="L242" s="13"/>
      <c r="M242" s="13"/>
      <c r="N242" s="13"/>
      <c r="O242" s="13"/>
      <c r="P242" s="13"/>
      <c r="Q242" s="13"/>
      <c r="R242" s="13"/>
      <c r="S242" s="13"/>
      <c r="T242" s="13"/>
      <c r="U242" s="13"/>
    </row>
    <row r="243" spans="1:21">
      <c r="A243" s="13"/>
      <c r="B243" s="46" t="s">
        <v>342</v>
      </c>
      <c r="C243" s="46">
        <v>299.77</v>
      </c>
      <c r="D243" s="49">
        <v>1.8E-3</v>
      </c>
      <c r="E243" s="13"/>
      <c r="F243" s="13"/>
      <c r="G243" s="13"/>
      <c r="H243" s="46" t="s">
        <v>342</v>
      </c>
      <c r="I243" s="48">
        <v>22147.9</v>
      </c>
      <c r="J243" s="49">
        <v>-5.5999999999999999E-3</v>
      </c>
      <c r="K243" s="13"/>
      <c r="L243" s="13"/>
      <c r="M243" s="13"/>
      <c r="N243" s="13"/>
      <c r="O243" s="13"/>
      <c r="P243" s="13"/>
      <c r="Q243" s="13"/>
      <c r="R243" s="13"/>
      <c r="S243" s="13"/>
      <c r="T243" s="13"/>
      <c r="U243" s="13"/>
    </row>
    <row r="244" spans="1:21">
      <c r="A244" s="13"/>
      <c r="B244" s="46" t="s">
        <v>343</v>
      </c>
      <c r="C244" s="46">
        <v>299.23</v>
      </c>
      <c r="D244" s="49">
        <v>-4.4499999999999998E-2</v>
      </c>
      <c r="E244" s="13"/>
      <c r="F244" s="13"/>
      <c r="G244" s="13"/>
      <c r="H244" s="46" t="s">
        <v>343</v>
      </c>
      <c r="I244" s="48">
        <v>22272.5</v>
      </c>
      <c r="J244" s="49">
        <v>-1.0999999999999999E-2</v>
      </c>
      <c r="K244" s="13"/>
      <c r="L244" s="13"/>
      <c r="M244" s="13"/>
      <c r="N244" s="13"/>
      <c r="O244" s="13"/>
      <c r="P244" s="13"/>
      <c r="Q244" s="13"/>
      <c r="R244" s="13"/>
      <c r="S244" s="13"/>
      <c r="T244" s="13"/>
      <c r="U244" s="13"/>
    </row>
    <row r="245" spans="1:21">
      <c r="A245" s="13"/>
      <c r="B245" s="47">
        <v>45630</v>
      </c>
      <c r="C245" s="46">
        <v>313.14999999999998</v>
      </c>
      <c r="D245" s="49">
        <v>3.32E-2</v>
      </c>
      <c r="E245" s="13"/>
      <c r="F245" s="13"/>
      <c r="G245" s="13"/>
      <c r="H245" s="47">
        <v>45630</v>
      </c>
      <c r="I245" s="48">
        <v>22519.4</v>
      </c>
      <c r="J245" s="49">
        <v>-1.03E-2</v>
      </c>
      <c r="K245" s="13"/>
      <c r="L245" s="13"/>
      <c r="M245" s="13"/>
      <c r="N245" s="13"/>
      <c r="O245" s="13"/>
      <c r="P245" s="13"/>
      <c r="Q245" s="13"/>
      <c r="R245" s="13"/>
      <c r="S245" s="13"/>
      <c r="T245" s="13"/>
      <c r="U245" s="13"/>
    </row>
    <row r="246" spans="1:21">
      <c r="A246" s="13"/>
      <c r="B246" s="47">
        <v>45569</v>
      </c>
      <c r="C246" s="46">
        <v>303.08</v>
      </c>
      <c r="D246" s="49">
        <v>-6.4999999999999997E-3</v>
      </c>
      <c r="E246" s="13"/>
      <c r="F246" s="13"/>
      <c r="G246" s="13"/>
      <c r="H246" s="47">
        <v>45569</v>
      </c>
      <c r="I246" s="48">
        <v>22753.8</v>
      </c>
      <c r="J246" s="49">
        <v>4.8999999999999998E-3</v>
      </c>
      <c r="K246" s="13"/>
      <c r="L246" s="13"/>
      <c r="M246" s="13"/>
      <c r="N246" s="13"/>
      <c r="O246" s="13"/>
      <c r="P246" s="13"/>
      <c r="Q246" s="13"/>
      <c r="R246" s="13"/>
      <c r="S246" s="13"/>
      <c r="T246" s="13"/>
      <c r="U246" s="13"/>
    </row>
    <row r="247" spans="1:21">
      <c r="A247" s="13"/>
      <c r="B247" s="47">
        <v>45539</v>
      </c>
      <c r="C247" s="46">
        <v>305.07</v>
      </c>
      <c r="D247" s="49">
        <v>6.4999999999999997E-3</v>
      </c>
      <c r="E247" s="13"/>
      <c r="F247" s="13"/>
      <c r="G247" s="13"/>
      <c r="H247" s="47">
        <v>45539</v>
      </c>
      <c r="I247" s="48">
        <v>22642.75</v>
      </c>
      <c r="J247" s="49">
        <v>-1E-3</v>
      </c>
      <c r="K247" s="13"/>
      <c r="L247" s="13"/>
      <c r="M247" s="13"/>
      <c r="N247" s="13"/>
      <c r="O247" s="13"/>
      <c r="P247" s="13"/>
      <c r="Q247" s="13"/>
      <c r="R247" s="13"/>
      <c r="S247" s="13"/>
      <c r="T247" s="13"/>
      <c r="U247" s="13"/>
    </row>
    <row r="248" spans="1:21">
      <c r="A248" s="13"/>
      <c r="B248" s="47">
        <v>45508</v>
      </c>
      <c r="C248" s="46">
        <v>303.10000000000002</v>
      </c>
      <c r="D248" s="49">
        <v>-4.1999999999999997E-3</v>
      </c>
      <c r="E248" s="13"/>
      <c r="F248" s="13"/>
      <c r="G248" s="13"/>
      <c r="H248" s="47">
        <v>45508</v>
      </c>
      <c r="I248" s="48">
        <v>22666.3</v>
      </c>
      <c r="J248" s="49">
        <v>6.7999999999999996E-3</v>
      </c>
      <c r="K248" s="13"/>
      <c r="L248" s="13"/>
      <c r="M248" s="13"/>
      <c r="N248" s="13"/>
      <c r="O248" s="13"/>
      <c r="P248" s="13"/>
      <c r="Q248" s="13"/>
      <c r="R248" s="13"/>
      <c r="S248" s="13"/>
      <c r="T248" s="13"/>
      <c r="U248" s="13"/>
    </row>
    <row r="249" spans="1:21">
      <c r="A249" s="13"/>
      <c r="B249" s="47">
        <v>45416</v>
      </c>
      <c r="C249" s="46">
        <v>304.37</v>
      </c>
      <c r="D249" s="49">
        <v>2.0799999999999999E-2</v>
      </c>
      <c r="E249" s="13"/>
      <c r="F249" s="13"/>
      <c r="G249" s="13"/>
      <c r="H249" s="47">
        <v>45416</v>
      </c>
      <c r="I249" s="48">
        <v>22513.7</v>
      </c>
      <c r="J249" s="49">
        <v>0</v>
      </c>
      <c r="K249" s="13"/>
      <c r="L249" s="13"/>
      <c r="M249" s="13"/>
      <c r="N249" s="13"/>
      <c r="O249" s="13"/>
      <c r="P249" s="13"/>
      <c r="Q249" s="13"/>
      <c r="R249" s="13"/>
      <c r="S249" s="13"/>
      <c r="T249" s="13"/>
      <c r="U249" s="13"/>
    </row>
    <row r="250" spans="1:21">
      <c r="A250" s="13"/>
      <c r="B250" s="47">
        <v>45386</v>
      </c>
      <c r="C250" s="46">
        <v>298.17</v>
      </c>
      <c r="D250" s="49">
        <v>-1.2200000000000001E-2</v>
      </c>
      <c r="E250" s="13"/>
      <c r="F250" s="13"/>
      <c r="G250" s="13"/>
      <c r="H250" s="47">
        <v>45386</v>
      </c>
      <c r="I250" s="48">
        <v>22514.65</v>
      </c>
      <c r="J250" s="49">
        <v>3.5999999999999999E-3</v>
      </c>
      <c r="K250" s="13"/>
      <c r="L250" s="13"/>
      <c r="M250" s="13"/>
      <c r="N250" s="13"/>
      <c r="O250" s="13"/>
      <c r="P250" s="13"/>
      <c r="Q250" s="13"/>
      <c r="R250" s="13"/>
      <c r="S250" s="13"/>
      <c r="T250" s="13"/>
      <c r="U250" s="13"/>
    </row>
    <row r="251" spans="1:21">
      <c r="A251" s="13"/>
      <c r="B251" s="47">
        <v>45355</v>
      </c>
      <c r="C251" s="46">
        <v>301.85000000000002</v>
      </c>
      <c r="D251" s="49">
        <v>-3.09E-2</v>
      </c>
      <c r="E251" s="13"/>
      <c r="F251" s="13"/>
      <c r="G251" s="13"/>
      <c r="H251" s="47">
        <v>45355</v>
      </c>
      <c r="I251" s="48">
        <v>22434.65</v>
      </c>
      <c r="J251" s="49">
        <v>-8.0000000000000004E-4</v>
      </c>
      <c r="K251" s="13"/>
      <c r="L251" s="13"/>
      <c r="M251" s="13"/>
      <c r="N251" s="13"/>
      <c r="O251" s="13"/>
      <c r="P251" s="13"/>
      <c r="Q251" s="13"/>
      <c r="R251" s="13"/>
      <c r="S251" s="13"/>
      <c r="T251" s="13"/>
      <c r="U251" s="13"/>
    </row>
    <row r="252" spans="1:21">
      <c r="A252" s="13"/>
      <c r="B252" s="47">
        <v>45326</v>
      </c>
      <c r="C252" s="46">
        <v>311.47000000000003</v>
      </c>
      <c r="D252" s="49">
        <v>-2.5700000000000001E-2</v>
      </c>
      <c r="E252" s="13"/>
      <c r="F252" s="13"/>
      <c r="G252" s="13"/>
      <c r="H252" s="47">
        <v>45326</v>
      </c>
      <c r="I252" s="48">
        <v>22453.3</v>
      </c>
      <c r="J252" s="49">
        <v>-4.0000000000000002E-4</v>
      </c>
      <c r="K252" s="13"/>
      <c r="L252" s="13"/>
      <c r="M252" s="13"/>
      <c r="N252" s="13"/>
      <c r="O252" s="13"/>
      <c r="P252" s="13"/>
      <c r="Q252" s="13"/>
      <c r="R252" s="13"/>
      <c r="S252" s="13"/>
      <c r="T252" s="13"/>
      <c r="U252" s="13"/>
    </row>
    <row r="253" spans="1:21">
      <c r="A253" s="13"/>
      <c r="B253" s="47">
        <v>45295</v>
      </c>
      <c r="C253" s="46">
        <v>319.67</v>
      </c>
      <c r="D253" s="49">
        <v>1.83E-2</v>
      </c>
      <c r="E253" s="13"/>
      <c r="F253" s="13"/>
      <c r="G253" s="13"/>
      <c r="H253" s="47">
        <v>45295</v>
      </c>
      <c r="I253" s="48">
        <v>22462</v>
      </c>
      <c r="J253" s="49">
        <v>6.1000000000000004E-3</v>
      </c>
      <c r="K253" s="13"/>
      <c r="L253" s="13"/>
      <c r="M253" s="13"/>
      <c r="N253" s="13"/>
      <c r="O253" s="13"/>
      <c r="P253" s="13"/>
      <c r="Q253" s="13"/>
      <c r="R253" s="13"/>
      <c r="S253" s="13"/>
      <c r="T253" s="13"/>
      <c r="U253" s="13"/>
    </row>
  </sheetData>
  <mergeCells count="2">
    <mergeCell ref="B3:D3"/>
    <mergeCell ref="AU3:AW3"/>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EBA26-7522-4B27-93A5-EC0BBB627F54}">
  <dimension ref="A1:BQ268"/>
  <sheetViews>
    <sheetView workbookViewId="0">
      <selection activeCell="C6" sqref="C6"/>
    </sheetView>
  </sheetViews>
  <sheetFormatPr defaultRowHeight="15"/>
  <cols>
    <col min="2" max="2" width="12.85546875" customWidth="1"/>
    <col min="8" max="8" width="15" customWidth="1"/>
    <col min="9" max="9" width="11.85546875" customWidth="1"/>
    <col min="10" max="10" width="11.140625" customWidth="1"/>
    <col min="13" max="13" width="9.28515625" customWidth="1"/>
    <col min="14" max="14" width="9.7109375" customWidth="1"/>
    <col min="15" max="15" width="15" customWidth="1"/>
    <col min="16" max="16" width="11.42578125" customWidth="1"/>
    <col min="26" max="26" width="12.7109375" customWidth="1"/>
    <col min="32" max="32" width="13" customWidth="1"/>
    <col min="50" max="50" width="12.42578125" customWidth="1"/>
    <col min="56" max="56" width="13.140625" customWidth="1"/>
  </cols>
  <sheetData>
    <row r="1" spans="1:69" ht="16.5" customHeight="1">
      <c r="A1" s="13"/>
      <c r="B1" s="13"/>
      <c r="C1" s="13"/>
      <c r="D1" s="13"/>
      <c r="E1" s="13"/>
      <c r="F1" s="13"/>
      <c r="G1" s="13"/>
      <c r="H1" s="13"/>
      <c r="I1" s="13"/>
      <c r="J1" s="13"/>
      <c r="K1" s="52"/>
      <c r="L1" s="53"/>
      <c r="M1" s="13"/>
      <c r="N1" s="13"/>
      <c r="O1" s="13"/>
      <c r="P1" s="13"/>
      <c r="Q1" s="13"/>
      <c r="R1" s="13"/>
      <c r="S1" s="13"/>
      <c r="T1" s="13"/>
      <c r="U1" s="13"/>
      <c r="V1" s="13"/>
      <c r="W1" s="13"/>
      <c r="X1" s="13"/>
      <c r="Y1" s="13"/>
    </row>
    <row r="2" spans="1:69">
      <c r="A2" s="58" t="s">
        <v>125</v>
      </c>
      <c r="B2" s="51" t="s">
        <v>344</v>
      </c>
      <c r="C2" s="13"/>
      <c r="D2" s="13"/>
      <c r="E2" s="13"/>
      <c r="F2" s="13"/>
      <c r="G2" s="13"/>
      <c r="H2" s="13"/>
      <c r="I2" s="13"/>
      <c r="J2" s="13"/>
      <c r="K2" s="13"/>
      <c r="L2" s="13"/>
      <c r="M2" s="13"/>
      <c r="N2" s="13"/>
      <c r="O2" s="13"/>
      <c r="P2" s="13"/>
      <c r="Q2" s="13"/>
      <c r="R2" s="13"/>
      <c r="S2" s="13"/>
      <c r="T2" s="13"/>
      <c r="U2" s="13"/>
      <c r="V2" s="13"/>
      <c r="W2" s="13"/>
      <c r="X2" s="13"/>
      <c r="Y2" s="58" t="s">
        <v>127</v>
      </c>
      <c r="Z2" s="60" t="s">
        <v>345</v>
      </c>
      <c r="AW2" s="59" t="s">
        <v>129</v>
      </c>
      <c r="AX2" s="60" t="s">
        <v>130</v>
      </c>
    </row>
    <row r="3" spans="1:69" ht="18.75">
      <c r="A3" s="13"/>
      <c r="B3" s="110" t="s">
        <v>131</v>
      </c>
      <c r="C3" s="110"/>
      <c r="D3" s="110"/>
      <c r="E3" s="13"/>
      <c r="F3" s="13"/>
      <c r="G3" s="13"/>
      <c r="H3" s="13"/>
      <c r="I3" s="96" t="s">
        <v>132</v>
      </c>
      <c r="J3" s="13"/>
      <c r="K3" s="13"/>
      <c r="L3" s="13"/>
      <c r="M3" s="13"/>
      <c r="N3" s="13"/>
      <c r="O3" s="13"/>
      <c r="P3" s="13"/>
      <c r="Q3" s="13"/>
      <c r="R3" s="13"/>
      <c r="S3" s="13"/>
      <c r="T3" s="13"/>
      <c r="U3" s="13"/>
      <c r="V3" s="13"/>
      <c r="W3" s="13"/>
      <c r="X3" s="13"/>
      <c r="Y3" s="13"/>
      <c r="Z3" s="111" t="s">
        <v>131</v>
      </c>
      <c r="AA3" s="111"/>
      <c r="AB3" s="111"/>
      <c r="AC3" s="13"/>
      <c r="AD3" s="13"/>
      <c r="AE3" s="13"/>
      <c r="AF3" s="13"/>
      <c r="AG3" s="96" t="s">
        <v>132</v>
      </c>
      <c r="AH3" s="40"/>
      <c r="AI3" s="13"/>
      <c r="AJ3" s="13"/>
      <c r="AK3" s="13"/>
      <c r="AL3" s="13"/>
      <c r="AM3" s="13"/>
      <c r="AN3" s="13"/>
      <c r="AO3" s="13"/>
      <c r="AP3" s="13"/>
      <c r="AQ3" s="13"/>
      <c r="AR3" s="13"/>
      <c r="AS3" s="13"/>
      <c r="AT3" s="13"/>
      <c r="AX3" s="111" t="s">
        <v>131</v>
      </c>
      <c r="AY3" s="111"/>
      <c r="AZ3" s="111"/>
      <c r="BA3" s="13"/>
      <c r="BB3" s="13"/>
      <c r="BC3" s="13"/>
      <c r="BD3" s="13"/>
      <c r="BE3" s="96" t="s">
        <v>132</v>
      </c>
      <c r="BF3" s="40"/>
      <c r="BG3" s="13"/>
      <c r="BH3" s="13"/>
      <c r="BI3" s="13"/>
      <c r="BJ3" s="13"/>
      <c r="BK3" s="13"/>
      <c r="BL3" s="13"/>
      <c r="BM3" s="13"/>
      <c r="BN3" s="13"/>
      <c r="BO3" s="13"/>
      <c r="BP3" s="13"/>
      <c r="BQ3" s="13"/>
    </row>
    <row r="4" spans="1:69" ht="15.75">
      <c r="A4" s="13"/>
      <c r="B4" s="50" t="s">
        <v>133</v>
      </c>
      <c r="C4" s="41" t="s">
        <v>134</v>
      </c>
      <c r="D4" s="41" t="s">
        <v>135</v>
      </c>
      <c r="E4" s="13"/>
      <c r="F4" s="13"/>
      <c r="G4" s="13"/>
      <c r="H4" s="50" t="s">
        <v>133</v>
      </c>
      <c r="I4" s="50" t="s">
        <v>134</v>
      </c>
      <c r="J4" s="50" t="s">
        <v>136</v>
      </c>
      <c r="K4" s="13"/>
      <c r="L4" s="13"/>
      <c r="M4" s="13"/>
      <c r="N4" s="13"/>
      <c r="O4" s="13"/>
      <c r="P4" s="13"/>
      <c r="Q4" s="13"/>
      <c r="R4" s="13"/>
      <c r="S4" s="13"/>
      <c r="T4" s="13"/>
      <c r="U4" s="13"/>
      <c r="V4" s="13"/>
      <c r="W4" s="13"/>
      <c r="X4" s="13"/>
      <c r="Y4" s="13"/>
      <c r="Z4" s="50" t="s">
        <v>133</v>
      </c>
      <c r="AA4" s="50" t="s">
        <v>134</v>
      </c>
      <c r="AB4" s="50" t="s">
        <v>135</v>
      </c>
      <c r="AC4" s="13"/>
      <c r="AD4" s="13"/>
      <c r="AE4" s="13"/>
      <c r="AF4" s="50" t="s">
        <v>133</v>
      </c>
      <c r="AG4" s="50" t="s">
        <v>134</v>
      </c>
      <c r="AH4" s="50" t="s">
        <v>136</v>
      </c>
      <c r="AI4" s="13"/>
      <c r="AJ4" s="13"/>
      <c r="AK4" s="13" t="s">
        <v>137</v>
      </c>
      <c r="AL4" s="42"/>
      <c r="AM4" s="13"/>
      <c r="AN4" s="13"/>
      <c r="AO4" s="13"/>
      <c r="AP4" s="13"/>
      <c r="AQ4" s="13"/>
      <c r="AR4" s="13"/>
      <c r="AS4" s="13"/>
      <c r="AT4" s="13"/>
      <c r="AX4" s="50" t="s">
        <v>133</v>
      </c>
      <c r="AY4" s="50" t="s">
        <v>134</v>
      </c>
      <c r="AZ4" s="50" t="s">
        <v>135</v>
      </c>
      <c r="BA4" s="13"/>
      <c r="BB4" s="13"/>
      <c r="BC4" s="13"/>
      <c r="BD4" s="50" t="s">
        <v>133</v>
      </c>
      <c r="BE4" s="50" t="s">
        <v>134</v>
      </c>
      <c r="BF4" s="50" t="s">
        <v>136</v>
      </c>
      <c r="BG4" s="13"/>
      <c r="BH4" s="13" t="s">
        <v>137</v>
      </c>
      <c r="BI4" s="42"/>
      <c r="BJ4" s="13"/>
      <c r="BK4" s="13"/>
      <c r="BL4" s="13"/>
      <c r="BM4" s="13"/>
      <c r="BN4" s="13"/>
      <c r="BO4" s="13"/>
      <c r="BP4" s="13"/>
      <c r="BQ4" s="13"/>
    </row>
    <row r="5" spans="1:69">
      <c r="A5" s="13"/>
      <c r="B5" s="46" t="s">
        <v>346</v>
      </c>
      <c r="C5" s="46">
        <v>313.91000000000003</v>
      </c>
      <c r="D5" s="49">
        <v>-2.1600000000000001E-2</v>
      </c>
      <c r="E5" s="13"/>
      <c r="F5" s="13"/>
      <c r="G5" s="13"/>
      <c r="H5" s="46" t="s">
        <v>346</v>
      </c>
      <c r="I5" s="48">
        <v>22326.9</v>
      </c>
      <c r="J5" s="49">
        <v>9.1999999999999998E-3</v>
      </c>
      <c r="K5" s="13"/>
      <c r="L5" s="13"/>
      <c r="M5" s="13"/>
      <c r="N5" s="13"/>
      <c r="O5" s="13"/>
      <c r="P5" s="13"/>
      <c r="Q5" s="13"/>
      <c r="R5" s="13"/>
      <c r="S5" s="13"/>
      <c r="T5" s="13"/>
      <c r="U5" s="13"/>
      <c r="V5" s="13"/>
      <c r="W5" s="13"/>
      <c r="X5" s="13"/>
      <c r="Y5" s="13"/>
      <c r="Z5" s="46" t="s">
        <v>347</v>
      </c>
      <c r="AA5" s="46">
        <v>304.37</v>
      </c>
      <c r="AB5" s="49">
        <v>-3.04E-2</v>
      </c>
      <c r="AC5" s="13"/>
      <c r="AD5" s="13"/>
      <c r="AE5" s="13"/>
      <c r="AF5" s="46" t="s">
        <v>347</v>
      </c>
      <c r="AG5" s="48">
        <v>22513.7</v>
      </c>
      <c r="AH5" s="49">
        <v>8.3999999999999995E-3</v>
      </c>
      <c r="AI5" s="13"/>
      <c r="AJ5" s="13"/>
      <c r="AK5" s="13"/>
      <c r="AL5" s="13"/>
      <c r="AM5" s="13"/>
      <c r="AN5" s="13"/>
      <c r="AO5" s="13"/>
      <c r="AP5" s="13"/>
      <c r="AQ5" s="13"/>
      <c r="AR5" s="13"/>
      <c r="AS5" s="13"/>
      <c r="AT5" s="13"/>
      <c r="AX5" s="47">
        <v>45294</v>
      </c>
      <c r="AY5" s="46">
        <v>313.91000000000003</v>
      </c>
      <c r="AZ5" s="49">
        <v>4.4999999999999998E-2</v>
      </c>
      <c r="BA5" s="13"/>
      <c r="BB5" s="13"/>
      <c r="BC5" s="13"/>
      <c r="BD5" s="47">
        <v>45294</v>
      </c>
      <c r="BE5" s="48">
        <v>22326.9</v>
      </c>
      <c r="BF5" s="49">
        <v>1.5699999999999999E-2</v>
      </c>
      <c r="BG5" s="13"/>
      <c r="BH5" s="13"/>
      <c r="BI5" s="13"/>
      <c r="BJ5" s="13"/>
      <c r="BK5" s="13"/>
      <c r="BL5" s="13"/>
      <c r="BM5" s="13"/>
      <c r="BN5" s="13"/>
      <c r="BO5" s="13"/>
      <c r="BP5" s="13"/>
      <c r="BQ5" s="13"/>
    </row>
    <row r="6" spans="1:69">
      <c r="A6" s="13"/>
      <c r="B6" s="46" t="s">
        <v>348</v>
      </c>
      <c r="C6" s="46">
        <v>320.83999999999997</v>
      </c>
      <c r="D6" s="49">
        <v>9.9000000000000008E-3</v>
      </c>
      <c r="E6" s="13"/>
      <c r="F6" s="13"/>
      <c r="G6" s="13"/>
      <c r="H6" s="46" t="s">
        <v>348</v>
      </c>
      <c r="I6" s="48">
        <v>22123.65</v>
      </c>
      <c r="J6" s="49">
        <v>5.4000000000000003E-3</v>
      </c>
      <c r="K6" s="13"/>
      <c r="L6" s="13"/>
      <c r="M6" s="51" t="s">
        <v>137</v>
      </c>
      <c r="N6" s="42"/>
      <c r="O6" s="13"/>
      <c r="P6" s="13"/>
      <c r="Q6" s="13"/>
      <c r="R6" s="13"/>
      <c r="S6" s="13"/>
      <c r="T6" s="13"/>
      <c r="U6" s="13"/>
      <c r="V6" s="13"/>
      <c r="W6" s="13"/>
      <c r="X6" s="13"/>
      <c r="Y6" s="13"/>
      <c r="Z6" s="46" t="s">
        <v>349</v>
      </c>
      <c r="AA6" s="46">
        <v>313.91000000000003</v>
      </c>
      <c r="AB6" s="49">
        <v>-1.1299999999999999E-2</v>
      </c>
      <c r="AC6" s="13"/>
      <c r="AD6" s="13"/>
      <c r="AE6" s="13"/>
      <c r="AF6" s="46" t="s">
        <v>349</v>
      </c>
      <c r="AG6" s="48">
        <v>22326.9</v>
      </c>
      <c r="AH6" s="49">
        <v>1.04E-2</v>
      </c>
      <c r="AI6" s="13"/>
      <c r="AJ6" s="13"/>
      <c r="AK6" s="43" t="s">
        <v>142</v>
      </c>
      <c r="AL6" s="44"/>
      <c r="AM6" s="13"/>
      <c r="AN6" s="13"/>
      <c r="AO6" s="13"/>
      <c r="AP6" s="13"/>
      <c r="AQ6" s="13"/>
      <c r="AR6" s="13"/>
      <c r="AS6" s="13"/>
      <c r="AT6" s="13"/>
      <c r="AX6" s="47">
        <v>45293</v>
      </c>
      <c r="AY6" s="46">
        <v>300.39999999999998</v>
      </c>
      <c r="AZ6" s="49">
        <v>3.5499999999999997E-2</v>
      </c>
      <c r="BA6" s="13"/>
      <c r="BB6" s="13"/>
      <c r="BC6" s="13"/>
      <c r="BD6" s="47">
        <v>45293</v>
      </c>
      <c r="BE6" s="48">
        <v>21982.799999999999</v>
      </c>
      <c r="BF6" s="49">
        <v>1.18E-2</v>
      </c>
      <c r="BG6" s="13"/>
      <c r="BH6" s="43" t="s">
        <v>142</v>
      </c>
      <c r="BI6" s="44"/>
      <c r="BJ6" s="13"/>
      <c r="BK6" s="13"/>
      <c r="BL6" s="13"/>
      <c r="BM6" s="13"/>
      <c r="BN6" s="13"/>
      <c r="BO6" s="13"/>
      <c r="BP6" s="13"/>
      <c r="BQ6" s="13"/>
    </row>
    <row r="7" spans="1:69">
      <c r="A7" s="13"/>
      <c r="B7" s="46" t="s">
        <v>350</v>
      </c>
      <c r="C7" s="46">
        <v>317.68</v>
      </c>
      <c r="D7" s="49">
        <v>5.0000000000000001E-4</v>
      </c>
      <c r="E7" s="13"/>
      <c r="F7" s="13"/>
      <c r="G7" s="13"/>
      <c r="H7" s="46" t="s">
        <v>350</v>
      </c>
      <c r="I7" s="48">
        <v>22004.7</v>
      </c>
      <c r="J7" s="49">
        <v>-4.1999999999999997E-3</v>
      </c>
      <c r="K7" s="13"/>
      <c r="L7" s="13"/>
      <c r="M7" s="13"/>
      <c r="N7" s="13"/>
      <c r="O7" s="13"/>
      <c r="P7" s="13"/>
      <c r="Q7" s="13"/>
      <c r="R7" s="13"/>
      <c r="S7" s="13"/>
      <c r="T7" s="13"/>
      <c r="U7" s="13"/>
      <c r="V7" s="13"/>
      <c r="W7" s="13"/>
      <c r="X7" s="13"/>
      <c r="Y7" s="13"/>
      <c r="Z7" s="46" t="s">
        <v>351</v>
      </c>
      <c r="AA7" s="46">
        <v>317.51</v>
      </c>
      <c r="AB7" s="49">
        <v>0.1011</v>
      </c>
      <c r="AC7" s="13"/>
      <c r="AD7" s="13"/>
      <c r="AE7" s="13"/>
      <c r="AF7" s="46" t="s">
        <v>351</v>
      </c>
      <c r="AG7" s="48">
        <v>22096.75</v>
      </c>
      <c r="AH7" s="49">
        <v>3.3E-3</v>
      </c>
      <c r="AI7" s="13"/>
      <c r="AJ7" s="13"/>
      <c r="AK7" s="13" t="s">
        <v>145</v>
      </c>
      <c r="AL7" s="13">
        <v>0.26254699999999997</v>
      </c>
      <c r="AM7" s="13"/>
      <c r="AN7" s="13"/>
      <c r="AO7" s="13"/>
      <c r="AP7" s="13"/>
      <c r="AQ7" s="13"/>
      <c r="AR7" s="13"/>
      <c r="AS7" s="13"/>
      <c r="AT7" s="13"/>
      <c r="AX7" s="47">
        <v>45292</v>
      </c>
      <c r="AY7" s="46">
        <v>290.11</v>
      </c>
      <c r="AZ7" s="49">
        <v>2.1000000000000001E-2</v>
      </c>
      <c r="BA7" s="13"/>
      <c r="BB7" s="13"/>
      <c r="BC7" s="13"/>
      <c r="BD7" s="47">
        <v>45292</v>
      </c>
      <c r="BE7" s="48">
        <v>21725.7</v>
      </c>
      <c r="BF7" s="49">
        <v>-2.9999999999999997E-4</v>
      </c>
      <c r="BG7" s="13"/>
      <c r="BH7" s="13" t="s">
        <v>145</v>
      </c>
      <c r="BI7" s="13">
        <v>0.22727900000000001</v>
      </c>
      <c r="BJ7" s="13"/>
      <c r="BK7" s="13"/>
      <c r="BL7" s="13"/>
      <c r="BM7" s="13"/>
      <c r="BN7" s="13"/>
      <c r="BO7" s="13"/>
      <c r="BP7" s="13"/>
      <c r="BQ7" s="13"/>
    </row>
    <row r="8" spans="1:69">
      <c r="A8" s="13"/>
      <c r="B8" s="46" t="s">
        <v>352</v>
      </c>
      <c r="C8" s="46">
        <v>317.51</v>
      </c>
      <c r="D8" s="49">
        <v>2.5000000000000001E-3</v>
      </c>
      <c r="E8" s="13"/>
      <c r="F8" s="13"/>
      <c r="G8" s="13"/>
      <c r="H8" s="46" t="s">
        <v>352</v>
      </c>
      <c r="I8" s="48">
        <v>22096.75</v>
      </c>
      <c r="J8" s="49">
        <v>3.8999999999999998E-3</v>
      </c>
      <c r="K8" s="13"/>
      <c r="L8" s="13"/>
      <c r="M8" s="43" t="s">
        <v>142</v>
      </c>
      <c r="N8" s="44"/>
      <c r="O8" s="13"/>
      <c r="P8" s="13"/>
      <c r="Q8" s="13"/>
      <c r="R8" s="13"/>
      <c r="S8" s="13"/>
      <c r="T8" s="13"/>
      <c r="U8" s="13"/>
      <c r="V8" s="13"/>
      <c r="W8" s="13"/>
      <c r="X8" s="13"/>
      <c r="Y8" s="13"/>
      <c r="Z8" s="47">
        <v>45568</v>
      </c>
      <c r="AA8" s="46">
        <v>288.36</v>
      </c>
      <c r="AB8" s="49">
        <v>-0.04</v>
      </c>
      <c r="AC8" s="13"/>
      <c r="AD8" s="13"/>
      <c r="AE8" s="13"/>
      <c r="AF8" s="47">
        <v>45568</v>
      </c>
      <c r="AG8" s="48">
        <v>22023.35</v>
      </c>
      <c r="AH8" s="49">
        <v>-2.0899999999999998E-2</v>
      </c>
      <c r="AI8" s="13"/>
      <c r="AJ8" s="13"/>
      <c r="AK8" s="13" t="s">
        <v>147</v>
      </c>
      <c r="AL8" s="13">
        <v>6.8931000000000006E-2</v>
      </c>
      <c r="AM8" s="13"/>
      <c r="AN8" s="13"/>
      <c r="AO8" s="13"/>
      <c r="AP8" s="13"/>
      <c r="AQ8" s="13"/>
      <c r="AR8" s="13"/>
      <c r="AS8" s="13"/>
      <c r="AT8" s="13"/>
      <c r="AX8" s="47">
        <v>44938</v>
      </c>
      <c r="AY8" s="46">
        <v>284.14</v>
      </c>
      <c r="AZ8" s="49">
        <v>2.3400000000000001E-2</v>
      </c>
      <c r="BA8" s="13"/>
      <c r="BB8" s="13"/>
      <c r="BC8" s="13"/>
      <c r="BD8" s="47">
        <v>44938</v>
      </c>
      <c r="BE8" s="48">
        <v>21731.4</v>
      </c>
      <c r="BF8" s="49">
        <v>7.9399999999999998E-2</v>
      </c>
      <c r="BG8" s="13"/>
      <c r="BH8" s="13" t="s">
        <v>147</v>
      </c>
      <c r="BI8" s="13">
        <v>5.1656000000000001E-2</v>
      </c>
      <c r="BJ8" s="13"/>
      <c r="BK8" s="13"/>
      <c r="BL8" s="13"/>
      <c r="BM8" s="13"/>
      <c r="BN8" s="13"/>
      <c r="BO8" s="13"/>
      <c r="BP8" s="13"/>
      <c r="BQ8" s="13"/>
    </row>
    <row r="9" spans="1:69">
      <c r="A9" s="13"/>
      <c r="B9" s="46" t="s">
        <v>353</v>
      </c>
      <c r="C9" s="46">
        <v>316.73</v>
      </c>
      <c r="D9" s="49">
        <v>2.07E-2</v>
      </c>
      <c r="E9" s="13"/>
      <c r="F9" s="13"/>
      <c r="G9" s="13"/>
      <c r="H9" s="46" t="s">
        <v>353</v>
      </c>
      <c r="I9" s="48">
        <v>22011.95</v>
      </c>
      <c r="J9" s="49">
        <v>7.9000000000000008E-3</v>
      </c>
      <c r="K9" s="13"/>
      <c r="L9" s="13"/>
      <c r="M9" s="13" t="s">
        <v>145</v>
      </c>
      <c r="N9" s="13">
        <v>0.14579700000000001</v>
      </c>
      <c r="O9" s="13"/>
      <c r="P9" s="13"/>
      <c r="Q9" s="13"/>
      <c r="R9" s="13"/>
      <c r="S9" s="13"/>
      <c r="T9" s="13"/>
      <c r="U9" s="13"/>
      <c r="V9" s="13"/>
      <c r="W9" s="13"/>
      <c r="X9" s="13"/>
      <c r="Y9" s="13"/>
      <c r="Z9" s="47">
        <v>45354</v>
      </c>
      <c r="AA9" s="46">
        <v>300.38</v>
      </c>
      <c r="AB9" s="49">
        <v>4.0000000000000002E-4</v>
      </c>
      <c r="AC9" s="13"/>
      <c r="AD9" s="13"/>
      <c r="AE9" s="13"/>
      <c r="AF9" s="47">
        <v>45354</v>
      </c>
      <c r="AG9" s="48">
        <v>22493.55</v>
      </c>
      <c r="AH9" s="49">
        <v>6.8999999999999999E-3</v>
      </c>
      <c r="AI9" s="13"/>
      <c r="AJ9" s="13"/>
      <c r="AK9" s="13" t="s">
        <v>149</v>
      </c>
      <c r="AL9" s="13">
        <v>5.0674999999999998E-2</v>
      </c>
      <c r="AM9" s="13"/>
      <c r="AN9" s="13"/>
      <c r="AO9" s="13"/>
      <c r="AP9" s="13"/>
      <c r="AQ9" s="13"/>
      <c r="AR9" s="13"/>
      <c r="AS9" s="13"/>
      <c r="AT9" s="13"/>
      <c r="AX9" s="47">
        <v>44937</v>
      </c>
      <c r="AY9" s="46">
        <v>277.64999999999998</v>
      </c>
      <c r="AZ9" s="49">
        <v>7.0699999999999999E-2</v>
      </c>
      <c r="BA9" s="13"/>
      <c r="BB9" s="13"/>
      <c r="BC9" s="13"/>
      <c r="BD9" s="47">
        <v>44937</v>
      </c>
      <c r="BE9" s="48">
        <v>20133.150000000001</v>
      </c>
      <c r="BF9" s="49">
        <v>5.5199999999999999E-2</v>
      </c>
      <c r="BG9" s="13"/>
      <c r="BH9" s="13" t="s">
        <v>149</v>
      </c>
      <c r="BI9" s="13">
        <v>-4.3180000000000003E-2</v>
      </c>
      <c r="BJ9" s="13"/>
      <c r="BK9" s="13"/>
      <c r="BL9" s="13"/>
      <c r="BM9" s="13"/>
      <c r="BN9" s="13"/>
      <c r="BO9" s="13"/>
      <c r="BP9" s="13"/>
      <c r="BQ9" s="13"/>
    </row>
    <row r="10" spans="1:69">
      <c r="A10" s="13"/>
      <c r="B10" s="46" t="s">
        <v>354</v>
      </c>
      <c r="C10" s="46">
        <v>310.31</v>
      </c>
      <c r="D10" s="49">
        <v>2.0899999999999998E-2</v>
      </c>
      <c r="E10" s="13"/>
      <c r="F10" s="13"/>
      <c r="G10" s="13"/>
      <c r="H10" s="46" t="s">
        <v>354</v>
      </c>
      <c r="I10" s="48">
        <v>21839.1</v>
      </c>
      <c r="J10" s="49">
        <v>1E-3</v>
      </c>
      <c r="K10" s="13"/>
      <c r="L10" s="13"/>
      <c r="M10" s="13" t="s">
        <v>147</v>
      </c>
      <c r="N10" s="13">
        <v>2.1257000000000002E-2</v>
      </c>
      <c r="O10" s="13"/>
      <c r="P10" s="13"/>
      <c r="Q10" s="13"/>
      <c r="R10" s="13"/>
      <c r="S10" s="13"/>
      <c r="T10" s="13"/>
      <c r="U10" s="13"/>
      <c r="V10" s="13"/>
      <c r="W10" s="13"/>
      <c r="X10" s="13"/>
      <c r="Y10" s="13"/>
      <c r="Z10" s="46" t="s">
        <v>355</v>
      </c>
      <c r="AA10" s="46">
        <v>300.27</v>
      </c>
      <c r="AB10" s="49">
        <v>-2.3E-3</v>
      </c>
      <c r="AC10" s="13"/>
      <c r="AD10" s="13"/>
      <c r="AE10" s="13"/>
      <c r="AF10" s="46" t="s">
        <v>355</v>
      </c>
      <c r="AG10" s="48">
        <v>22338.75</v>
      </c>
      <c r="AH10" s="49">
        <v>5.7000000000000002E-3</v>
      </c>
      <c r="AI10" s="13"/>
      <c r="AJ10" s="13"/>
      <c r="AK10" s="13" t="s">
        <v>152</v>
      </c>
      <c r="AL10" s="13">
        <v>3.4660000000000003E-2</v>
      </c>
      <c r="AM10" s="13"/>
      <c r="AN10" s="13"/>
      <c r="AO10" s="13"/>
      <c r="AP10" s="13"/>
      <c r="AQ10" s="13"/>
      <c r="AR10" s="13"/>
      <c r="AS10" s="13"/>
      <c r="AT10" s="13"/>
      <c r="AX10" s="47">
        <v>44936</v>
      </c>
      <c r="AY10" s="46">
        <v>259.31</v>
      </c>
      <c r="AZ10" s="49">
        <v>-0.1077</v>
      </c>
      <c r="BA10" s="13"/>
      <c r="BB10" s="13"/>
      <c r="BC10" s="13"/>
      <c r="BD10" s="47">
        <v>44936</v>
      </c>
      <c r="BE10" s="48">
        <v>19079.599999999999</v>
      </c>
      <c r="BF10" s="49">
        <v>-2.8400000000000002E-2</v>
      </c>
      <c r="BG10" s="13"/>
      <c r="BH10" s="13" t="s">
        <v>152</v>
      </c>
      <c r="BI10" s="13">
        <v>8.0516000000000004E-2</v>
      </c>
      <c r="BJ10" s="13"/>
      <c r="BK10" s="13"/>
      <c r="BL10" s="13"/>
      <c r="BM10" s="13"/>
      <c r="BN10" s="13"/>
      <c r="BO10" s="13"/>
      <c r="BP10" s="13"/>
      <c r="BQ10" s="13"/>
    </row>
    <row r="11" spans="1:69">
      <c r="A11" s="13"/>
      <c r="B11" s="46" t="s">
        <v>356</v>
      </c>
      <c r="C11" s="46">
        <v>303.95</v>
      </c>
      <c r="D11" s="49">
        <v>3.7900000000000003E-2</v>
      </c>
      <c r="E11" s="13"/>
      <c r="F11" s="13"/>
      <c r="G11" s="13"/>
      <c r="H11" s="46" t="s">
        <v>356</v>
      </c>
      <c r="I11" s="48">
        <v>21817.45</v>
      </c>
      <c r="J11" s="49">
        <v>-1.0800000000000001E-2</v>
      </c>
      <c r="K11" s="13"/>
      <c r="L11" s="13"/>
      <c r="M11" s="13" t="s">
        <v>149</v>
      </c>
      <c r="N11" s="13">
        <v>1.7245E-2</v>
      </c>
      <c r="O11" s="13"/>
      <c r="P11" s="13"/>
      <c r="Q11" s="13"/>
      <c r="R11" s="13"/>
      <c r="S11" s="13"/>
      <c r="T11" s="13"/>
      <c r="U11" s="13"/>
      <c r="V11" s="13"/>
      <c r="W11" s="13"/>
      <c r="X11" s="13"/>
      <c r="Y11" s="13"/>
      <c r="Z11" s="46" t="s">
        <v>357</v>
      </c>
      <c r="AA11" s="46">
        <v>300.97000000000003</v>
      </c>
      <c r="AB11" s="49">
        <v>9.8599999999999993E-2</v>
      </c>
      <c r="AC11" s="13"/>
      <c r="AD11" s="13"/>
      <c r="AE11" s="13"/>
      <c r="AF11" s="46" t="s">
        <v>357</v>
      </c>
      <c r="AG11" s="48">
        <v>22212.7</v>
      </c>
      <c r="AH11" s="49">
        <v>7.7999999999999996E-3</v>
      </c>
      <c r="AI11" s="13"/>
      <c r="AJ11" s="13"/>
      <c r="AK11" s="45" t="s">
        <v>155</v>
      </c>
      <c r="AL11" s="45">
        <v>53</v>
      </c>
      <c r="AM11" s="13"/>
      <c r="AN11" s="13"/>
      <c r="AO11" s="13"/>
      <c r="AP11" s="13"/>
      <c r="AQ11" s="13"/>
      <c r="AR11" s="13"/>
      <c r="AS11" s="13"/>
      <c r="AT11" s="13"/>
      <c r="AX11" s="47">
        <v>44935</v>
      </c>
      <c r="AY11" s="46">
        <v>290.62</v>
      </c>
      <c r="AZ11" s="49">
        <v>2.0299999999999999E-2</v>
      </c>
      <c r="BA11" s="13"/>
      <c r="BB11" s="13"/>
      <c r="BC11" s="13"/>
      <c r="BD11" s="47">
        <v>44935</v>
      </c>
      <c r="BE11" s="48">
        <v>19638.3</v>
      </c>
      <c r="BF11" s="49">
        <v>0.02</v>
      </c>
      <c r="BG11" s="13"/>
      <c r="BH11" s="45" t="s">
        <v>155</v>
      </c>
      <c r="BI11" s="45">
        <v>12</v>
      </c>
      <c r="BJ11" s="13"/>
      <c r="BK11" s="13"/>
      <c r="BL11" s="13"/>
      <c r="BM11" s="13"/>
      <c r="BN11" s="13"/>
      <c r="BO11" s="13"/>
      <c r="BP11" s="13"/>
      <c r="BQ11" s="13"/>
    </row>
    <row r="12" spans="1:69">
      <c r="A12" s="13"/>
      <c r="B12" s="46" t="s">
        <v>358</v>
      </c>
      <c r="C12" s="46">
        <v>292.85000000000002</v>
      </c>
      <c r="D12" s="49">
        <v>1.5599999999999999E-2</v>
      </c>
      <c r="E12" s="13"/>
      <c r="F12" s="13"/>
      <c r="G12" s="13"/>
      <c r="H12" s="46" t="s">
        <v>358</v>
      </c>
      <c r="I12" s="48">
        <v>22055.7</v>
      </c>
      <c r="J12" s="49">
        <v>1.5E-3</v>
      </c>
      <c r="K12" s="13"/>
      <c r="L12" s="13"/>
      <c r="M12" s="13" t="s">
        <v>152</v>
      </c>
      <c r="N12" s="13">
        <v>1.6614E-2</v>
      </c>
      <c r="O12" s="13"/>
      <c r="P12" s="13"/>
      <c r="Q12" s="13"/>
      <c r="R12" s="13"/>
      <c r="S12" s="13"/>
      <c r="T12" s="13"/>
      <c r="U12" s="13"/>
      <c r="V12" s="13"/>
      <c r="W12" s="13"/>
      <c r="X12" s="13"/>
      <c r="Y12" s="13"/>
      <c r="Z12" s="47">
        <v>45598</v>
      </c>
      <c r="AA12" s="46">
        <v>273.97000000000003</v>
      </c>
      <c r="AB12" s="49">
        <v>-5.8999999999999999E-3</v>
      </c>
      <c r="AC12" s="13"/>
      <c r="AD12" s="13"/>
      <c r="AE12" s="13"/>
      <c r="AF12" s="47">
        <v>45598</v>
      </c>
      <c r="AG12" s="48">
        <v>22040.7</v>
      </c>
      <c r="AH12" s="49">
        <v>1.1900000000000001E-2</v>
      </c>
      <c r="AI12" s="13"/>
      <c r="AJ12" s="13"/>
      <c r="AK12" s="13"/>
      <c r="AL12" s="13"/>
      <c r="AM12" s="13"/>
      <c r="AN12" s="13"/>
      <c r="AO12" s="13"/>
      <c r="AP12" s="13"/>
      <c r="AQ12" s="13"/>
      <c r="AR12" s="13"/>
      <c r="AS12" s="13"/>
      <c r="AT12" s="13"/>
      <c r="AX12" s="47">
        <v>44934</v>
      </c>
      <c r="AY12" s="46">
        <v>284.85000000000002</v>
      </c>
      <c r="AZ12" s="49">
        <v>3.7100000000000001E-2</v>
      </c>
      <c r="BA12" s="13"/>
      <c r="BB12" s="13"/>
      <c r="BC12" s="13"/>
      <c r="BD12" s="47">
        <v>44934</v>
      </c>
      <c r="BE12" s="48">
        <v>19253.8</v>
      </c>
      <c r="BF12" s="49">
        <v>-2.53E-2</v>
      </c>
      <c r="BG12" s="13"/>
      <c r="BH12" s="13"/>
      <c r="BI12" s="13"/>
      <c r="BJ12" s="13"/>
      <c r="BK12" s="13"/>
      <c r="BL12" s="13"/>
      <c r="BM12" s="13"/>
      <c r="BN12" s="13"/>
      <c r="BO12" s="13"/>
      <c r="BP12" s="13"/>
      <c r="BQ12" s="13"/>
    </row>
    <row r="13" spans="1:69">
      <c r="A13" s="13"/>
      <c r="B13" s="46" t="s">
        <v>359</v>
      </c>
      <c r="C13" s="46">
        <v>288.36</v>
      </c>
      <c r="D13" s="49">
        <v>5.3199999999999997E-2</v>
      </c>
      <c r="E13" s="13"/>
      <c r="F13" s="13"/>
      <c r="G13" s="13"/>
      <c r="H13" s="46" t="s">
        <v>359</v>
      </c>
      <c r="I13" s="48">
        <v>22023.35</v>
      </c>
      <c r="J13" s="49">
        <v>-5.5999999999999999E-3</v>
      </c>
      <c r="K13" s="13"/>
      <c r="L13" s="13"/>
      <c r="M13" s="45" t="s">
        <v>155</v>
      </c>
      <c r="N13" s="45">
        <v>246</v>
      </c>
      <c r="O13" s="13"/>
      <c r="P13" s="13"/>
      <c r="Q13" s="13"/>
      <c r="R13" s="13"/>
      <c r="S13" s="13"/>
      <c r="T13" s="13"/>
      <c r="U13" s="13"/>
      <c r="V13" s="13"/>
      <c r="W13" s="13"/>
      <c r="X13" s="13"/>
      <c r="Y13" s="13"/>
      <c r="Z13" s="47">
        <v>45384</v>
      </c>
      <c r="AA13" s="46">
        <v>275.58999999999997</v>
      </c>
      <c r="AB13" s="49">
        <v>-2.4299999999999999E-2</v>
      </c>
      <c r="AC13" s="13"/>
      <c r="AD13" s="13"/>
      <c r="AE13" s="13"/>
      <c r="AF13" s="47">
        <v>45384</v>
      </c>
      <c r="AG13" s="48">
        <v>21782.5</v>
      </c>
      <c r="AH13" s="49">
        <v>-3.3E-3</v>
      </c>
      <c r="AI13" s="13"/>
      <c r="AJ13" s="13"/>
      <c r="AK13" s="13" t="s">
        <v>158</v>
      </c>
      <c r="AL13" s="13"/>
      <c r="AM13" s="13"/>
      <c r="AN13" s="13"/>
      <c r="AO13" s="13"/>
      <c r="AP13" s="13"/>
      <c r="AQ13" s="13"/>
      <c r="AR13" s="13"/>
      <c r="AS13" s="13"/>
      <c r="AT13" s="13"/>
      <c r="AX13" s="47">
        <v>44933</v>
      </c>
      <c r="AY13" s="46">
        <v>274.64999999999998</v>
      </c>
      <c r="AZ13" s="49">
        <v>-8.0000000000000004E-4</v>
      </c>
      <c r="BA13" s="13"/>
      <c r="BB13" s="13"/>
      <c r="BC13" s="13"/>
      <c r="BD13" s="47">
        <v>44933</v>
      </c>
      <c r="BE13" s="48">
        <v>19753.8</v>
      </c>
      <c r="BF13" s="49">
        <v>2.9399999999999999E-2</v>
      </c>
      <c r="BG13" s="13"/>
      <c r="BH13" s="13" t="s">
        <v>158</v>
      </c>
      <c r="BI13" s="13"/>
      <c r="BJ13" s="13"/>
      <c r="BK13" s="13"/>
      <c r="BL13" s="13"/>
      <c r="BM13" s="13"/>
      <c r="BN13" s="13"/>
      <c r="BO13" s="13"/>
      <c r="BP13" s="13"/>
      <c r="BQ13" s="13"/>
    </row>
    <row r="14" spans="1:69">
      <c r="A14" s="13"/>
      <c r="B14" s="46" t="s">
        <v>360</v>
      </c>
      <c r="C14" s="46">
        <v>273.8</v>
      </c>
      <c r="D14" s="49">
        <v>-1.6500000000000001E-2</v>
      </c>
      <c r="E14" s="13"/>
      <c r="F14" s="13"/>
      <c r="G14" s="13"/>
      <c r="H14" s="46" t="s">
        <v>360</v>
      </c>
      <c r="I14" s="48">
        <v>22146.65</v>
      </c>
      <c r="J14" s="49">
        <v>6.7999999999999996E-3</v>
      </c>
      <c r="K14" s="13"/>
      <c r="L14" s="13"/>
      <c r="M14" s="13"/>
      <c r="N14" s="13"/>
      <c r="O14" s="13"/>
      <c r="P14" s="13"/>
      <c r="Q14" s="13"/>
      <c r="R14" s="13"/>
      <c r="S14" s="13"/>
      <c r="T14" s="13"/>
      <c r="U14" s="13"/>
      <c r="V14" s="13"/>
      <c r="W14" s="13"/>
      <c r="X14" s="13"/>
      <c r="Y14" s="13"/>
      <c r="Z14" s="46" t="s">
        <v>361</v>
      </c>
      <c r="AA14" s="46">
        <v>282.45</v>
      </c>
      <c r="AB14" s="49">
        <v>-8.0999999999999996E-3</v>
      </c>
      <c r="AC14" s="13"/>
      <c r="AD14" s="13"/>
      <c r="AE14" s="13"/>
      <c r="AF14" s="46" t="s">
        <v>361</v>
      </c>
      <c r="AG14" s="48">
        <v>21853.8</v>
      </c>
      <c r="AH14" s="49">
        <v>2.35E-2</v>
      </c>
      <c r="AI14" s="13"/>
      <c r="AJ14" s="13"/>
      <c r="AK14" s="43" t="s">
        <v>161</v>
      </c>
      <c r="AL14" s="43" t="s">
        <v>162</v>
      </c>
      <c r="AM14" s="43" t="s">
        <v>163</v>
      </c>
      <c r="AN14" s="43" t="s">
        <v>164</v>
      </c>
      <c r="AO14" s="43" t="s">
        <v>165</v>
      </c>
      <c r="AP14" s="43" t="s">
        <v>166</v>
      </c>
      <c r="AQ14" s="13"/>
      <c r="AR14" s="13"/>
      <c r="AS14" s="13"/>
      <c r="AT14" s="13"/>
      <c r="AX14" s="47">
        <v>44932</v>
      </c>
      <c r="AY14" s="46">
        <v>274.88</v>
      </c>
      <c r="AZ14" s="49">
        <v>-5.7000000000000002E-2</v>
      </c>
      <c r="BA14" s="13"/>
      <c r="BB14" s="13"/>
      <c r="BC14" s="13"/>
      <c r="BD14" s="47">
        <v>44932</v>
      </c>
      <c r="BE14" s="48">
        <v>19189.05</v>
      </c>
      <c r="BF14" s="49">
        <v>3.5299999999999998E-2</v>
      </c>
      <c r="BG14" s="13"/>
      <c r="BH14" s="43" t="s">
        <v>161</v>
      </c>
      <c r="BI14" s="43" t="s">
        <v>162</v>
      </c>
      <c r="BJ14" s="43" t="s">
        <v>163</v>
      </c>
      <c r="BK14" s="43" t="s">
        <v>164</v>
      </c>
      <c r="BL14" s="43" t="s">
        <v>165</v>
      </c>
      <c r="BM14" s="43" t="s">
        <v>166</v>
      </c>
      <c r="BN14" s="13"/>
      <c r="BO14" s="13"/>
      <c r="BP14" s="13"/>
      <c r="BQ14" s="13"/>
    </row>
    <row r="15" spans="1:69">
      <c r="A15" s="13"/>
      <c r="B15" s="46" t="s">
        <v>362</v>
      </c>
      <c r="C15" s="46">
        <v>278.39999999999998</v>
      </c>
      <c r="D15" s="49">
        <v>-3.2199999999999999E-2</v>
      </c>
      <c r="E15" s="13"/>
      <c r="F15" s="13"/>
      <c r="G15" s="13"/>
      <c r="H15" s="46" t="s">
        <v>362</v>
      </c>
      <c r="I15" s="48">
        <v>21997.7</v>
      </c>
      <c r="J15" s="49">
        <v>-1.5100000000000001E-2</v>
      </c>
      <c r="K15" s="13"/>
      <c r="L15" s="13"/>
      <c r="M15" s="13" t="s">
        <v>158</v>
      </c>
      <c r="N15" s="13"/>
      <c r="O15" s="13"/>
      <c r="P15" s="13"/>
      <c r="Q15" s="13"/>
      <c r="R15" s="13"/>
      <c r="S15" s="13"/>
      <c r="T15" s="13"/>
      <c r="U15" s="13"/>
      <c r="V15" s="13"/>
      <c r="W15" s="13"/>
      <c r="X15" s="13"/>
      <c r="Y15" s="13"/>
      <c r="Z15" s="46" t="s">
        <v>363</v>
      </c>
      <c r="AA15" s="46">
        <v>284.76</v>
      </c>
      <c r="AB15" s="49">
        <v>2.0000000000000001E-4</v>
      </c>
      <c r="AC15" s="13"/>
      <c r="AD15" s="13"/>
      <c r="AE15" s="13"/>
      <c r="AF15" s="46" t="s">
        <v>363</v>
      </c>
      <c r="AG15" s="48">
        <v>21352.6</v>
      </c>
      <c r="AH15" s="49">
        <v>-1.2500000000000001E-2</v>
      </c>
      <c r="AI15" s="13"/>
      <c r="AJ15" s="13"/>
      <c r="AK15" s="13" t="s">
        <v>169</v>
      </c>
      <c r="AL15" s="13">
        <v>1</v>
      </c>
      <c r="AM15" s="13">
        <v>4.5360000000000001E-3</v>
      </c>
      <c r="AN15" s="13">
        <v>4.5360000000000001E-3</v>
      </c>
      <c r="AO15" s="13">
        <v>3.7757489999999998</v>
      </c>
      <c r="AP15" s="13">
        <v>5.7529999999999998E-2</v>
      </c>
      <c r="AQ15" s="13"/>
      <c r="AR15" s="13"/>
      <c r="AS15" s="13"/>
      <c r="AT15" s="13"/>
      <c r="AX15" s="47">
        <v>44931</v>
      </c>
      <c r="AY15" s="46">
        <v>291.51</v>
      </c>
      <c r="AZ15" s="49">
        <v>0.2213</v>
      </c>
      <c r="BA15" s="13"/>
      <c r="BB15" s="13"/>
      <c r="BC15" s="13"/>
      <c r="BD15" s="47">
        <v>44931</v>
      </c>
      <c r="BE15" s="48">
        <v>18534.400000000001</v>
      </c>
      <c r="BF15" s="49">
        <v>2.5999999999999999E-2</v>
      </c>
      <c r="BG15" s="13"/>
      <c r="BH15" s="13" t="s">
        <v>169</v>
      </c>
      <c r="BI15" s="13">
        <v>1</v>
      </c>
      <c r="BJ15" s="13">
        <v>3.5309999999999999E-3</v>
      </c>
      <c r="BK15" s="13">
        <v>3.5309999999999999E-3</v>
      </c>
      <c r="BL15" s="13">
        <v>0.54469500000000004</v>
      </c>
      <c r="BM15" s="13">
        <v>0.47745500000000002</v>
      </c>
      <c r="BN15" s="13"/>
      <c r="BO15" s="13"/>
      <c r="BP15" s="13"/>
      <c r="BQ15" s="13"/>
    </row>
    <row r="16" spans="1:69">
      <c r="A16" s="13"/>
      <c r="B16" s="47">
        <v>45629</v>
      </c>
      <c r="C16" s="46">
        <v>287.67</v>
      </c>
      <c r="D16" s="49">
        <v>-2.7799999999999998E-2</v>
      </c>
      <c r="E16" s="13"/>
      <c r="F16" s="13"/>
      <c r="G16" s="13"/>
      <c r="H16" s="47">
        <v>45629</v>
      </c>
      <c r="I16" s="48">
        <v>22335.7</v>
      </c>
      <c r="J16" s="49">
        <v>1E-4</v>
      </c>
      <c r="K16" s="13"/>
      <c r="L16" s="13"/>
      <c r="M16" s="43" t="s">
        <v>161</v>
      </c>
      <c r="N16" s="43" t="s">
        <v>162</v>
      </c>
      <c r="O16" s="43" t="s">
        <v>163</v>
      </c>
      <c r="P16" s="43" t="s">
        <v>164</v>
      </c>
      <c r="Q16" s="43" t="s">
        <v>165</v>
      </c>
      <c r="R16" s="43" t="s">
        <v>166</v>
      </c>
      <c r="S16" s="13"/>
      <c r="T16" s="13"/>
      <c r="U16" s="13"/>
      <c r="V16" s="13"/>
      <c r="W16" s="13"/>
      <c r="X16" s="13"/>
      <c r="Y16" s="13"/>
      <c r="Z16" s="46" t="s">
        <v>364</v>
      </c>
      <c r="AA16" s="46">
        <v>284.70999999999998</v>
      </c>
      <c r="AB16" s="49">
        <v>-1.49E-2</v>
      </c>
      <c r="AC16" s="13"/>
      <c r="AD16" s="13"/>
      <c r="AE16" s="13"/>
      <c r="AF16" s="46" t="s">
        <v>364</v>
      </c>
      <c r="AG16" s="48">
        <v>21622.400000000001</v>
      </c>
      <c r="AH16" s="49">
        <v>-1.24E-2</v>
      </c>
      <c r="AI16" s="13"/>
      <c r="AJ16" s="13"/>
      <c r="AK16" s="13" t="s">
        <v>170</v>
      </c>
      <c r="AL16" s="13">
        <v>51</v>
      </c>
      <c r="AM16" s="13">
        <v>6.1267000000000002E-2</v>
      </c>
      <c r="AN16" s="13">
        <v>1.201E-3</v>
      </c>
      <c r="AO16" s="13"/>
      <c r="AP16" s="13"/>
      <c r="AQ16" s="13"/>
      <c r="AR16" s="13"/>
      <c r="AS16" s="13"/>
      <c r="AT16" s="13"/>
      <c r="AX16" s="47">
        <v>44930</v>
      </c>
      <c r="AY16" s="46">
        <v>238.68</v>
      </c>
      <c r="AZ16" s="49">
        <v>-2.0299999999999999E-2</v>
      </c>
      <c r="BA16" s="13"/>
      <c r="BB16" s="13"/>
      <c r="BC16" s="13"/>
      <c r="BD16" s="47">
        <v>44930</v>
      </c>
      <c r="BE16" s="48">
        <v>18065</v>
      </c>
      <c r="BF16" s="49">
        <v>4.0599999999999997E-2</v>
      </c>
      <c r="BG16" s="13"/>
      <c r="BH16" s="13" t="s">
        <v>170</v>
      </c>
      <c r="BI16" s="13">
        <v>10</v>
      </c>
      <c r="BJ16" s="13">
        <v>6.4827999999999997E-2</v>
      </c>
      <c r="BK16" s="13">
        <v>6.483E-3</v>
      </c>
      <c r="BL16" s="13"/>
      <c r="BM16" s="13"/>
      <c r="BN16" s="13"/>
      <c r="BO16" s="13"/>
      <c r="BP16" s="13"/>
      <c r="BQ16" s="13"/>
    </row>
    <row r="17" spans="1:69">
      <c r="A17" s="13"/>
      <c r="B17" s="47">
        <v>45599</v>
      </c>
      <c r="C17" s="46">
        <v>295.89999999999998</v>
      </c>
      <c r="D17" s="49">
        <v>-1.49E-2</v>
      </c>
      <c r="E17" s="13"/>
      <c r="F17" s="13"/>
      <c r="G17" s="13"/>
      <c r="H17" s="47">
        <v>45599</v>
      </c>
      <c r="I17" s="48">
        <v>22332.65</v>
      </c>
      <c r="J17" s="49">
        <v>-7.1999999999999998E-3</v>
      </c>
      <c r="K17" s="13"/>
      <c r="L17" s="13"/>
      <c r="M17" s="13" t="s">
        <v>169</v>
      </c>
      <c r="N17" s="13">
        <v>1</v>
      </c>
      <c r="O17" s="13">
        <v>1.4630000000000001E-3</v>
      </c>
      <c r="P17" s="13">
        <v>1.4630000000000001E-3</v>
      </c>
      <c r="Q17" s="13">
        <v>5.2992809999999997</v>
      </c>
      <c r="R17" s="13">
        <v>2.2176999999999999E-2</v>
      </c>
      <c r="S17" s="13"/>
      <c r="T17" s="13"/>
      <c r="U17" s="13"/>
      <c r="V17" s="13"/>
      <c r="W17" s="13"/>
      <c r="X17" s="13"/>
      <c r="Y17" s="13"/>
      <c r="Z17" s="47">
        <v>45474</v>
      </c>
      <c r="AA17" s="46">
        <v>289.01</v>
      </c>
      <c r="AB17" s="49">
        <v>1.38E-2</v>
      </c>
      <c r="AC17" s="13"/>
      <c r="AD17" s="13"/>
      <c r="AE17" s="13"/>
      <c r="AF17" s="47">
        <v>45474</v>
      </c>
      <c r="AG17" s="48">
        <v>21894.55</v>
      </c>
      <c r="AH17" s="49">
        <v>8.5000000000000006E-3</v>
      </c>
      <c r="AI17" s="13"/>
      <c r="AJ17" s="13"/>
      <c r="AK17" s="45" t="s">
        <v>171</v>
      </c>
      <c r="AL17" s="45">
        <v>52</v>
      </c>
      <c r="AM17" s="45">
        <v>6.5803E-2</v>
      </c>
      <c r="AN17" s="45" t="s">
        <v>161</v>
      </c>
      <c r="AO17" s="45" t="s">
        <v>161</v>
      </c>
      <c r="AP17" s="45" t="s">
        <v>161</v>
      </c>
      <c r="AQ17" s="13"/>
      <c r="AR17" s="13"/>
      <c r="AS17" s="13"/>
      <c r="AT17" s="13"/>
      <c r="AX17" s="13"/>
      <c r="AY17" s="13"/>
      <c r="AZ17" s="13"/>
      <c r="BA17" s="13"/>
      <c r="BB17" s="13"/>
      <c r="BC17" s="13"/>
      <c r="BD17" s="13"/>
      <c r="BE17" s="13"/>
      <c r="BF17" s="13"/>
      <c r="BG17" s="13"/>
      <c r="BH17" s="45" t="s">
        <v>171</v>
      </c>
      <c r="BI17" s="45">
        <v>11</v>
      </c>
      <c r="BJ17" s="45">
        <v>6.8359000000000003E-2</v>
      </c>
      <c r="BK17" s="45" t="s">
        <v>161</v>
      </c>
      <c r="BL17" s="45" t="s">
        <v>161</v>
      </c>
      <c r="BM17" s="45" t="s">
        <v>161</v>
      </c>
      <c r="BN17" s="13"/>
      <c r="BO17" s="13"/>
      <c r="BP17" s="13"/>
      <c r="BQ17" s="13"/>
    </row>
    <row r="18" spans="1:69">
      <c r="A18" s="13"/>
      <c r="B18" s="47">
        <v>45476</v>
      </c>
      <c r="C18" s="46">
        <v>300.38</v>
      </c>
      <c r="D18" s="49">
        <v>1.1000000000000001E-3</v>
      </c>
      <c r="E18" s="13"/>
      <c r="F18" s="13"/>
      <c r="G18" s="13"/>
      <c r="H18" s="47">
        <v>45476</v>
      </c>
      <c r="I18" s="48">
        <v>22493.55</v>
      </c>
      <c r="J18" s="49">
        <v>8.9999999999999998E-4</v>
      </c>
      <c r="K18" s="13"/>
      <c r="L18" s="13"/>
      <c r="M18" s="13" t="s">
        <v>170</v>
      </c>
      <c r="N18" s="13">
        <v>244</v>
      </c>
      <c r="O18" s="13">
        <v>6.7352999999999996E-2</v>
      </c>
      <c r="P18" s="13">
        <v>2.7599999999999999E-4</v>
      </c>
      <c r="Q18" s="13"/>
      <c r="R18" s="13"/>
      <c r="S18" s="13"/>
      <c r="T18" s="13"/>
      <c r="U18" s="13"/>
      <c r="V18" s="13"/>
      <c r="W18" s="13"/>
      <c r="X18" s="13"/>
      <c r="Y18" s="13"/>
      <c r="Z18" s="46" t="s">
        <v>365</v>
      </c>
      <c r="AA18" s="46">
        <v>285.08</v>
      </c>
      <c r="AB18" s="49">
        <v>3.3E-3</v>
      </c>
      <c r="AC18" s="13"/>
      <c r="AD18" s="13"/>
      <c r="AE18" s="13"/>
      <c r="AF18" s="46" t="s">
        <v>365</v>
      </c>
      <c r="AG18" s="48">
        <v>21710.799999999999</v>
      </c>
      <c r="AH18" s="49">
        <v>-8.9999999999999998E-4</v>
      </c>
      <c r="AI18" s="13"/>
      <c r="AJ18" s="13"/>
      <c r="AK18" s="13"/>
      <c r="AL18" s="13"/>
      <c r="AM18" s="13"/>
      <c r="AN18" s="13"/>
      <c r="AO18" s="13"/>
      <c r="AP18" s="13"/>
      <c r="AQ18" s="13"/>
      <c r="AR18" s="13"/>
      <c r="AS18" s="13"/>
      <c r="AT18" s="13"/>
      <c r="AX18" s="13"/>
      <c r="AY18" s="13"/>
      <c r="AZ18" s="13"/>
      <c r="BA18" s="13"/>
      <c r="BB18" s="13"/>
      <c r="BC18" s="13"/>
      <c r="BD18" s="13"/>
      <c r="BE18" s="13"/>
      <c r="BF18" s="13"/>
      <c r="BG18" s="13"/>
      <c r="BH18" s="13"/>
      <c r="BI18" s="13"/>
      <c r="BJ18" s="13"/>
      <c r="BK18" s="13"/>
      <c r="BL18" s="13"/>
      <c r="BM18" s="13"/>
      <c r="BN18" s="13"/>
      <c r="BO18" s="13"/>
      <c r="BP18" s="13"/>
      <c r="BQ18" s="13"/>
    </row>
    <row r="19" spans="1:69">
      <c r="A19" s="13"/>
      <c r="B19" s="47">
        <v>45446</v>
      </c>
      <c r="C19" s="46">
        <v>300.05</v>
      </c>
      <c r="D19" s="49">
        <v>2.3999999999999998E-3</v>
      </c>
      <c r="E19" s="13"/>
      <c r="F19" s="13"/>
      <c r="G19" s="13"/>
      <c r="H19" s="47">
        <v>45446</v>
      </c>
      <c r="I19" s="48">
        <v>22474.05</v>
      </c>
      <c r="J19" s="49">
        <v>5.3E-3</v>
      </c>
      <c r="K19" s="13"/>
      <c r="L19" s="13"/>
      <c r="M19" s="45" t="s">
        <v>171</v>
      </c>
      <c r="N19" s="45">
        <v>245</v>
      </c>
      <c r="O19" s="45">
        <v>6.8816000000000002E-2</v>
      </c>
      <c r="P19" s="45" t="s">
        <v>161</v>
      </c>
      <c r="Q19" s="45" t="s">
        <v>161</v>
      </c>
      <c r="R19" s="45" t="s">
        <v>161</v>
      </c>
      <c r="S19" s="13"/>
      <c r="T19" s="13"/>
      <c r="U19" s="13"/>
      <c r="V19" s="13"/>
      <c r="W19" s="13"/>
      <c r="X19" s="13"/>
      <c r="Y19" s="13"/>
      <c r="Z19" s="46" t="s">
        <v>366</v>
      </c>
      <c r="AA19" s="46">
        <v>284.14</v>
      </c>
      <c r="AB19" s="49">
        <v>4.4999999999999997E-3</v>
      </c>
      <c r="AC19" s="13"/>
      <c r="AD19" s="13"/>
      <c r="AE19" s="13"/>
      <c r="AF19" s="46" t="s">
        <v>366</v>
      </c>
      <c r="AG19" s="48">
        <v>21731.4</v>
      </c>
      <c r="AH19" s="49">
        <v>1.7899999999999999E-2</v>
      </c>
      <c r="AI19" s="13"/>
      <c r="AJ19" s="13"/>
      <c r="AK19" s="43" t="s">
        <v>161</v>
      </c>
      <c r="AL19" s="43" t="s">
        <v>174</v>
      </c>
      <c r="AM19" s="43" t="s">
        <v>152</v>
      </c>
      <c r="AN19" s="43" t="s">
        <v>175</v>
      </c>
      <c r="AO19" s="43" t="s">
        <v>176</v>
      </c>
      <c r="AP19" s="43" t="s">
        <v>177</v>
      </c>
      <c r="AQ19" s="43" t="s">
        <v>178</v>
      </c>
      <c r="AR19" s="43" t="s">
        <v>179</v>
      </c>
      <c r="AS19" s="43" t="s">
        <v>180</v>
      </c>
      <c r="AT19" s="13"/>
      <c r="AX19" s="13"/>
      <c r="AY19" s="13"/>
      <c r="AZ19" s="13"/>
      <c r="BA19" s="13"/>
      <c r="BB19" s="13"/>
      <c r="BC19" s="13"/>
      <c r="BD19" s="13"/>
      <c r="BE19" s="13"/>
      <c r="BF19" s="13"/>
      <c r="BG19" s="13"/>
      <c r="BH19" s="43" t="s">
        <v>161</v>
      </c>
      <c r="BI19" s="43" t="s">
        <v>174</v>
      </c>
      <c r="BJ19" s="43" t="s">
        <v>152</v>
      </c>
      <c r="BK19" s="43" t="s">
        <v>175</v>
      </c>
      <c r="BL19" s="43" t="s">
        <v>176</v>
      </c>
      <c r="BM19" s="43" t="s">
        <v>177</v>
      </c>
      <c r="BN19" s="43" t="s">
        <v>178</v>
      </c>
      <c r="BO19" s="43" t="s">
        <v>179</v>
      </c>
      <c r="BP19" s="43" t="s">
        <v>180</v>
      </c>
      <c r="BQ19" s="13"/>
    </row>
    <row r="20" spans="1:69">
      <c r="A20" s="13"/>
      <c r="B20" s="47">
        <v>45415</v>
      </c>
      <c r="C20" s="46">
        <v>299.33</v>
      </c>
      <c r="D20" s="49">
        <v>-0.01</v>
      </c>
      <c r="E20" s="13"/>
      <c r="F20" s="13"/>
      <c r="G20" s="13"/>
      <c r="H20" s="47">
        <v>45415</v>
      </c>
      <c r="I20" s="48">
        <v>22356.3</v>
      </c>
      <c r="J20" s="49">
        <v>-2.2000000000000001E-3</v>
      </c>
      <c r="K20" s="13"/>
      <c r="L20" s="13"/>
      <c r="M20" s="13"/>
      <c r="N20" s="13"/>
      <c r="O20" s="13"/>
      <c r="P20" s="13"/>
      <c r="Q20" s="13"/>
      <c r="R20" s="13"/>
      <c r="S20" s="13"/>
      <c r="T20" s="13"/>
      <c r="U20" s="13"/>
      <c r="V20" s="13"/>
      <c r="W20" s="13"/>
      <c r="X20" s="13"/>
      <c r="Y20" s="13"/>
      <c r="Z20" s="46" t="s">
        <v>367</v>
      </c>
      <c r="AA20" s="46">
        <v>282.86</v>
      </c>
      <c r="AB20" s="49">
        <v>5.4999999999999997E-3</v>
      </c>
      <c r="AC20" s="13"/>
      <c r="AD20" s="13"/>
      <c r="AE20" s="13"/>
      <c r="AF20" s="46" t="s">
        <v>367</v>
      </c>
      <c r="AG20" s="48">
        <v>21349.4</v>
      </c>
      <c r="AH20" s="49">
        <v>-5.0000000000000001E-3</v>
      </c>
      <c r="AI20" s="13"/>
      <c r="AJ20" s="13"/>
      <c r="AK20" s="13" t="s">
        <v>182</v>
      </c>
      <c r="AL20" s="13">
        <v>1.2620000000000001E-3</v>
      </c>
      <c r="AM20" s="13">
        <v>5.1000000000000004E-3</v>
      </c>
      <c r="AN20" s="13">
        <v>0.24738099999999999</v>
      </c>
      <c r="AO20" s="13">
        <v>0.80560699999999996</v>
      </c>
      <c r="AP20" s="13">
        <v>-8.9800000000000001E-3</v>
      </c>
      <c r="AQ20" s="13">
        <v>1.1501000000000001E-2</v>
      </c>
      <c r="AR20" s="13">
        <v>-8.9800000000000001E-3</v>
      </c>
      <c r="AS20" s="13">
        <v>1.1501000000000001E-2</v>
      </c>
      <c r="AT20" s="13"/>
      <c r="AX20" s="13"/>
      <c r="AY20" s="13"/>
      <c r="AZ20" s="13"/>
      <c r="BA20" s="13"/>
      <c r="BB20" s="13"/>
      <c r="BC20" s="13"/>
      <c r="BD20" s="13"/>
      <c r="BE20" s="13"/>
      <c r="BF20" s="13"/>
      <c r="BG20" s="13"/>
      <c r="BH20" s="13" t="s">
        <v>182</v>
      </c>
      <c r="BI20" s="13">
        <v>1.1453E-2</v>
      </c>
      <c r="BJ20" s="13">
        <v>2.8830999999999999E-2</v>
      </c>
      <c r="BK20" s="13">
        <v>0.39723700000000001</v>
      </c>
      <c r="BL20" s="13">
        <v>0.69953900000000002</v>
      </c>
      <c r="BM20" s="13">
        <v>-5.2789999999999997E-2</v>
      </c>
      <c r="BN20" s="13">
        <v>7.5690999999999994E-2</v>
      </c>
      <c r="BO20" s="13">
        <v>-5.2789999999999997E-2</v>
      </c>
      <c r="BP20" s="13">
        <v>7.5690999999999994E-2</v>
      </c>
      <c r="BQ20" s="13"/>
    </row>
    <row r="21" spans="1:69">
      <c r="A21" s="13"/>
      <c r="B21" s="47">
        <v>45385</v>
      </c>
      <c r="C21" s="46">
        <v>302.36</v>
      </c>
      <c r="D21" s="49">
        <v>-4.4000000000000003E-3</v>
      </c>
      <c r="E21" s="13"/>
      <c r="F21" s="13"/>
      <c r="G21" s="13"/>
      <c r="H21" s="47">
        <v>45385</v>
      </c>
      <c r="I21" s="48">
        <v>22405.599999999999</v>
      </c>
      <c r="J21" s="49">
        <v>1.1999999999999999E-3</v>
      </c>
      <c r="K21" s="13"/>
      <c r="L21" s="13"/>
      <c r="M21" s="43" t="s">
        <v>161</v>
      </c>
      <c r="N21" s="43" t="s">
        <v>174</v>
      </c>
      <c r="O21" s="43" t="s">
        <v>152</v>
      </c>
      <c r="P21" s="43" t="s">
        <v>175</v>
      </c>
      <c r="Q21" s="43" t="s">
        <v>176</v>
      </c>
      <c r="R21" s="43" t="s">
        <v>177</v>
      </c>
      <c r="S21" s="43" t="s">
        <v>178</v>
      </c>
      <c r="T21" s="43" t="s">
        <v>179</v>
      </c>
      <c r="U21" s="43" t="s">
        <v>180</v>
      </c>
      <c r="V21" s="13"/>
      <c r="W21" s="13"/>
      <c r="X21" s="13"/>
      <c r="Y21" s="13"/>
      <c r="Z21" s="47">
        <v>45211</v>
      </c>
      <c r="AA21" s="46">
        <v>281.32</v>
      </c>
      <c r="AB21" s="49">
        <v>-1.78E-2</v>
      </c>
      <c r="AC21" s="13"/>
      <c r="AD21" s="13"/>
      <c r="AE21" s="13"/>
      <c r="AF21" s="47">
        <v>45211</v>
      </c>
      <c r="AG21" s="48">
        <v>21456.65</v>
      </c>
      <c r="AH21" s="49">
        <v>2.3199999999999998E-2</v>
      </c>
      <c r="AI21" s="13"/>
      <c r="AJ21" s="13"/>
      <c r="AK21" s="45" t="s">
        <v>183</v>
      </c>
      <c r="AL21" s="45">
        <v>0.71077999999999997</v>
      </c>
      <c r="AM21" s="45">
        <v>0.36579200000000001</v>
      </c>
      <c r="AN21" s="45">
        <v>1.9431290000000001</v>
      </c>
      <c r="AO21" s="45">
        <v>5.7529999999999998E-2</v>
      </c>
      <c r="AP21" s="45">
        <v>-2.358E-2</v>
      </c>
      <c r="AQ21" s="45">
        <v>1.445138</v>
      </c>
      <c r="AR21" s="45">
        <v>-2.358E-2</v>
      </c>
      <c r="AS21" s="45">
        <v>1.445138</v>
      </c>
      <c r="AT21" s="13"/>
      <c r="AX21" s="13"/>
      <c r="AY21" s="13"/>
      <c r="AZ21" s="13"/>
      <c r="BA21" s="13"/>
      <c r="BB21" s="13"/>
      <c r="BC21" s="13"/>
      <c r="BD21" s="13"/>
      <c r="BE21" s="13"/>
      <c r="BF21" s="13"/>
      <c r="BG21" s="13"/>
      <c r="BH21" s="45" t="s">
        <v>183</v>
      </c>
      <c r="BI21" s="45">
        <v>0.58238000000000001</v>
      </c>
      <c r="BJ21" s="45">
        <v>0.78909499999999999</v>
      </c>
      <c r="BK21" s="45">
        <v>0.738035</v>
      </c>
      <c r="BL21" s="45">
        <v>0.47745500000000002</v>
      </c>
      <c r="BM21" s="45">
        <v>-1.1758299999999999</v>
      </c>
      <c r="BN21" s="45">
        <v>2.3405939999999998</v>
      </c>
      <c r="BO21" s="45">
        <v>-1.1758299999999999</v>
      </c>
      <c r="BP21" s="45">
        <v>2.3405939999999998</v>
      </c>
      <c r="BQ21" s="13"/>
    </row>
    <row r="22" spans="1:69">
      <c r="A22" s="13"/>
      <c r="B22" s="47">
        <v>45325</v>
      </c>
      <c r="C22" s="46">
        <v>303.69</v>
      </c>
      <c r="D22" s="49">
        <v>1.14E-2</v>
      </c>
      <c r="E22" s="13"/>
      <c r="F22" s="13"/>
      <c r="G22" s="13"/>
      <c r="H22" s="47">
        <v>45325</v>
      </c>
      <c r="I22" s="48">
        <v>22378.400000000001</v>
      </c>
      <c r="J22" s="49">
        <v>1.8E-3</v>
      </c>
      <c r="K22" s="13"/>
      <c r="L22" s="13"/>
      <c r="M22" s="13" t="s">
        <v>182</v>
      </c>
      <c r="N22" s="13">
        <v>7.5699999999999997E-4</v>
      </c>
      <c r="O22" s="13">
        <v>1.0740000000000001E-3</v>
      </c>
      <c r="P22" s="13">
        <v>0.70469499999999996</v>
      </c>
      <c r="Q22" s="13">
        <v>0.48167199999999999</v>
      </c>
      <c r="R22" s="13">
        <v>-1.3600000000000001E-3</v>
      </c>
      <c r="S22" s="13">
        <v>2.8730000000000001E-3</v>
      </c>
      <c r="T22" s="13">
        <v>-1.3600000000000001E-3</v>
      </c>
      <c r="U22" s="13">
        <v>2.8730000000000001E-3</v>
      </c>
      <c r="V22" s="13"/>
      <c r="W22" s="13"/>
      <c r="X22" s="13"/>
      <c r="Y22" s="13"/>
      <c r="Z22" s="47">
        <v>44997</v>
      </c>
      <c r="AA22" s="46">
        <v>286.43</v>
      </c>
      <c r="AB22" s="49">
        <v>1.24E-2</v>
      </c>
      <c r="AC22" s="13"/>
      <c r="AD22" s="13"/>
      <c r="AE22" s="13"/>
      <c r="AF22" s="47">
        <v>44997</v>
      </c>
      <c r="AG22" s="48">
        <v>20969.400000000001</v>
      </c>
      <c r="AH22" s="49">
        <v>3.4599999999999999E-2</v>
      </c>
      <c r="AI22" s="13"/>
      <c r="AJ22" s="13"/>
      <c r="AK22" s="13"/>
      <c r="AL22" s="13"/>
      <c r="AM22" s="13"/>
      <c r="AN22" s="13"/>
      <c r="AO22" s="13"/>
      <c r="AP22" s="13"/>
      <c r="AQ22" s="13"/>
      <c r="AR22" s="13"/>
      <c r="AS22" s="13"/>
      <c r="AT22" s="13"/>
      <c r="AX22" s="13"/>
      <c r="AY22" s="13"/>
      <c r="AZ22" s="13"/>
      <c r="BA22" s="13"/>
      <c r="BB22" s="13"/>
      <c r="BC22" s="13"/>
      <c r="BD22" s="13"/>
      <c r="BE22" s="13"/>
      <c r="BF22" s="13"/>
      <c r="BG22" s="13"/>
      <c r="BH22" s="13"/>
      <c r="BI22" s="13"/>
      <c r="BJ22" s="13"/>
      <c r="BK22" s="13"/>
      <c r="BL22" s="13"/>
      <c r="BM22" s="13"/>
      <c r="BN22" s="13"/>
      <c r="BO22" s="13"/>
      <c r="BP22" s="13"/>
      <c r="BQ22" s="13"/>
    </row>
    <row r="23" spans="1:69">
      <c r="A23" s="13"/>
      <c r="B23" s="47">
        <v>45294</v>
      </c>
      <c r="C23" s="46">
        <v>300.27</v>
      </c>
      <c r="D23" s="49">
        <v>-4.0000000000000002E-4</v>
      </c>
      <c r="E23" s="13"/>
      <c r="F23" s="13"/>
      <c r="G23" s="13"/>
      <c r="H23" s="47">
        <v>45294</v>
      </c>
      <c r="I23" s="48">
        <v>22338.75</v>
      </c>
      <c r="J23" s="49">
        <v>1.6199999999999999E-2</v>
      </c>
      <c r="K23" s="13"/>
      <c r="L23" s="13"/>
      <c r="M23" s="45" t="s">
        <v>183</v>
      </c>
      <c r="N23" s="45">
        <v>0.395366</v>
      </c>
      <c r="O23" s="45">
        <v>0.17174800000000001</v>
      </c>
      <c r="P23" s="45">
        <v>2.3020170000000002</v>
      </c>
      <c r="Q23" s="45">
        <v>2.2176999999999999E-2</v>
      </c>
      <c r="R23" s="45">
        <v>5.7069000000000002E-2</v>
      </c>
      <c r="S23" s="45">
        <v>0.73366299999999995</v>
      </c>
      <c r="T23" s="45">
        <v>5.7069000000000002E-2</v>
      </c>
      <c r="U23" s="45">
        <v>0.73366299999999995</v>
      </c>
      <c r="V23" s="13"/>
      <c r="W23" s="13"/>
      <c r="X23" s="13"/>
      <c r="Y23" s="13"/>
      <c r="Z23" s="46" t="s">
        <v>368</v>
      </c>
      <c r="AA23" s="46">
        <v>282.91000000000003</v>
      </c>
      <c r="AB23" s="49">
        <v>5.3E-3</v>
      </c>
      <c r="AC23" s="13"/>
      <c r="AD23" s="13"/>
      <c r="AE23" s="13"/>
      <c r="AF23" s="46" t="s">
        <v>368</v>
      </c>
      <c r="AG23" s="48">
        <v>20267.900000000001</v>
      </c>
      <c r="AH23" s="49">
        <v>2.3900000000000001E-2</v>
      </c>
      <c r="AI23" s="13"/>
      <c r="AJ23" s="13"/>
      <c r="AK23" s="51" t="s">
        <v>185</v>
      </c>
      <c r="AL23" s="51">
        <v>0.71077999999999997</v>
      </c>
      <c r="AM23" s="13"/>
      <c r="AN23" s="13"/>
      <c r="AO23" s="13"/>
      <c r="AP23" s="13"/>
      <c r="AQ23" s="13"/>
      <c r="AR23" s="13"/>
      <c r="AS23" s="13"/>
      <c r="AT23" s="13"/>
      <c r="BH23" s="60" t="s">
        <v>185</v>
      </c>
      <c r="BI23" s="60">
        <v>0.58238000000000001</v>
      </c>
    </row>
    <row r="24" spans="1:69">
      <c r="A24" s="13"/>
      <c r="B24" s="46" t="s">
        <v>369</v>
      </c>
      <c r="C24" s="46">
        <v>300.39999999999998</v>
      </c>
      <c r="D24" s="49">
        <v>3.7000000000000002E-3</v>
      </c>
      <c r="E24" s="13"/>
      <c r="F24" s="13"/>
      <c r="G24" s="13"/>
      <c r="H24" s="46" t="s">
        <v>369</v>
      </c>
      <c r="I24" s="48">
        <v>21982.799999999999</v>
      </c>
      <c r="J24" s="49">
        <v>1.4E-3</v>
      </c>
      <c r="K24" s="13"/>
      <c r="L24" s="13"/>
      <c r="M24" s="13"/>
      <c r="N24" s="13"/>
      <c r="O24" s="13"/>
      <c r="P24" s="13"/>
      <c r="Q24" s="13"/>
      <c r="R24" s="13"/>
      <c r="S24" s="13"/>
      <c r="T24" s="13"/>
      <c r="U24" s="13"/>
      <c r="V24" s="13"/>
      <c r="W24" s="13"/>
      <c r="X24" s="13"/>
      <c r="Y24" s="13"/>
      <c r="Z24" s="46" t="s">
        <v>370</v>
      </c>
      <c r="AA24" s="46">
        <v>281.42</v>
      </c>
      <c r="AB24" s="49">
        <v>1.09E-2</v>
      </c>
      <c r="AC24" s="13"/>
      <c r="AD24" s="13"/>
      <c r="AE24" s="13"/>
      <c r="AF24" s="46" t="s">
        <v>370</v>
      </c>
      <c r="AG24" s="48">
        <v>19794.7</v>
      </c>
      <c r="AH24" s="49">
        <v>3.2000000000000002E-3</v>
      </c>
      <c r="AI24" s="13"/>
      <c r="AJ24" s="13"/>
      <c r="AK24" s="13"/>
      <c r="AL24" s="13"/>
      <c r="AM24" s="13"/>
      <c r="AN24" s="13"/>
      <c r="AO24" s="13"/>
      <c r="AP24" s="13"/>
      <c r="AQ24" s="13"/>
      <c r="AR24" s="13"/>
      <c r="AS24" s="13"/>
      <c r="AT24" s="13"/>
    </row>
    <row r="25" spans="1:69" ht="15.75">
      <c r="A25" s="13"/>
      <c r="B25" s="46" t="s">
        <v>371</v>
      </c>
      <c r="C25" s="46">
        <v>299.3</v>
      </c>
      <c r="D25" s="49">
        <v>-1.6999999999999999E-3</v>
      </c>
      <c r="E25" s="13"/>
      <c r="F25" s="13"/>
      <c r="G25" s="13"/>
      <c r="H25" s="46" t="s">
        <v>371</v>
      </c>
      <c r="I25" s="48">
        <v>21951.15</v>
      </c>
      <c r="J25" s="49">
        <v>-1.11E-2</v>
      </c>
      <c r="K25" s="13"/>
      <c r="L25" s="13"/>
      <c r="M25" s="41" t="s">
        <v>185</v>
      </c>
      <c r="N25" s="41">
        <v>0.395366</v>
      </c>
      <c r="O25" s="13"/>
      <c r="P25" s="13"/>
      <c r="Q25" s="13"/>
      <c r="R25" s="13"/>
      <c r="S25" s="13"/>
      <c r="T25" s="13"/>
      <c r="U25" s="13"/>
      <c r="V25" s="13"/>
      <c r="W25" s="13"/>
      <c r="X25" s="13"/>
      <c r="Y25" s="13"/>
      <c r="Z25" s="47">
        <v>45271</v>
      </c>
      <c r="AA25" s="46">
        <v>278.38</v>
      </c>
      <c r="AB25" s="49">
        <v>7.0599999999999996E-2</v>
      </c>
      <c r="AC25" s="13"/>
      <c r="AD25" s="13"/>
      <c r="AE25" s="13"/>
      <c r="AF25" s="47">
        <v>45271</v>
      </c>
      <c r="AG25" s="48">
        <v>19731.8</v>
      </c>
      <c r="AH25" s="49">
        <v>1.5800000000000002E-2</v>
      </c>
      <c r="AI25" s="13"/>
      <c r="AJ25" s="13"/>
      <c r="AK25" s="13"/>
      <c r="AL25" s="13"/>
      <c r="AM25" s="13"/>
      <c r="AN25" s="13"/>
      <c r="AO25" s="13"/>
      <c r="AP25" s="13"/>
      <c r="AQ25" s="13"/>
      <c r="AR25" s="13"/>
      <c r="AS25" s="13"/>
      <c r="AT25" s="13"/>
    </row>
    <row r="26" spans="1:69">
      <c r="A26" s="13"/>
      <c r="B26" s="46" t="s">
        <v>372</v>
      </c>
      <c r="C26" s="46">
        <v>299.81</v>
      </c>
      <c r="D26" s="49">
        <v>1.0800000000000001E-2</v>
      </c>
      <c r="E26" s="13"/>
      <c r="F26" s="13"/>
      <c r="G26" s="13"/>
      <c r="H26" s="46" t="s">
        <v>372</v>
      </c>
      <c r="I26" s="48">
        <v>22198.35</v>
      </c>
      <c r="J26" s="49">
        <v>3.3999999999999998E-3</v>
      </c>
      <c r="K26" s="13"/>
      <c r="L26" s="13"/>
      <c r="M26" s="13"/>
      <c r="N26" s="13"/>
      <c r="O26" s="13"/>
      <c r="P26" s="13"/>
      <c r="Q26" s="13"/>
      <c r="R26" s="13"/>
      <c r="S26" s="13"/>
      <c r="T26" s="13"/>
      <c r="U26" s="13"/>
      <c r="V26" s="13"/>
      <c r="W26" s="13"/>
      <c r="X26" s="13"/>
      <c r="Y26" s="13"/>
      <c r="Z26" s="47">
        <v>45057</v>
      </c>
      <c r="AA26" s="46">
        <v>260.02</v>
      </c>
      <c r="AB26" s="49">
        <v>-4.8999999999999998E-3</v>
      </c>
      <c r="AC26" s="13"/>
      <c r="AD26" s="13"/>
      <c r="AE26" s="13"/>
      <c r="AF26" s="47">
        <v>45057</v>
      </c>
      <c r="AG26" s="48">
        <v>19425.349999999999</v>
      </c>
      <c r="AH26" s="49">
        <v>1.01E-2</v>
      </c>
      <c r="AI26" s="13"/>
      <c r="AJ26" s="13"/>
      <c r="AK26" s="13"/>
      <c r="AL26" s="13"/>
      <c r="AM26" s="13"/>
      <c r="AN26" s="13"/>
      <c r="AO26" s="13"/>
      <c r="AP26" s="13"/>
      <c r="AQ26" s="13"/>
      <c r="AR26" s="13"/>
      <c r="AS26" s="13"/>
      <c r="AT26" s="13"/>
    </row>
    <row r="27" spans="1:69">
      <c r="A27" s="13"/>
      <c r="B27" s="46" t="s">
        <v>373</v>
      </c>
      <c r="C27" s="46">
        <v>296.62</v>
      </c>
      <c r="D27" s="49">
        <v>-1.4500000000000001E-2</v>
      </c>
      <c r="E27" s="13"/>
      <c r="F27" s="13"/>
      <c r="G27" s="13"/>
      <c r="H27" s="46" t="s">
        <v>373</v>
      </c>
      <c r="I27" s="48">
        <v>22122.05</v>
      </c>
      <c r="J27" s="49">
        <v>-4.1000000000000003E-3</v>
      </c>
      <c r="K27" s="13"/>
      <c r="L27" s="13"/>
      <c r="M27" s="13"/>
      <c r="N27" s="13"/>
      <c r="O27" s="13"/>
      <c r="P27" s="13"/>
      <c r="Q27" s="13"/>
      <c r="R27" s="13"/>
      <c r="S27" s="13"/>
      <c r="T27" s="13"/>
      <c r="U27" s="13"/>
      <c r="V27" s="13"/>
      <c r="W27" s="13"/>
      <c r="X27" s="13"/>
      <c r="Y27" s="13"/>
      <c r="Z27" s="46" t="s">
        <v>374</v>
      </c>
      <c r="AA27" s="46">
        <v>261.3</v>
      </c>
      <c r="AB27" s="49">
        <v>1.1299999999999999E-2</v>
      </c>
      <c r="AC27" s="13"/>
      <c r="AD27" s="13"/>
      <c r="AE27" s="13"/>
      <c r="AF27" s="46" t="s">
        <v>374</v>
      </c>
      <c r="AG27" s="48">
        <v>19230.599999999999</v>
      </c>
      <c r="AH27" s="49">
        <v>9.5999999999999992E-3</v>
      </c>
      <c r="AI27" s="13"/>
      <c r="AJ27" s="13"/>
      <c r="AK27" s="13"/>
      <c r="AL27" s="13"/>
      <c r="AM27" s="13"/>
      <c r="AN27" s="13"/>
      <c r="AO27" s="13"/>
      <c r="AP27" s="13"/>
      <c r="AQ27" s="13"/>
      <c r="AR27" s="13"/>
      <c r="AS27" s="13"/>
      <c r="AT27" s="13"/>
    </row>
    <row r="28" spans="1:69">
      <c r="A28" s="13"/>
      <c r="B28" s="46" t="s">
        <v>375</v>
      </c>
      <c r="C28" s="46">
        <v>300.97000000000003</v>
      </c>
      <c r="D28" s="49">
        <v>3.4599999999999999E-2</v>
      </c>
      <c r="E28" s="13"/>
      <c r="F28" s="13"/>
      <c r="G28" s="13"/>
      <c r="H28" s="46" t="s">
        <v>375</v>
      </c>
      <c r="I28" s="48">
        <v>22212.7</v>
      </c>
      <c r="J28" s="49">
        <v>-2.0000000000000001E-4</v>
      </c>
      <c r="K28" s="13"/>
      <c r="L28" s="13"/>
      <c r="M28" s="13"/>
      <c r="N28" s="13"/>
      <c r="O28" s="13"/>
      <c r="P28" s="13"/>
      <c r="Q28" s="13"/>
      <c r="R28" s="13"/>
      <c r="S28" s="13"/>
      <c r="T28" s="13"/>
      <c r="U28" s="13"/>
      <c r="V28" s="13"/>
      <c r="W28" s="13"/>
      <c r="X28" s="13"/>
      <c r="Y28" s="13"/>
      <c r="Z28" s="46" t="s">
        <v>376</v>
      </c>
      <c r="AA28" s="46">
        <v>258.38</v>
      </c>
      <c r="AB28" s="49">
        <v>-8.3000000000000004E-2</v>
      </c>
      <c r="AC28" s="13"/>
      <c r="AD28" s="13"/>
      <c r="AE28" s="13"/>
      <c r="AF28" s="46" t="s">
        <v>376</v>
      </c>
      <c r="AG28" s="48">
        <v>19047.25</v>
      </c>
      <c r="AH28" s="49">
        <v>-2.53E-2</v>
      </c>
      <c r="AI28" s="13"/>
      <c r="AJ28" s="13"/>
      <c r="AK28" s="13"/>
      <c r="AL28" s="13"/>
      <c r="AM28" s="13"/>
      <c r="AN28" s="13"/>
      <c r="AO28" s="13"/>
      <c r="AP28" s="13"/>
      <c r="AQ28" s="13"/>
      <c r="AR28" s="13"/>
      <c r="AS28" s="13"/>
      <c r="AT28" s="13"/>
    </row>
    <row r="29" spans="1:69">
      <c r="A29" s="13"/>
      <c r="B29" s="46" t="s">
        <v>377</v>
      </c>
      <c r="C29" s="46">
        <v>290.89999999999998</v>
      </c>
      <c r="D29" s="49">
        <v>2E-3</v>
      </c>
      <c r="E29" s="13"/>
      <c r="F29" s="13"/>
      <c r="G29" s="13"/>
      <c r="H29" s="46" t="s">
        <v>377</v>
      </c>
      <c r="I29" s="48">
        <v>22217.45</v>
      </c>
      <c r="J29" s="49">
        <v>7.4000000000000003E-3</v>
      </c>
      <c r="K29" s="13"/>
      <c r="L29" s="13"/>
      <c r="M29" s="13"/>
      <c r="N29" s="13"/>
      <c r="O29" s="13"/>
      <c r="P29" s="13"/>
      <c r="Q29" s="13"/>
      <c r="R29" s="13"/>
      <c r="S29" s="13"/>
      <c r="T29" s="13"/>
      <c r="U29" s="13"/>
      <c r="V29" s="13"/>
      <c r="W29" s="13"/>
      <c r="X29" s="13"/>
      <c r="Y29" s="13"/>
      <c r="Z29" s="46" t="s">
        <v>378</v>
      </c>
      <c r="AA29" s="46">
        <v>281.77</v>
      </c>
      <c r="AB29" s="49">
        <v>-1.5800000000000002E-2</v>
      </c>
      <c r="AC29" s="13"/>
      <c r="AD29" s="13"/>
      <c r="AE29" s="13"/>
      <c r="AF29" s="46" t="s">
        <v>378</v>
      </c>
      <c r="AG29" s="48">
        <v>19542.650000000001</v>
      </c>
      <c r="AH29" s="49">
        <v>-1.06E-2</v>
      </c>
      <c r="AI29" s="13"/>
      <c r="AJ29" s="13"/>
      <c r="AK29" s="13"/>
      <c r="AL29" s="13"/>
      <c r="AM29" s="13"/>
      <c r="AN29" s="13"/>
      <c r="AO29" s="13"/>
      <c r="AP29" s="13"/>
      <c r="AQ29" s="13"/>
      <c r="AR29" s="13"/>
      <c r="AS29" s="13"/>
      <c r="AT29" s="13"/>
    </row>
    <row r="30" spans="1:69">
      <c r="A30" s="13"/>
      <c r="B30" s="46" t="s">
        <v>379</v>
      </c>
      <c r="C30" s="46">
        <v>290.33</v>
      </c>
      <c r="D30" s="49">
        <v>3.2000000000000001E-2</v>
      </c>
      <c r="E30" s="13"/>
      <c r="F30" s="13"/>
      <c r="G30" s="13"/>
      <c r="H30" s="46" t="s">
        <v>379</v>
      </c>
      <c r="I30" s="48">
        <v>22055.05</v>
      </c>
      <c r="J30" s="49">
        <v>-6.4000000000000003E-3</v>
      </c>
      <c r="K30" s="13"/>
      <c r="L30" s="13"/>
      <c r="M30" s="13"/>
      <c r="N30" s="13"/>
      <c r="O30" s="13"/>
      <c r="P30" s="13"/>
      <c r="Q30" s="13"/>
      <c r="R30" s="13"/>
      <c r="S30" s="13"/>
      <c r="T30" s="13"/>
      <c r="U30" s="13"/>
      <c r="V30" s="13"/>
      <c r="W30" s="13"/>
      <c r="X30" s="13"/>
      <c r="Y30" s="13"/>
      <c r="Z30" s="47">
        <v>45148</v>
      </c>
      <c r="AA30" s="46">
        <v>286.3</v>
      </c>
      <c r="AB30" s="49">
        <v>1.5E-3</v>
      </c>
      <c r="AC30" s="13"/>
      <c r="AD30" s="13"/>
      <c r="AE30" s="13"/>
      <c r="AF30" s="47">
        <v>45148</v>
      </c>
      <c r="AG30" s="48">
        <v>19751.05</v>
      </c>
      <c r="AH30" s="49">
        <v>5.0000000000000001E-3</v>
      </c>
      <c r="AI30" s="13"/>
      <c r="AJ30" s="13"/>
      <c r="AK30" s="13"/>
      <c r="AL30" s="13"/>
      <c r="AM30" s="13"/>
      <c r="AN30" s="13"/>
      <c r="AO30" s="13"/>
      <c r="AP30" s="13"/>
      <c r="AQ30" s="13"/>
      <c r="AR30" s="13"/>
      <c r="AS30" s="13"/>
      <c r="AT30" s="13"/>
    </row>
    <row r="31" spans="1:69">
      <c r="A31" s="13"/>
      <c r="B31" s="46" t="s">
        <v>380</v>
      </c>
      <c r="C31" s="46">
        <v>281.33999999999997</v>
      </c>
      <c r="D31" s="49">
        <v>3.44E-2</v>
      </c>
      <c r="E31" s="13"/>
      <c r="F31" s="13"/>
      <c r="G31" s="13"/>
      <c r="H31" s="46" t="s">
        <v>380</v>
      </c>
      <c r="I31" s="48">
        <v>22196.95</v>
      </c>
      <c r="J31" s="49">
        <v>3.3999999999999998E-3</v>
      </c>
      <c r="K31" s="13"/>
      <c r="L31" s="13"/>
      <c r="M31" s="13"/>
      <c r="N31" s="13"/>
      <c r="O31" s="13"/>
      <c r="P31" s="13"/>
      <c r="Q31" s="13"/>
      <c r="R31" s="13"/>
      <c r="S31" s="13"/>
      <c r="T31" s="13"/>
      <c r="U31" s="13"/>
      <c r="V31" s="13"/>
      <c r="W31" s="13"/>
      <c r="X31" s="13"/>
      <c r="Y31" s="13"/>
      <c r="Z31" s="47">
        <v>44936</v>
      </c>
      <c r="AA31" s="46">
        <v>285.87</v>
      </c>
      <c r="AB31" s="49">
        <v>-1.6299999999999999E-2</v>
      </c>
      <c r="AC31" s="13"/>
      <c r="AD31" s="13"/>
      <c r="AE31" s="13"/>
      <c r="AF31" s="47">
        <v>44936</v>
      </c>
      <c r="AG31" s="48">
        <v>19653.5</v>
      </c>
      <c r="AH31" s="49">
        <v>8.0000000000000004E-4</v>
      </c>
      <c r="AI31" s="13"/>
      <c r="AJ31" s="13"/>
      <c r="AK31" s="13"/>
      <c r="AL31" s="13"/>
      <c r="AM31" s="13"/>
      <c r="AN31" s="13"/>
      <c r="AO31" s="13"/>
      <c r="AP31" s="13"/>
      <c r="AQ31" s="13"/>
      <c r="AR31" s="13"/>
      <c r="AS31" s="13"/>
      <c r="AT31" s="13"/>
    </row>
    <row r="32" spans="1:69">
      <c r="A32" s="13"/>
      <c r="B32" s="46" t="s">
        <v>381</v>
      </c>
      <c r="C32" s="46">
        <v>271.98</v>
      </c>
      <c r="D32" s="49">
        <v>-7.3000000000000001E-3</v>
      </c>
      <c r="E32" s="13"/>
      <c r="F32" s="13"/>
      <c r="G32" s="13"/>
      <c r="H32" s="46" t="s">
        <v>381</v>
      </c>
      <c r="I32" s="48">
        <v>22122.25</v>
      </c>
      <c r="J32" s="49">
        <v>3.7000000000000002E-3</v>
      </c>
      <c r="K32" s="13"/>
      <c r="L32" s="13"/>
      <c r="M32" s="13"/>
      <c r="N32" s="13"/>
      <c r="O32" s="13"/>
      <c r="P32" s="13"/>
      <c r="Q32" s="13"/>
      <c r="R32" s="13"/>
      <c r="S32" s="13"/>
      <c r="T32" s="13"/>
      <c r="U32" s="13"/>
      <c r="V32" s="13"/>
      <c r="W32" s="13"/>
      <c r="X32" s="13"/>
      <c r="Y32" s="13"/>
      <c r="Z32" s="46" t="s">
        <v>382</v>
      </c>
      <c r="AA32" s="46">
        <v>290.62</v>
      </c>
      <c r="AB32" s="49">
        <v>-2.1399999999999999E-2</v>
      </c>
      <c r="AC32" s="13"/>
      <c r="AD32" s="13"/>
      <c r="AE32" s="13"/>
      <c r="AF32" s="46" t="s">
        <v>382</v>
      </c>
      <c r="AG32" s="48">
        <v>19638.3</v>
      </c>
      <c r="AH32" s="49">
        <v>-1.8E-3</v>
      </c>
      <c r="AI32" s="13"/>
      <c r="AJ32" s="13"/>
      <c r="AK32" s="13"/>
      <c r="AL32" s="13"/>
      <c r="AM32" s="13"/>
      <c r="AN32" s="13"/>
      <c r="AO32" s="13"/>
      <c r="AP32" s="13"/>
      <c r="AQ32" s="13"/>
      <c r="AR32" s="13"/>
      <c r="AS32" s="13"/>
      <c r="AT32" s="13"/>
    </row>
    <row r="33" spans="1:46">
      <c r="A33" s="13"/>
      <c r="B33" s="46" t="s">
        <v>383</v>
      </c>
      <c r="C33" s="46">
        <v>273.97000000000003</v>
      </c>
      <c r="D33" s="49">
        <v>2.23E-2</v>
      </c>
      <c r="E33" s="13"/>
      <c r="F33" s="13"/>
      <c r="G33" s="13"/>
      <c r="H33" s="46" t="s">
        <v>383</v>
      </c>
      <c r="I33" s="48">
        <v>22040.7</v>
      </c>
      <c r="J33" s="49">
        <v>5.8999999999999999E-3</v>
      </c>
      <c r="K33" s="13"/>
      <c r="L33" s="13"/>
      <c r="M33" s="13"/>
      <c r="N33" s="13"/>
      <c r="O33" s="13"/>
      <c r="P33" s="13"/>
      <c r="Q33" s="13"/>
      <c r="R33" s="13"/>
      <c r="S33" s="13"/>
      <c r="T33" s="13"/>
      <c r="U33" s="13"/>
      <c r="V33" s="13"/>
      <c r="W33" s="13"/>
      <c r="X33" s="13"/>
      <c r="Y33" s="13"/>
      <c r="Z33" s="46" t="s">
        <v>384</v>
      </c>
      <c r="AA33" s="46">
        <v>296.99</v>
      </c>
      <c r="AB33" s="49">
        <v>8.6E-3</v>
      </c>
      <c r="AC33" s="13"/>
      <c r="AD33" s="13"/>
      <c r="AE33" s="13"/>
      <c r="AF33" s="46" t="s">
        <v>384</v>
      </c>
      <c r="AG33" s="48">
        <v>19674.25</v>
      </c>
      <c r="AH33" s="49">
        <v>-2.5700000000000001E-2</v>
      </c>
      <c r="AI33" s="13"/>
      <c r="AJ33" s="13"/>
      <c r="AK33" s="13"/>
      <c r="AL33" s="13"/>
      <c r="AM33" s="13"/>
      <c r="AN33" s="13"/>
      <c r="AO33" s="13"/>
      <c r="AP33" s="13"/>
      <c r="AQ33" s="13"/>
      <c r="AR33" s="13"/>
      <c r="AS33" s="13"/>
      <c r="AT33" s="13"/>
    </row>
    <row r="34" spans="1:46">
      <c r="A34" s="13"/>
      <c r="B34" s="46" t="s">
        <v>385</v>
      </c>
      <c r="C34" s="46">
        <v>267.99</v>
      </c>
      <c r="D34" s="49">
        <v>-1.8700000000000001E-2</v>
      </c>
      <c r="E34" s="13"/>
      <c r="F34" s="13"/>
      <c r="G34" s="13"/>
      <c r="H34" s="46" t="s">
        <v>385</v>
      </c>
      <c r="I34" s="48">
        <v>21910.75</v>
      </c>
      <c r="J34" s="49">
        <v>3.2000000000000002E-3</v>
      </c>
      <c r="K34" s="13"/>
      <c r="L34" s="13"/>
      <c r="M34" s="13"/>
      <c r="N34" s="13"/>
      <c r="O34" s="13"/>
      <c r="P34" s="13"/>
      <c r="Q34" s="13"/>
      <c r="R34" s="13"/>
      <c r="S34" s="13"/>
      <c r="T34" s="13"/>
      <c r="U34" s="13"/>
      <c r="V34" s="13"/>
      <c r="W34" s="13"/>
      <c r="X34" s="13"/>
      <c r="Y34" s="13"/>
      <c r="Z34" s="47">
        <v>45208</v>
      </c>
      <c r="AA34" s="46">
        <v>294.45999999999998</v>
      </c>
      <c r="AB34" s="49">
        <v>-2.87E-2</v>
      </c>
      <c r="AC34" s="13"/>
      <c r="AD34" s="13"/>
      <c r="AE34" s="13"/>
      <c r="AF34" s="47">
        <v>45208</v>
      </c>
      <c r="AG34" s="48">
        <v>20192.349999999999</v>
      </c>
      <c r="AH34" s="49">
        <v>1.8800000000000001E-2</v>
      </c>
      <c r="AI34" s="13"/>
      <c r="AJ34" s="13"/>
      <c r="AK34" s="13"/>
      <c r="AL34" s="13"/>
      <c r="AM34" s="13"/>
      <c r="AN34" s="13"/>
      <c r="AO34" s="13"/>
      <c r="AP34" s="13"/>
      <c r="AQ34" s="13"/>
      <c r="AR34" s="13"/>
      <c r="AS34" s="13"/>
      <c r="AT34" s="13"/>
    </row>
    <row r="35" spans="1:46">
      <c r="A35" s="13"/>
      <c r="B35" s="46" t="s">
        <v>386</v>
      </c>
      <c r="C35" s="46">
        <v>273.11</v>
      </c>
      <c r="D35" s="49">
        <v>1.9E-3</v>
      </c>
      <c r="E35" s="13"/>
      <c r="F35" s="13"/>
      <c r="G35" s="13"/>
      <c r="H35" s="46" t="s">
        <v>386</v>
      </c>
      <c r="I35" s="48">
        <v>21840.05</v>
      </c>
      <c r="J35" s="49">
        <v>4.4999999999999997E-3</v>
      </c>
      <c r="K35" s="13"/>
      <c r="L35" s="13"/>
      <c r="M35" s="13"/>
      <c r="N35" s="13"/>
      <c r="O35" s="13"/>
      <c r="P35" s="13"/>
      <c r="Q35" s="13"/>
      <c r="R35" s="13"/>
      <c r="S35" s="13"/>
      <c r="T35" s="13"/>
      <c r="U35" s="13"/>
      <c r="V35" s="13"/>
      <c r="W35" s="13"/>
      <c r="X35" s="13"/>
      <c r="Y35" s="13"/>
      <c r="Z35" s="47">
        <v>44994</v>
      </c>
      <c r="AA35" s="46">
        <v>303.14999999999998</v>
      </c>
      <c r="AB35" s="49">
        <v>7.9600000000000004E-2</v>
      </c>
      <c r="AC35" s="13"/>
      <c r="AD35" s="13"/>
      <c r="AE35" s="13"/>
      <c r="AF35" s="47">
        <v>44994</v>
      </c>
      <c r="AG35" s="48">
        <v>19819.95</v>
      </c>
      <c r="AH35" s="49">
        <v>1.9800000000000002E-2</v>
      </c>
      <c r="AI35" s="13"/>
      <c r="AJ35" s="13"/>
      <c r="AK35" s="13"/>
      <c r="AL35" s="13"/>
      <c r="AM35" s="13"/>
      <c r="AN35" s="13"/>
      <c r="AO35" s="13"/>
      <c r="AP35" s="13"/>
      <c r="AQ35" s="13"/>
      <c r="AR35" s="13"/>
      <c r="AS35" s="13"/>
      <c r="AT35" s="13"/>
    </row>
    <row r="36" spans="1:46">
      <c r="A36" s="13"/>
      <c r="B36" s="46" t="s">
        <v>387</v>
      </c>
      <c r="C36" s="46">
        <v>272.60000000000002</v>
      </c>
      <c r="D36" s="49">
        <v>-9.1000000000000004E-3</v>
      </c>
      <c r="E36" s="13"/>
      <c r="F36" s="13"/>
      <c r="G36" s="13"/>
      <c r="H36" s="46" t="s">
        <v>387</v>
      </c>
      <c r="I36" s="48">
        <v>21743.25</v>
      </c>
      <c r="J36" s="49">
        <v>5.8999999999999999E-3</v>
      </c>
      <c r="K36" s="13"/>
      <c r="L36" s="13"/>
      <c r="M36" s="13"/>
      <c r="N36" s="13"/>
      <c r="O36" s="13"/>
      <c r="P36" s="13"/>
      <c r="Q36" s="13"/>
      <c r="R36" s="13"/>
      <c r="S36" s="13"/>
      <c r="T36" s="13"/>
      <c r="U36" s="13"/>
      <c r="V36" s="13"/>
      <c r="W36" s="13"/>
      <c r="X36" s="13"/>
      <c r="Y36" s="13"/>
      <c r="Z36" s="46" t="s">
        <v>388</v>
      </c>
      <c r="AA36" s="46">
        <v>280.79000000000002</v>
      </c>
      <c r="AB36" s="49">
        <v>2.1499999999999998E-2</v>
      </c>
      <c r="AC36" s="13"/>
      <c r="AD36" s="13"/>
      <c r="AE36" s="13"/>
      <c r="AF36" s="46" t="s">
        <v>388</v>
      </c>
      <c r="AG36" s="48">
        <v>19435.3</v>
      </c>
      <c r="AH36" s="49">
        <v>8.8000000000000005E-3</v>
      </c>
      <c r="AI36" s="13"/>
      <c r="AJ36" s="13"/>
      <c r="AK36" s="13"/>
      <c r="AL36" s="13"/>
      <c r="AM36" s="13"/>
      <c r="AN36" s="13"/>
      <c r="AO36" s="13"/>
      <c r="AP36" s="13"/>
      <c r="AQ36" s="13"/>
      <c r="AR36" s="13"/>
      <c r="AS36" s="13"/>
      <c r="AT36" s="13"/>
    </row>
    <row r="37" spans="1:46">
      <c r="A37" s="13"/>
      <c r="B37" s="47">
        <v>45628</v>
      </c>
      <c r="C37" s="46">
        <v>275.08999999999997</v>
      </c>
      <c r="D37" s="49">
        <v>-1.8E-3</v>
      </c>
      <c r="E37" s="13"/>
      <c r="F37" s="13"/>
      <c r="G37" s="13"/>
      <c r="H37" s="47">
        <v>45628</v>
      </c>
      <c r="I37" s="48">
        <v>21616.05</v>
      </c>
      <c r="J37" s="49">
        <v>-7.6E-3</v>
      </c>
      <c r="K37" s="13"/>
      <c r="L37" s="13"/>
      <c r="M37" s="13"/>
      <c r="N37" s="13"/>
      <c r="O37" s="13"/>
      <c r="P37" s="13"/>
      <c r="Q37" s="13"/>
      <c r="R37" s="13"/>
      <c r="S37" s="13"/>
      <c r="T37" s="13"/>
      <c r="U37" s="13"/>
      <c r="V37" s="13"/>
      <c r="W37" s="13"/>
      <c r="X37" s="13"/>
      <c r="Y37" s="13"/>
      <c r="Z37" s="46" t="s">
        <v>389</v>
      </c>
      <c r="AA37" s="46">
        <v>274.87</v>
      </c>
      <c r="AB37" s="49">
        <v>3.2800000000000003E-2</v>
      </c>
      <c r="AC37" s="13"/>
      <c r="AD37" s="13"/>
      <c r="AE37" s="13"/>
      <c r="AF37" s="46" t="s">
        <v>389</v>
      </c>
      <c r="AG37" s="48">
        <v>19265.8</v>
      </c>
      <c r="AH37" s="49">
        <v>-2.3E-3</v>
      </c>
      <c r="AI37" s="13"/>
      <c r="AJ37" s="13"/>
      <c r="AK37" s="13"/>
      <c r="AL37" s="13"/>
      <c r="AM37" s="13"/>
      <c r="AN37" s="13"/>
      <c r="AO37" s="13"/>
      <c r="AP37" s="13"/>
      <c r="AQ37" s="13"/>
      <c r="AR37" s="13"/>
      <c r="AS37" s="13"/>
      <c r="AT37" s="13"/>
    </row>
    <row r="38" spans="1:46">
      <c r="A38" s="13"/>
      <c r="B38" s="47">
        <v>45537</v>
      </c>
      <c r="C38" s="46">
        <v>275.58999999999997</v>
      </c>
      <c r="D38" s="49">
        <v>1.47E-2</v>
      </c>
      <c r="E38" s="13"/>
      <c r="F38" s="13"/>
      <c r="G38" s="13"/>
      <c r="H38" s="47">
        <v>45537</v>
      </c>
      <c r="I38" s="48">
        <v>21782.5</v>
      </c>
      <c r="J38" s="49">
        <v>3.0000000000000001E-3</v>
      </c>
      <c r="K38" s="13"/>
      <c r="L38" s="13"/>
      <c r="M38" s="13"/>
      <c r="N38" s="13"/>
      <c r="O38" s="13"/>
      <c r="P38" s="13"/>
      <c r="Q38" s="13"/>
      <c r="R38" s="13"/>
      <c r="S38" s="13"/>
      <c r="T38" s="13"/>
      <c r="U38" s="13"/>
      <c r="V38" s="13"/>
      <c r="W38" s="13"/>
      <c r="X38" s="13"/>
      <c r="Y38" s="13"/>
      <c r="Z38" s="46" t="s">
        <v>390</v>
      </c>
      <c r="AA38" s="46">
        <v>266.14</v>
      </c>
      <c r="AB38" s="49">
        <v>-2.3599999999999999E-2</v>
      </c>
      <c r="AC38" s="13"/>
      <c r="AD38" s="13"/>
      <c r="AE38" s="13"/>
      <c r="AF38" s="46" t="s">
        <v>390</v>
      </c>
      <c r="AG38" s="48">
        <v>19310.150000000001</v>
      </c>
      <c r="AH38" s="49">
        <v>-6.1000000000000004E-3</v>
      </c>
      <c r="AI38" s="13"/>
      <c r="AJ38" s="13"/>
      <c r="AK38" s="13"/>
      <c r="AL38" s="13"/>
      <c r="AM38" s="13"/>
      <c r="AN38" s="13"/>
      <c r="AO38" s="13"/>
      <c r="AP38" s="13"/>
      <c r="AQ38" s="13"/>
      <c r="AR38" s="13"/>
      <c r="AS38" s="13"/>
      <c r="AT38" s="13"/>
    </row>
    <row r="39" spans="1:46">
      <c r="A39" s="13"/>
      <c r="B39" s="47">
        <v>45506</v>
      </c>
      <c r="C39" s="46">
        <v>271.58999999999997</v>
      </c>
      <c r="D39" s="49">
        <v>-1.34E-2</v>
      </c>
      <c r="E39" s="13"/>
      <c r="F39" s="13"/>
      <c r="G39" s="13"/>
      <c r="H39" s="47">
        <v>45506</v>
      </c>
      <c r="I39" s="48">
        <v>21717.95</v>
      </c>
      <c r="J39" s="49">
        <v>-9.7000000000000003E-3</v>
      </c>
      <c r="K39" s="13"/>
      <c r="L39" s="13"/>
      <c r="M39" s="13"/>
      <c r="N39" s="13"/>
      <c r="O39" s="13"/>
      <c r="P39" s="13"/>
      <c r="Q39" s="13"/>
      <c r="R39" s="13"/>
      <c r="S39" s="13"/>
      <c r="T39" s="13"/>
      <c r="U39" s="13"/>
      <c r="V39" s="13"/>
      <c r="W39" s="13"/>
      <c r="X39" s="13"/>
      <c r="Y39" s="13"/>
      <c r="Z39" s="47">
        <v>45085</v>
      </c>
      <c r="AA39" s="46">
        <v>272.57</v>
      </c>
      <c r="AB39" s="49">
        <v>1E-3</v>
      </c>
      <c r="AC39" s="13"/>
      <c r="AD39" s="13"/>
      <c r="AE39" s="13"/>
      <c r="AF39" s="47">
        <v>45085</v>
      </c>
      <c r="AG39" s="48">
        <v>19428.3</v>
      </c>
      <c r="AH39" s="49">
        <v>-4.4999999999999997E-3</v>
      </c>
      <c r="AI39" s="13"/>
      <c r="AJ39" s="13"/>
      <c r="AK39" s="13"/>
      <c r="AL39" s="13"/>
      <c r="AM39" s="13"/>
      <c r="AN39" s="13"/>
      <c r="AO39" s="13"/>
      <c r="AP39" s="13"/>
      <c r="AQ39" s="13"/>
      <c r="AR39" s="13"/>
      <c r="AS39" s="13"/>
      <c r="AT39" s="13"/>
    </row>
    <row r="40" spans="1:46">
      <c r="A40" s="13"/>
      <c r="B40" s="47">
        <v>45475</v>
      </c>
      <c r="C40" s="46">
        <v>275.29000000000002</v>
      </c>
      <c r="D40" s="49">
        <v>-2.1899999999999999E-2</v>
      </c>
      <c r="E40" s="13"/>
      <c r="F40" s="13"/>
      <c r="G40" s="13"/>
      <c r="H40" s="47">
        <v>45475</v>
      </c>
      <c r="I40" s="48">
        <v>21930.5</v>
      </c>
      <c r="J40" s="49">
        <v>1E-4</v>
      </c>
      <c r="K40" s="13"/>
      <c r="L40" s="13"/>
      <c r="M40" s="13"/>
      <c r="N40" s="13"/>
      <c r="O40" s="13"/>
      <c r="P40" s="13"/>
      <c r="Q40" s="13"/>
      <c r="R40" s="13"/>
      <c r="S40" s="13"/>
      <c r="T40" s="13"/>
      <c r="U40" s="13"/>
      <c r="V40" s="13"/>
      <c r="W40" s="13"/>
      <c r="X40" s="13"/>
      <c r="Y40" s="13"/>
      <c r="Z40" s="46" t="s">
        <v>391</v>
      </c>
      <c r="AA40" s="46">
        <v>272.3</v>
      </c>
      <c r="AB40" s="49">
        <v>-1.95E-2</v>
      </c>
      <c r="AC40" s="13"/>
      <c r="AD40" s="13"/>
      <c r="AE40" s="13"/>
      <c r="AF40" s="46" t="s">
        <v>391</v>
      </c>
      <c r="AG40" s="48">
        <v>19517</v>
      </c>
      <c r="AH40" s="49">
        <v>-6.6E-3</v>
      </c>
      <c r="AI40" s="13"/>
      <c r="AJ40" s="13"/>
      <c r="AK40" s="13"/>
      <c r="AL40" s="13"/>
      <c r="AM40" s="13"/>
      <c r="AN40" s="13"/>
      <c r="AO40" s="13"/>
      <c r="AP40" s="13"/>
      <c r="AQ40" s="13"/>
      <c r="AR40" s="13"/>
      <c r="AS40" s="13"/>
      <c r="AT40" s="13"/>
    </row>
    <row r="41" spans="1:46">
      <c r="A41" s="13"/>
      <c r="B41" s="47">
        <v>45445</v>
      </c>
      <c r="C41" s="46">
        <v>281.45</v>
      </c>
      <c r="D41" s="49">
        <v>8.8999999999999999E-3</v>
      </c>
      <c r="E41" s="13"/>
      <c r="F41" s="13"/>
      <c r="G41" s="13"/>
      <c r="H41" s="47">
        <v>45445</v>
      </c>
      <c r="I41" s="48">
        <v>21929.4</v>
      </c>
      <c r="J41" s="49">
        <v>7.1999999999999998E-3</v>
      </c>
      <c r="K41" s="13"/>
      <c r="L41" s="13"/>
      <c r="M41" s="13"/>
      <c r="N41" s="13"/>
      <c r="O41" s="13"/>
      <c r="P41" s="13"/>
      <c r="Q41" s="13"/>
      <c r="R41" s="13"/>
      <c r="S41" s="13"/>
      <c r="T41" s="13"/>
      <c r="U41" s="13"/>
      <c r="V41" s="13"/>
      <c r="W41" s="13"/>
      <c r="X41" s="13"/>
      <c r="Y41" s="13"/>
      <c r="Z41" s="46" t="s">
        <v>392</v>
      </c>
      <c r="AA41" s="46">
        <v>277.70999999999998</v>
      </c>
      <c r="AB41" s="49">
        <v>-2.35E-2</v>
      </c>
      <c r="AC41" s="13"/>
      <c r="AD41" s="13"/>
      <c r="AE41" s="13"/>
      <c r="AF41" s="46" t="s">
        <v>392</v>
      </c>
      <c r="AG41" s="48">
        <v>19646.05</v>
      </c>
      <c r="AH41" s="49">
        <v>-5.0000000000000001E-3</v>
      </c>
      <c r="AI41" s="13"/>
      <c r="AJ41" s="13"/>
      <c r="AK41" s="13"/>
      <c r="AL41" s="13"/>
      <c r="AM41" s="13"/>
      <c r="AN41" s="13"/>
      <c r="AO41" s="13"/>
      <c r="AP41" s="13"/>
      <c r="AQ41" s="13"/>
      <c r="AR41" s="13"/>
      <c r="AS41" s="13"/>
      <c r="AT41" s="13"/>
    </row>
    <row r="42" spans="1:46">
      <c r="A42" s="13"/>
      <c r="B42" s="47">
        <v>45414</v>
      </c>
      <c r="C42" s="46">
        <v>278.95999999999998</v>
      </c>
      <c r="D42" s="49">
        <v>-1.24E-2</v>
      </c>
      <c r="E42" s="13"/>
      <c r="F42" s="13"/>
      <c r="G42" s="13"/>
      <c r="H42" s="47">
        <v>45414</v>
      </c>
      <c r="I42" s="48">
        <v>21771.7</v>
      </c>
      <c r="J42" s="49">
        <v>-3.8E-3</v>
      </c>
      <c r="K42" s="13"/>
      <c r="L42" s="13"/>
      <c r="M42" s="13"/>
      <c r="N42" s="13"/>
      <c r="O42" s="13"/>
      <c r="P42" s="13"/>
      <c r="Q42" s="13"/>
      <c r="R42" s="13"/>
      <c r="S42" s="13"/>
      <c r="T42" s="13"/>
      <c r="U42" s="13"/>
      <c r="V42" s="13"/>
      <c r="W42" s="13"/>
      <c r="X42" s="13"/>
      <c r="Y42" s="13"/>
      <c r="Z42" s="46" t="s">
        <v>393</v>
      </c>
      <c r="AA42" s="46">
        <v>284.39999999999998</v>
      </c>
      <c r="AB42" s="49">
        <v>1.15E-2</v>
      </c>
      <c r="AC42" s="13"/>
      <c r="AD42" s="13"/>
      <c r="AE42" s="13"/>
      <c r="AF42" s="46" t="s">
        <v>393</v>
      </c>
      <c r="AG42" s="48">
        <v>19745</v>
      </c>
      <c r="AH42" s="49">
        <v>9.1999999999999998E-3</v>
      </c>
      <c r="AI42" s="13"/>
      <c r="AJ42" s="13"/>
      <c r="AK42" s="13"/>
      <c r="AL42" s="13"/>
      <c r="AM42" s="13"/>
      <c r="AN42" s="13"/>
      <c r="AO42" s="13"/>
      <c r="AP42" s="13"/>
      <c r="AQ42" s="13"/>
      <c r="AR42" s="13"/>
      <c r="AS42" s="13"/>
      <c r="AT42" s="13"/>
    </row>
    <row r="43" spans="1:46">
      <c r="A43" s="13"/>
      <c r="B43" s="47">
        <v>45324</v>
      </c>
      <c r="C43" s="46">
        <v>282.45</v>
      </c>
      <c r="D43" s="49">
        <v>-2.3400000000000001E-2</v>
      </c>
      <c r="E43" s="13"/>
      <c r="F43" s="13"/>
      <c r="G43" s="13"/>
      <c r="H43" s="47">
        <v>45324</v>
      </c>
      <c r="I43" s="48">
        <v>21853.8</v>
      </c>
      <c r="J43" s="49">
        <v>7.1999999999999998E-3</v>
      </c>
      <c r="K43" s="13"/>
      <c r="L43" s="13"/>
      <c r="M43" s="13"/>
      <c r="N43" s="13"/>
      <c r="O43" s="13"/>
      <c r="P43" s="13"/>
      <c r="Q43" s="13"/>
      <c r="R43" s="13"/>
      <c r="S43" s="13"/>
      <c r="T43" s="13"/>
      <c r="U43" s="13"/>
      <c r="V43" s="13"/>
      <c r="W43" s="13"/>
      <c r="X43" s="13"/>
      <c r="Y43" s="13"/>
      <c r="Z43" s="47">
        <v>45176</v>
      </c>
      <c r="AA43" s="46">
        <v>281.16000000000003</v>
      </c>
      <c r="AB43" s="49">
        <v>1.04E-2</v>
      </c>
      <c r="AC43" s="13"/>
      <c r="AD43" s="13"/>
      <c r="AE43" s="13"/>
      <c r="AF43" s="47">
        <v>45176</v>
      </c>
      <c r="AG43" s="48">
        <v>19564.5</v>
      </c>
      <c r="AH43" s="49">
        <v>1.2E-2</v>
      </c>
      <c r="AI43" s="13"/>
      <c r="AJ43" s="13"/>
      <c r="AK43" s="13"/>
      <c r="AL43" s="13"/>
      <c r="AM43" s="13"/>
      <c r="AN43" s="13"/>
      <c r="AO43" s="13"/>
      <c r="AP43" s="13"/>
      <c r="AQ43" s="13"/>
      <c r="AR43" s="13"/>
      <c r="AS43" s="13"/>
      <c r="AT43" s="13"/>
    </row>
    <row r="44" spans="1:46">
      <c r="A44" s="13"/>
      <c r="B44" s="47">
        <v>45293</v>
      </c>
      <c r="C44" s="46">
        <v>289.23</v>
      </c>
      <c r="D44" s="49">
        <v>-3.0000000000000001E-3</v>
      </c>
      <c r="E44" s="13"/>
      <c r="F44" s="13"/>
      <c r="G44" s="13"/>
      <c r="H44" s="47">
        <v>45293</v>
      </c>
      <c r="I44" s="48">
        <v>21697.45</v>
      </c>
      <c r="J44" s="49">
        <v>-1.2999999999999999E-3</v>
      </c>
      <c r="K44" s="13"/>
      <c r="L44" s="13"/>
      <c r="M44" s="13"/>
      <c r="N44" s="13"/>
      <c r="O44" s="13"/>
      <c r="P44" s="13"/>
      <c r="Q44" s="13"/>
      <c r="R44" s="13"/>
      <c r="S44" s="13"/>
      <c r="T44" s="13"/>
      <c r="U44" s="13"/>
      <c r="V44" s="13"/>
      <c r="W44" s="13"/>
      <c r="X44" s="13"/>
      <c r="Y44" s="13"/>
      <c r="Z44" s="47">
        <v>44964</v>
      </c>
      <c r="AA44" s="46">
        <v>278.26</v>
      </c>
      <c r="AB44" s="49">
        <v>1.23E-2</v>
      </c>
      <c r="AC44" s="13"/>
      <c r="AD44" s="13"/>
      <c r="AE44" s="13"/>
      <c r="AF44" s="47">
        <v>44964</v>
      </c>
      <c r="AG44" s="48">
        <v>19331.8</v>
      </c>
      <c r="AH44" s="49">
        <v>7.4000000000000003E-3</v>
      </c>
      <c r="AI44" s="13"/>
      <c r="AJ44" s="13"/>
      <c r="AK44" s="13"/>
      <c r="AL44" s="13"/>
      <c r="AM44" s="13"/>
      <c r="AN44" s="13"/>
      <c r="AO44" s="13"/>
      <c r="AP44" s="13"/>
      <c r="AQ44" s="13"/>
      <c r="AR44" s="13"/>
      <c r="AS44" s="13"/>
      <c r="AT44" s="13"/>
    </row>
    <row r="45" spans="1:46">
      <c r="A45" s="13"/>
      <c r="B45" s="46" t="s">
        <v>394</v>
      </c>
      <c r="C45" s="46">
        <v>290.11</v>
      </c>
      <c r="D45" s="49">
        <v>1.12E-2</v>
      </c>
      <c r="E45" s="13"/>
      <c r="F45" s="13"/>
      <c r="G45" s="13"/>
      <c r="H45" s="46" t="s">
        <v>394</v>
      </c>
      <c r="I45" s="48">
        <v>21725.7</v>
      </c>
      <c r="J45" s="49">
        <v>9.4999999999999998E-3</v>
      </c>
      <c r="K45" s="13"/>
      <c r="L45" s="13"/>
      <c r="M45" s="13"/>
      <c r="N45" s="13"/>
      <c r="O45" s="13"/>
      <c r="P45" s="13"/>
      <c r="Q45" s="13"/>
      <c r="R45" s="13"/>
      <c r="S45" s="13"/>
      <c r="T45" s="13"/>
      <c r="U45" s="13"/>
      <c r="V45" s="13"/>
      <c r="W45" s="13"/>
      <c r="X45" s="13"/>
      <c r="Y45" s="13"/>
      <c r="Z45" s="46" t="s">
        <v>395</v>
      </c>
      <c r="AA45" s="46">
        <v>274.88</v>
      </c>
      <c r="AB45" s="49">
        <v>1.3899999999999999E-2</v>
      </c>
      <c r="AC45" s="13"/>
      <c r="AD45" s="13"/>
      <c r="AE45" s="13"/>
      <c r="AF45" s="46" t="s">
        <v>395</v>
      </c>
      <c r="AG45" s="48">
        <v>19189.05</v>
      </c>
      <c r="AH45" s="49">
        <v>2.8000000000000001E-2</v>
      </c>
      <c r="AI45" s="13"/>
      <c r="AJ45" s="13"/>
      <c r="AK45" s="13"/>
      <c r="AL45" s="13"/>
      <c r="AM45" s="13"/>
      <c r="AN45" s="13"/>
      <c r="AO45" s="13"/>
      <c r="AP45" s="13"/>
      <c r="AQ45" s="13"/>
      <c r="AR45" s="13"/>
      <c r="AS45" s="13"/>
      <c r="AT45" s="13"/>
    </row>
    <row r="46" spans="1:46">
      <c r="A46" s="13"/>
      <c r="B46" s="46" t="s">
        <v>396</v>
      </c>
      <c r="C46" s="46">
        <v>286.89999999999998</v>
      </c>
      <c r="D46" s="49">
        <v>6.3E-3</v>
      </c>
      <c r="E46" s="13"/>
      <c r="F46" s="13"/>
      <c r="G46" s="13"/>
      <c r="H46" s="46" t="s">
        <v>396</v>
      </c>
      <c r="I46" s="48">
        <v>21522.1</v>
      </c>
      <c r="J46" s="49">
        <v>-9.9000000000000008E-3</v>
      </c>
      <c r="K46" s="13"/>
      <c r="L46" s="13"/>
      <c r="M46" s="13"/>
      <c r="N46" s="13"/>
      <c r="O46" s="13"/>
      <c r="P46" s="13"/>
      <c r="Q46" s="13"/>
      <c r="R46" s="13"/>
      <c r="S46" s="13"/>
      <c r="T46" s="13"/>
      <c r="U46" s="13"/>
      <c r="V46" s="13"/>
      <c r="W46" s="13"/>
      <c r="X46" s="13"/>
      <c r="Y46" s="13"/>
      <c r="Z46" s="46" t="s">
        <v>397</v>
      </c>
      <c r="AA46" s="46">
        <v>271.11</v>
      </c>
      <c r="AB46" s="49">
        <v>-3.0099999999999998E-2</v>
      </c>
      <c r="AC46" s="13"/>
      <c r="AD46" s="13"/>
      <c r="AE46" s="13"/>
      <c r="AF46" s="46" t="s">
        <v>397</v>
      </c>
      <c r="AG46" s="48">
        <v>18665.5</v>
      </c>
      <c r="AH46" s="49">
        <v>-8.5000000000000006E-3</v>
      </c>
      <c r="AI46" s="13"/>
      <c r="AJ46" s="13"/>
      <c r="AK46" s="13"/>
      <c r="AL46" s="13"/>
      <c r="AM46" s="13"/>
      <c r="AN46" s="13"/>
      <c r="AO46" s="13"/>
      <c r="AP46" s="13"/>
      <c r="AQ46" s="13"/>
      <c r="AR46" s="13"/>
      <c r="AS46" s="13"/>
      <c r="AT46" s="13"/>
    </row>
    <row r="47" spans="1:46">
      <c r="A47" s="13"/>
      <c r="B47" s="46" t="s">
        <v>398</v>
      </c>
      <c r="C47" s="46">
        <v>285.11</v>
      </c>
      <c r="D47" s="49">
        <v>1.1999999999999999E-3</v>
      </c>
      <c r="E47" s="13"/>
      <c r="F47" s="13"/>
      <c r="G47" s="13"/>
      <c r="H47" s="46" t="s">
        <v>398</v>
      </c>
      <c r="I47" s="48">
        <v>21737.599999999999</v>
      </c>
      <c r="J47" s="49">
        <v>1.7999999999999999E-2</v>
      </c>
      <c r="K47" s="13"/>
      <c r="L47" s="13"/>
      <c r="M47" s="13"/>
      <c r="N47" s="13"/>
      <c r="O47" s="13"/>
      <c r="P47" s="13"/>
      <c r="Q47" s="13"/>
      <c r="R47" s="13"/>
      <c r="S47" s="13"/>
      <c r="T47" s="13"/>
      <c r="U47" s="13"/>
      <c r="V47" s="13"/>
      <c r="W47" s="13"/>
      <c r="X47" s="13"/>
      <c r="Y47" s="13"/>
      <c r="Z47" s="47">
        <v>45236</v>
      </c>
      <c r="AA47" s="46">
        <v>279.52</v>
      </c>
      <c r="AB47" s="49">
        <v>2.1700000000000001E-2</v>
      </c>
      <c r="AC47" s="13"/>
      <c r="AD47" s="13"/>
      <c r="AE47" s="13"/>
      <c r="AF47" s="47">
        <v>45236</v>
      </c>
      <c r="AG47" s="48">
        <v>18826</v>
      </c>
      <c r="AH47" s="49">
        <v>1.41E-2</v>
      </c>
      <c r="AI47" s="13"/>
      <c r="AJ47" s="13"/>
      <c r="AK47" s="13"/>
      <c r="AL47" s="13"/>
      <c r="AM47" s="13"/>
      <c r="AN47" s="13"/>
      <c r="AO47" s="13"/>
      <c r="AP47" s="13"/>
      <c r="AQ47" s="13"/>
      <c r="AR47" s="13"/>
      <c r="AS47" s="13"/>
      <c r="AT47" s="13"/>
    </row>
    <row r="48" spans="1:46">
      <c r="A48" s="13"/>
      <c r="B48" s="46" t="s">
        <v>399</v>
      </c>
      <c r="C48" s="46">
        <v>284.76</v>
      </c>
      <c r="D48" s="49">
        <v>-1.06E-2</v>
      </c>
      <c r="E48" s="13"/>
      <c r="F48" s="13"/>
      <c r="G48" s="13"/>
      <c r="H48" s="46" t="s">
        <v>399</v>
      </c>
      <c r="I48" s="48">
        <v>21352.6</v>
      </c>
      <c r="J48" s="49">
        <v>-4.7000000000000002E-3</v>
      </c>
      <c r="K48" s="13"/>
      <c r="L48" s="13"/>
      <c r="M48" s="13"/>
      <c r="N48" s="13"/>
      <c r="O48" s="13"/>
      <c r="P48" s="13"/>
      <c r="Q48" s="13"/>
      <c r="R48" s="13"/>
      <c r="S48" s="13"/>
      <c r="T48" s="13"/>
      <c r="U48" s="13"/>
      <c r="V48" s="13"/>
      <c r="W48" s="13"/>
      <c r="X48" s="13"/>
      <c r="Y48" s="13"/>
      <c r="Z48" s="47">
        <v>45022</v>
      </c>
      <c r="AA48" s="46">
        <v>273.57</v>
      </c>
      <c r="AB48" s="49">
        <v>-4.3400000000000001E-2</v>
      </c>
      <c r="AC48" s="13"/>
      <c r="AD48" s="13"/>
      <c r="AE48" s="13"/>
      <c r="AF48" s="47">
        <v>45022</v>
      </c>
      <c r="AG48" s="48">
        <v>18563.400000000001</v>
      </c>
      <c r="AH48" s="49">
        <v>1.6000000000000001E-3</v>
      </c>
      <c r="AI48" s="13"/>
      <c r="AJ48" s="13"/>
      <c r="AK48" s="13"/>
      <c r="AL48" s="13"/>
      <c r="AM48" s="13"/>
      <c r="AN48" s="13"/>
      <c r="AO48" s="13"/>
      <c r="AP48" s="13"/>
      <c r="AQ48" s="13"/>
      <c r="AR48" s="13"/>
      <c r="AS48" s="13"/>
      <c r="AT48" s="13"/>
    </row>
    <row r="49" spans="1:46">
      <c r="A49" s="13"/>
      <c r="B49" s="46" t="s">
        <v>400</v>
      </c>
      <c r="C49" s="46">
        <v>287.82</v>
      </c>
      <c r="D49" s="49">
        <v>8.8000000000000005E-3</v>
      </c>
      <c r="E49" s="13"/>
      <c r="F49" s="13"/>
      <c r="G49" s="13"/>
      <c r="H49" s="46" t="s">
        <v>400</v>
      </c>
      <c r="I49" s="48">
        <v>21453.95</v>
      </c>
      <c r="J49" s="49">
        <v>1.01E-2</v>
      </c>
      <c r="K49" s="13"/>
      <c r="L49" s="13"/>
      <c r="M49" s="13"/>
      <c r="N49" s="13"/>
      <c r="O49" s="13"/>
      <c r="P49" s="13"/>
      <c r="Q49" s="13"/>
      <c r="R49" s="13"/>
      <c r="S49" s="13"/>
      <c r="T49" s="13"/>
      <c r="U49" s="13"/>
      <c r="V49" s="13"/>
      <c r="W49" s="13"/>
      <c r="X49" s="13"/>
      <c r="Y49" s="13"/>
      <c r="Z49" s="46" t="s">
        <v>401</v>
      </c>
      <c r="AA49" s="46">
        <v>285.98</v>
      </c>
      <c r="AB49" s="49">
        <v>7.5499999999999998E-2</v>
      </c>
      <c r="AC49" s="13"/>
      <c r="AD49" s="13"/>
      <c r="AE49" s="13"/>
      <c r="AF49" s="46" t="s">
        <v>401</v>
      </c>
      <c r="AG49" s="48">
        <v>18534.099999999999</v>
      </c>
      <c r="AH49" s="49">
        <v>1.9E-3</v>
      </c>
      <c r="AI49" s="13"/>
      <c r="AJ49" s="13"/>
      <c r="AK49" s="13"/>
      <c r="AL49" s="13"/>
      <c r="AM49" s="13"/>
      <c r="AN49" s="13"/>
      <c r="AO49" s="13"/>
      <c r="AP49" s="13"/>
      <c r="AQ49" s="13"/>
      <c r="AR49" s="13"/>
      <c r="AS49" s="13"/>
      <c r="AT49" s="13"/>
    </row>
    <row r="50" spans="1:46">
      <c r="A50" s="13"/>
      <c r="B50" s="46" t="s">
        <v>402</v>
      </c>
      <c r="C50" s="46">
        <v>285.3</v>
      </c>
      <c r="D50" s="49">
        <v>-3.4200000000000001E-2</v>
      </c>
      <c r="E50" s="13"/>
      <c r="F50" s="13"/>
      <c r="G50" s="13"/>
      <c r="H50" s="46" t="s">
        <v>402</v>
      </c>
      <c r="I50" s="48">
        <v>21238.799999999999</v>
      </c>
      <c r="J50" s="49">
        <v>-1.54E-2</v>
      </c>
      <c r="K50" s="13"/>
      <c r="L50" s="13"/>
      <c r="M50" s="13"/>
      <c r="N50" s="13"/>
      <c r="O50" s="13"/>
      <c r="P50" s="13"/>
      <c r="Q50" s="13"/>
      <c r="R50" s="13"/>
      <c r="S50" s="13"/>
      <c r="T50" s="13"/>
      <c r="U50" s="13"/>
      <c r="V50" s="13"/>
      <c r="W50" s="13"/>
      <c r="X50" s="13"/>
      <c r="Y50" s="13"/>
      <c r="Z50" s="46" t="s">
        <v>403</v>
      </c>
      <c r="AA50" s="46">
        <v>265.91000000000003</v>
      </c>
      <c r="AB50" s="49">
        <v>2.4899999999999999E-2</v>
      </c>
      <c r="AC50" s="13"/>
      <c r="AD50" s="13"/>
      <c r="AE50" s="13"/>
      <c r="AF50" s="46" t="s">
        <v>403</v>
      </c>
      <c r="AG50" s="48">
        <v>18499.349999999999</v>
      </c>
      <c r="AH50" s="49">
        <v>1.6299999999999999E-2</v>
      </c>
      <c r="AI50" s="13"/>
      <c r="AJ50" s="13"/>
      <c r="AK50" s="13"/>
      <c r="AL50" s="13"/>
      <c r="AM50" s="13"/>
      <c r="AN50" s="13"/>
      <c r="AO50" s="13"/>
      <c r="AP50" s="13"/>
      <c r="AQ50" s="13"/>
      <c r="AR50" s="13"/>
      <c r="AS50" s="13"/>
      <c r="AT50" s="13"/>
    </row>
    <row r="51" spans="1:46">
      <c r="A51" s="13"/>
      <c r="B51" s="46" t="s">
        <v>404</v>
      </c>
      <c r="C51" s="46">
        <v>295.41000000000003</v>
      </c>
      <c r="D51" s="49">
        <v>3.7600000000000001E-2</v>
      </c>
      <c r="E51" s="13"/>
      <c r="F51" s="13"/>
      <c r="G51" s="13"/>
      <c r="H51" s="46" t="s">
        <v>404</v>
      </c>
      <c r="I51" s="48">
        <v>21571.8</v>
      </c>
      <c r="J51" s="49">
        <v>-2.3E-3</v>
      </c>
      <c r="K51" s="13"/>
      <c r="L51" s="13"/>
      <c r="M51" s="13"/>
      <c r="N51" s="13"/>
      <c r="O51" s="13"/>
      <c r="P51" s="13"/>
      <c r="Q51" s="13"/>
      <c r="R51" s="13"/>
      <c r="S51" s="13"/>
      <c r="T51" s="13"/>
      <c r="U51" s="13"/>
      <c r="V51" s="13"/>
      <c r="W51" s="13"/>
      <c r="X51" s="13"/>
      <c r="Y51" s="13"/>
      <c r="Z51" s="46" t="s">
        <v>405</v>
      </c>
      <c r="AA51" s="46">
        <v>259.44</v>
      </c>
      <c r="AB51" s="49">
        <v>1.5599999999999999E-2</v>
      </c>
      <c r="AC51" s="13"/>
      <c r="AD51" s="13"/>
      <c r="AE51" s="13"/>
      <c r="AF51" s="46" t="s">
        <v>405</v>
      </c>
      <c r="AG51" s="48">
        <v>18203.400000000001</v>
      </c>
      <c r="AH51" s="49">
        <v>-6.1000000000000004E-3</v>
      </c>
      <c r="AI51" s="13"/>
      <c r="AJ51" s="13"/>
      <c r="AK51" s="13"/>
      <c r="AL51" s="13"/>
      <c r="AM51" s="13"/>
      <c r="AN51" s="13"/>
      <c r="AO51" s="13"/>
      <c r="AP51" s="13"/>
      <c r="AQ51" s="13"/>
      <c r="AR51" s="13"/>
      <c r="AS51" s="13"/>
      <c r="AT51" s="13"/>
    </row>
    <row r="52" spans="1:46">
      <c r="A52" s="13"/>
      <c r="B52" s="46" t="s">
        <v>406</v>
      </c>
      <c r="C52" s="46">
        <v>284.70999999999998</v>
      </c>
      <c r="D52" s="49">
        <v>1.1900000000000001E-2</v>
      </c>
      <c r="E52" s="13"/>
      <c r="F52" s="13"/>
      <c r="G52" s="13"/>
      <c r="H52" s="46" t="s">
        <v>406</v>
      </c>
      <c r="I52" s="48">
        <v>21622.400000000001</v>
      </c>
      <c r="J52" s="49">
        <v>7.4999999999999997E-3</v>
      </c>
      <c r="K52" s="13"/>
      <c r="L52" s="13"/>
      <c r="M52" s="13"/>
      <c r="N52" s="13"/>
      <c r="O52" s="13"/>
      <c r="P52" s="13"/>
      <c r="Q52" s="13"/>
      <c r="R52" s="13"/>
      <c r="S52" s="13"/>
      <c r="T52" s="13"/>
      <c r="U52" s="13"/>
      <c r="V52" s="13"/>
      <c r="W52" s="13"/>
      <c r="X52" s="13"/>
      <c r="Y52" s="13"/>
      <c r="Z52" s="47">
        <v>45112</v>
      </c>
      <c r="AA52" s="46">
        <v>255.46</v>
      </c>
      <c r="AB52" s="49">
        <v>-1.84E-2</v>
      </c>
      <c r="AC52" s="13"/>
      <c r="AD52" s="13"/>
      <c r="AE52" s="13"/>
      <c r="AF52" s="47">
        <v>45112</v>
      </c>
      <c r="AG52" s="48">
        <v>18314.8</v>
      </c>
      <c r="AH52" s="49">
        <v>1.3599999999999999E-2</v>
      </c>
      <c r="AI52" s="13"/>
      <c r="AJ52" s="13"/>
      <c r="AK52" s="13"/>
      <c r="AL52" s="13"/>
      <c r="AM52" s="13"/>
      <c r="AN52" s="13"/>
      <c r="AO52" s="13"/>
      <c r="AP52" s="13"/>
      <c r="AQ52" s="13"/>
      <c r="AR52" s="13"/>
      <c r="AS52" s="13"/>
      <c r="AT52" s="13"/>
    </row>
    <row r="53" spans="1:46">
      <c r="A53" s="13"/>
      <c r="B53" s="46" t="s">
        <v>407</v>
      </c>
      <c r="C53" s="46">
        <v>281.35000000000002</v>
      </c>
      <c r="D53" s="49">
        <v>-3.8999999999999998E-3</v>
      </c>
      <c r="E53" s="13"/>
      <c r="F53" s="13"/>
      <c r="G53" s="13"/>
      <c r="H53" s="46" t="s">
        <v>407</v>
      </c>
      <c r="I53" s="48">
        <v>21462.25</v>
      </c>
      <c r="J53" s="49">
        <v>-5.1000000000000004E-3</v>
      </c>
      <c r="K53" s="13"/>
      <c r="L53" s="13"/>
      <c r="M53" s="13"/>
      <c r="N53" s="13"/>
      <c r="O53" s="13"/>
      <c r="P53" s="13"/>
      <c r="Q53" s="13"/>
      <c r="R53" s="13"/>
      <c r="S53" s="13"/>
      <c r="T53" s="13"/>
      <c r="U53" s="13"/>
      <c r="V53" s="13"/>
      <c r="W53" s="13"/>
      <c r="X53" s="13"/>
      <c r="Y53" s="13"/>
      <c r="Z53" s="46" t="s">
        <v>408</v>
      </c>
      <c r="AA53" s="46">
        <v>260.25</v>
      </c>
      <c r="AB53" s="49">
        <v>9.0399999999999994E-2</v>
      </c>
      <c r="AC53" s="13"/>
      <c r="AD53" s="13"/>
      <c r="AE53" s="13"/>
      <c r="AF53" s="46" t="s">
        <v>408</v>
      </c>
      <c r="AG53" s="48">
        <v>18069</v>
      </c>
      <c r="AH53" s="49">
        <v>2.0000000000000001E-4</v>
      </c>
      <c r="AI53" s="13"/>
      <c r="AJ53" s="13"/>
      <c r="AK53" s="13"/>
      <c r="AL53" s="13"/>
      <c r="AM53" s="13"/>
      <c r="AN53" s="13"/>
      <c r="AO53" s="13"/>
      <c r="AP53" s="13"/>
      <c r="AQ53" s="13"/>
      <c r="AR53" s="13"/>
      <c r="AS53" s="13"/>
      <c r="AT53" s="13"/>
    </row>
    <row r="54" spans="1:46">
      <c r="A54" s="13"/>
      <c r="B54" s="46" t="s">
        <v>409</v>
      </c>
      <c r="C54" s="46">
        <v>282.45999999999998</v>
      </c>
      <c r="D54" s="49">
        <v>-6.8999999999999999E-3</v>
      </c>
      <c r="E54" s="13"/>
      <c r="F54" s="13"/>
      <c r="G54" s="13"/>
      <c r="H54" s="46" t="s">
        <v>409</v>
      </c>
      <c r="I54" s="48">
        <v>21571.95</v>
      </c>
      <c r="J54" s="49">
        <v>-2.0899999999999998E-2</v>
      </c>
      <c r="K54" s="13"/>
      <c r="L54" s="13"/>
      <c r="M54" s="13"/>
      <c r="N54" s="13"/>
      <c r="O54" s="13"/>
      <c r="P54" s="13"/>
      <c r="Q54" s="13"/>
      <c r="R54" s="13"/>
      <c r="S54" s="13"/>
      <c r="T54" s="13"/>
      <c r="U54" s="13"/>
      <c r="V54" s="13"/>
      <c r="W54" s="13"/>
      <c r="X54" s="13"/>
      <c r="Y54" s="13"/>
      <c r="Z54" s="46" t="s">
        <v>410</v>
      </c>
      <c r="AA54" s="46">
        <v>238.68</v>
      </c>
      <c r="AB54" s="49">
        <v>-4.7000000000000002E-3</v>
      </c>
      <c r="AC54" s="13"/>
      <c r="AD54" s="13"/>
      <c r="AE54" s="13"/>
      <c r="AF54" s="46" t="s">
        <v>410</v>
      </c>
      <c r="AG54" s="48">
        <v>18065</v>
      </c>
      <c r="AH54" s="49">
        <v>2.5000000000000001E-2</v>
      </c>
      <c r="AI54" s="13"/>
      <c r="AJ54" s="13"/>
      <c r="AK54" s="13"/>
      <c r="AL54" s="13"/>
      <c r="AM54" s="13"/>
      <c r="AN54" s="13"/>
      <c r="AO54" s="13"/>
      <c r="AP54" s="13"/>
      <c r="AQ54" s="13"/>
      <c r="AR54" s="13"/>
      <c r="AS54" s="13"/>
      <c r="AT54" s="13"/>
    </row>
    <row r="55" spans="1:46">
      <c r="A55" s="13"/>
      <c r="B55" s="46" t="s">
        <v>411</v>
      </c>
      <c r="C55" s="46">
        <v>284.41000000000003</v>
      </c>
      <c r="D55" s="49">
        <v>5.3E-3</v>
      </c>
      <c r="E55" s="13"/>
      <c r="F55" s="13"/>
      <c r="G55" s="13"/>
      <c r="H55" s="46" t="s">
        <v>411</v>
      </c>
      <c r="I55" s="48">
        <v>22032.3</v>
      </c>
      <c r="J55" s="49">
        <v>-2.8999999999999998E-3</v>
      </c>
      <c r="K55" s="13"/>
      <c r="L55" s="13"/>
      <c r="M55" s="13"/>
      <c r="N55" s="13"/>
      <c r="O55" s="13"/>
      <c r="P55" s="13"/>
      <c r="Q55" s="13"/>
      <c r="R55" s="13"/>
      <c r="S55" s="13"/>
      <c r="T55" s="13"/>
      <c r="U55" s="13"/>
      <c r="V55" s="13"/>
      <c r="W55" s="13"/>
      <c r="X55" s="13"/>
      <c r="Y55" s="13"/>
      <c r="Z55" s="46" t="s">
        <v>412</v>
      </c>
      <c r="AA55" s="46">
        <v>239.81</v>
      </c>
      <c r="AB55" s="49">
        <v>5.7000000000000002E-3</v>
      </c>
      <c r="AC55" s="13"/>
      <c r="AD55" s="13"/>
      <c r="AE55" s="13"/>
      <c r="AF55" s="46" t="s">
        <v>412</v>
      </c>
      <c r="AG55" s="48">
        <v>17624.05</v>
      </c>
      <c r="AH55" s="49">
        <v>-1.14E-2</v>
      </c>
      <c r="AI55" s="13"/>
      <c r="AJ55" s="13"/>
      <c r="AK55" s="13"/>
      <c r="AL55" s="13"/>
      <c r="AM55" s="13"/>
      <c r="AN55" s="13"/>
      <c r="AO55" s="13"/>
      <c r="AP55" s="13"/>
      <c r="AQ55" s="13"/>
      <c r="AR55" s="13"/>
      <c r="AS55" s="13"/>
      <c r="AT55" s="13"/>
    </row>
    <row r="56" spans="1:46">
      <c r="A56" s="13"/>
      <c r="B56" s="46" t="s">
        <v>413</v>
      </c>
      <c r="C56" s="46">
        <v>282.89999999999998</v>
      </c>
      <c r="D56" s="49">
        <v>-2.1100000000000001E-2</v>
      </c>
      <c r="E56" s="13"/>
      <c r="F56" s="13"/>
      <c r="G56" s="13"/>
      <c r="H56" s="46" t="s">
        <v>413</v>
      </c>
      <c r="I56" s="48">
        <v>22097.45</v>
      </c>
      <c r="J56" s="49">
        <v>9.2999999999999992E-3</v>
      </c>
      <c r="K56" s="13"/>
      <c r="L56" s="13"/>
      <c r="M56" s="13"/>
      <c r="N56" s="13"/>
      <c r="O56" s="13"/>
      <c r="P56" s="13"/>
      <c r="Q56" s="13"/>
      <c r="R56" s="13"/>
      <c r="S56" s="13"/>
      <c r="T56" s="13"/>
      <c r="U56" s="13"/>
      <c r="V56" s="13"/>
      <c r="W56" s="13"/>
      <c r="X56" s="13"/>
      <c r="Y56" s="13"/>
      <c r="Z56" s="47">
        <v>45173</v>
      </c>
      <c r="AA56" s="46">
        <v>238.44</v>
      </c>
      <c r="AB56" s="49">
        <v>-2.0299999999999999E-2</v>
      </c>
      <c r="AC56" s="13"/>
      <c r="AD56" s="13"/>
      <c r="AE56" s="13"/>
      <c r="AF56" s="47">
        <v>45173</v>
      </c>
      <c r="AG56" s="48">
        <v>17828</v>
      </c>
      <c r="AH56" s="49">
        <v>1.2999999999999999E-2</v>
      </c>
      <c r="AI56" s="13"/>
      <c r="AJ56" s="13"/>
      <c r="AK56" s="13"/>
      <c r="AL56" s="13"/>
      <c r="AM56" s="13"/>
      <c r="AN56" s="13"/>
      <c r="AO56" s="13"/>
      <c r="AP56" s="13"/>
      <c r="AQ56" s="13"/>
      <c r="AR56" s="13"/>
      <c r="AS56" s="13"/>
      <c r="AT56" s="13"/>
    </row>
    <row r="57" spans="1:46">
      <c r="A57" s="13"/>
      <c r="B57" s="47">
        <v>45627</v>
      </c>
      <c r="C57" s="46">
        <v>289.01</v>
      </c>
      <c r="D57" s="49">
        <v>2.06E-2</v>
      </c>
      <c r="E57" s="13"/>
      <c r="F57" s="13"/>
      <c r="G57" s="13"/>
      <c r="H57" s="47">
        <v>45627</v>
      </c>
      <c r="I57" s="48">
        <v>21894.55</v>
      </c>
      <c r="J57" s="49">
        <v>1.14E-2</v>
      </c>
      <c r="K57" s="13"/>
      <c r="L57" s="13"/>
      <c r="M57" s="13"/>
      <c r="N57" s="13"/>
      <c r="O57" s="13"/>
      <c r="P57" s="13"/>
      <c r="Q57" s="13"/>
      <c r="R57" s="13"/>
      <c r="S57" s="13"/>
      <c r="T57" s="13"/>
      <c r="U57" s="13"/>
      <c r="V57" s="13"/>
      <c r="W57" s="13"/>
      <c r="X57" s="13"/>
      <c r="Y57" s="13"/>
      <c r="Z57" s="47">
        <v>44961</v>
      </c>
      <c r="AA57" s="46">
        <v>243.39</v>
      </c>
      <c r="AB57" s="49">
        <v>-8.9999999999999998E-4</v>
      </c>
      <c r="AC57" s="13"/>
      <c r="AD57" s="13"/>
      <c r="AE57" s="13"/>
      <c r="AF57" s="47">
        <v>44961</v>
      </c>
      <c r="AG57" s="48">
        <v>17599.150000000001</v>
      </c>
      <c r="AH57" s="49">
        <v>1.38E-2</v>
      </c>
      <c r="AI57" s="13"/>
      <c r="AJ57" s="13"/>
      <c r="AK57" s="13"/>
      <c r="AL57" s="13"/>
      <c r="AM57" s="13"/>
      <c r="AN57" s="13"/>
      <c r="AO57" s="13"/>
      <c r="AP57" s="13"/>
      <c r="AQ57" s="13"/>
      <c r="AR57" s="13"/>
      <c r="AS57" s="13"/>
      <c r="AT57" s="13"/>
    </row>
    <row r="58" spans="1:46">
      <c r="A58" s="13"/>
      <c r="B58" s="47">
        <v>45597</v>
      </c>
      <c r="C58" s="46">
        <v>283.18</v>
      </c>
      <c r="D58" s="49">
        <v>-1.7000000000000001E-2</v>
      </c>
      <c r="E58" s="13"/>
      <c r="F58" s="13"/>
      <c r="G58" s="13"/>
      <c r="H58" s="47">
        <v>45597</v>
      </c>
      <c r="I58" s="48">
        <v>21647.200000000001</v>
      </c>
      <c r="J58" s="49">
        <v>1.2999999999999999E-3</v>
      </c>
      <c r="K58" s="13"/>
      <c r="L58" s="13"/>
      <c r="M58" s="13"/>
      <c r="N58" s="13"/>
      <c r="O58" s="13"/>
      <c r="P58" s="13"/>
      <c r="Q58" s="13"/>
      <c r="R58" s="13"/>
      <c r="S58" s="13"/>
      <c r="T58" s="13"/>
      <c r="U58" s="13"/>
      <c r="V58" s="13"/>
      <c r="W58" s="13"/>
      <c r="X58" s="13"/>
      <c r="Y58" s="13"/>
      <c r="Z58" s="13"/>
      <c r="AA58" s="13"/>
      <c r="AB58" s="13"/>
      <c r="AC58" s="13"/>
      <c r="AD58" s="13"/>
      <c r="AE58" s="13"/>
      <c r="AF58" s="13"/>
      <c r="AG58" s="13"/>
      <c r="AH58" s="13"/>
      <c r="AI58" s="13"/>
      <c r="AJ58" s="13"/>
      <c r="AK58" s="13"/>
      <c r="AL58" s="13"/>
      <c r="AM58" s="13"/>
      <c r="AN58" s="13"/>
      <c r="AO58" s="13"/>
      <c r="AP58" s="13"/>
      <c r="AQ58" s="13"/>
      <c r="AR58" s="13"/>
      <c r="AS58" s="13"/>
      <c r="AT58" s="13"/>
    </row>
    <row r="59" spans="1:46">
      <c r="A59" s="13"/>
      <c r="B59" s="47">
        <v>45566</v>
      </c>
      <c r="C59" s="46">
        <v>288.07</v>
      </c>
      <c r="D59" s="49">
        <v>4.1399999999999999E-2</v>
      </c>
      <c r="E59" s="13"/>
      <c r="F59" s="13"/>
      <c r="G59" s="13"/>
      <c r="H59" s="47">
        <v>45566</v>
      </c>
      <c r="I59" s="48">
        <v>21618.7</v>
      </c>
      <c r="J59" s="49">
        <v>3.3999999999999998E-3</v>
      </c>
      <c r="K59" s="13"/>
      <c r="L59" s="13"/>
      <c r="M59" s="13"/>
      <c r="N59" s="13"/>
      <c r="O59" s="13"/>
      <c r="P59" s="13"/>
      <c r="Q59" s="13"/>
      <c r="R59" s="13"/>
      <c r="S59" s="13"/>
      <c r="T59" s="13"/>
      <c r="U59" s="13"/>
      <c r="V59" s="13"/>
      <c r="W59" s="13"/>
      <c r="X59" s="13"/>
      <c r="Y59" s="13"/>
      <c r="Z59" s="13"/>
      <c r="AA59" s="13"/>
      <c r="AB59" s="13"/>
      <c r="AC59" s="13"/>
      <c r="AD59" s="13"/>
      <c r="AE59" s="13"/>
      <c r="AF59" s="13"/>
      <c r="AG59" s="13"/>
      <c r="AH59" s="13"/>
      <c r="AI59" s="13"/>
      <c r="AJ59" s="13"/>
      <c r="AK59" s="13"/>
      <c r="AL59" s="13"/>
      <c r="AM59" s="13"/>
      <c r="AN59" s="13"/>
      <c r="AO59" s="13"/>
      <c r="AP59" s="13"/>
      <c r="AQ59" s="13"/>
      <c r="AR59" s="13"/>
      <c r="AS59" s="13"/>
      <c r="AT59" s="13"/>
    </row>
    <row r="60" spans="1:46">
      <c r="A60" s="13"/>
      <c r="B60" s="47">
        <v>45536</v>
      </c>
      <c r="C60" s="46">
        <v>276.62</v>
      </c>
      <c r="D60" s="49">
        <v>-1.09E-2</v>
      </c>
      <c r="E60" s="13"/>
      <c r="F60" s="13"/>
      <c r="G60" s="13"/>
      <c r="H60" s="47">
        <v>45536</v>
      </c>
      <c r="I60" s="48">
        <v>21544.85</v>
      </c>
      <c r="J60" s="49">
        <v>1.5E-3</v>
      </c>
      <c r="K60" s="13"/>
      <c r="L60" s="13"/>
      <c r="M60" s="13"/>
      <c r="N60" s="13"/>
      <c r="O60" s="13"/>
      <c r="P60" s="13"/>
      <c r="Q60" s="13"/>
      <c r="R60" s="13"/>
      <c r="S60" s="13"/>
      <c r="T60" s="13"/>
      <c r="U60" s="13"/>
      <c r="V60" s="13"/>
      <c r="W60" s="13"/>
      <c r="X60" s="13"/>
      <c r="Y60" s="13"/>
    </row>
    <row r="61" spans="1:46">
      <c r="A61" s="13"/>
      <c r="B61" s="47">
        <v>45505</v>
      </c>
      <c r="C61" s="46">
        <v>279.67</v>
      </c>
      <c r="D61" s="49">
        <v>-1.9E-2</v>
      </c>
      <c r="E61" s="13"/>
      <c r="F61" s="13"/>
      <c r="G61" s="13"/>
      <c r="H61" s="47">
        <v>45505</v>
      </c>
      <c r="I61" s="48">
        <v>21513</v>
      </c>
      <c r="J61" s="49">
        <v>-9.1000000000000004E-3</v>
      </c>
      <c r="K61" s="13"/>
      <c r="L61" s="13"/>
      <c r="M61" s="13"/>
      <c r="N61" s="13"/>
      <c r="O61" s="13"/>
      <c r="P61" s="13"/>
      <c r="Q61" s="13"/>
      <c r="R61" s="13"/>
      <c r="S61" s="13"/>
      <c r="T61" s="13"/>
      <c r="U61" s="13"/>
      <c r="V61" s="13"/>
      <c r="W61" s="13"/>
      <c r="X61" s="13"/>
      <c r="Y61" s="13"/>
    </row>
    <row r="62" spans="1:46">
      <c r="A62" s="13"/>
      <c r="B62" s="47">
        <v>45413</v>
      </c>
      <c r="C62" s="46">
        <v>285.08</v>
      </c>
      <c r="D62" s="49">
        <v>-4.7999999999999996E-3</v>
      </c>
      <c r="E62" s="13"/>
      <c r="F62" s="13"/>
      <c r="G62" s="13"/>
      <c r="H62" s="47">
        <v>45413</v>
      </c>
      <c r="I62" s="48">
        <v>21710.799999999999</v>
      </c>
      <c r="J62" s="49">
        <v>2.3999999999999998E-3</v>
      </c>
      <c r="K62" s="13"/>
      <c r="L62" s="13"/>
      <c r="M62" s="13"/>
      <c r="N62" s="13"/>
      <c r="O62" s="13"/>
      <c r="P62" s="13"/>
      <c r="Q62" s="13"/>
      <c r="R62" s="13"/>
      <c r="S62" s="13"/>
      <c r="T62" s="13"/>
      <c r="U62" s="13"/>
      <c r="V62" s="13"/>
      <c r="W62" s="13"/>
      <c r="X62" s="13"/>
      <c r="Y62" s="13"/>
    </row>
    <row r="63" spans="1:46">
      <c r="A63" s="13"/>
      <c r="B63" s="47">
        <v>45383</v>
      </c>
      <c r="C63" s="46">
        <v>286.45</v>
      </c>
      <c r="D63" s="49">
        <v>1.8200000000000001E-2</v>
      </c>
      <c r="E63" s="13"/>
      <c r="F63" s="13"/>
      <c r="G63" s="13"/>
      <c r="H63" s="47">
        <v>45383</v>
      </c>
      <c r="I63" s="48">
        <v>21658.6</v>
      </c>
      <c r="J63" s="49">
        <v>6.6E-3</v>
      </c>
      <c r="K63" s="13"/>
      <c r="L63" s="13"/>
      <c r="M63" s="13"/>
      <c r="N63" s="13"/>
      <c r="O63" s="13"/>
      <c r="P63" s="13"/>
      <c r="Q63" s="13"/>
      <c r="R63" s="13"/>
      <c r="S63" s="13"/>
      <c r="T63" s="13"/>
      <c r="U63" s="13"/>
      <c r="V63" s="13"/>
      <c r="W63" s="13"/>
      <c r="X63" s="13"/>
      <c r="Y63" s="13"/>
    </row>
    <row r="64" spans="1:46">
      <c r="A64" s="13"/>
      <c r="B64" s="47">
        <v>45352</v>
      </c>
      <c r="C64" s="46">
        <v>281.33999999999997</v>
      </c>
      <c r="D64" s="49">
        <v>-1E-3</v>
      </c>
      <c r="E64" s="13"/>
      <c r="F64" s="13"/>
      <c r="G64" s="13"/>
      <c r="H64" s="47">
        <v>45352</v>
      </c>
      <c r="I64" s="48">
        <v>21517.35</v>
      </c>
      <c r="J64" s="49">
        <v>-6.8999999999999999E-3</v>
      </c>
      <c r="K64" s="13"/>
      <c r="L64" s="13"/>
      <c r="M64" s="13"/>
      <c r="N64" s="13"/>
      <c r="O64" s="13"/>
      <c r="P64" s="13"/>
      <c r="Q64" s="13"/>
      <c r="R64" s="13"/>
      <c r="S64" s="13"/>
      <c r="T64" s="13"/>
      <c r="U64" s="13"/>
      <c r="V64" s="13"/>
      <c r="W64" s="13"/>
      <c r="X64" s="13"/>
      <c r="Y64" s="13"/>
    </row>
    <row r="65" spans="1:25">
      <c r="A65" s="13"/>
      <c r="B65" s="47">
        <v>45323</v>
      </c>
      <c r="C65" s="46">
        <v>281.62</v>
      </c>
      <c r="D65" s="49">
        <v>-5.0000000000000001E-4</v>
      </c>
      <c r="E65" s="13"/>
      <c r="F65" s="13"/>
      <c r="G65" s="13"/>
      <c r="H65" s="47">
        <v>45323</v>
      </c>
      <c r="I65" s="48">
        <v>21665.8</v>
      </c>
      <c r="J65" s="49">
        <v>-3.5000000000000001E-3</v>
      </c>
      <c r="K65" s="13"/>
      <c r="L65" s="13"/>
      <c r="M65" s="13"/>
      <c r="N65" s="13"/>
      <c r="O65" s="13"/>
      <c r="P65" s="13"/>
      <c r="Q65" s="13"/>
      <c r="R65" s="13"/>
      <c r="S65" s="13"/>
      <c r="T65" s="13"/>
      <c r="U65" s="13"/>
      <c r="V65" s="13"/>
      <c r="W65" s="13"/>
      <c r="X65" s="13"/>
      <c r="Y65" s="13"/>
    </row>
    <row r="66" spans="1:25">
      <c r="A66" s="13"/>
      <c r="B66" s="47">
        <v>45292</v>
      </c>
      <c r="C66" s="46">
        <v>281.76</v>
      </c>
      <c r="D66" s="49">
        <v>-8.3999999999999995E-3</v>
      </c>
      <c r="E66" s="13"/>
      <c r="F66" s="13"/>
      <c r="G66" s="13"/>
      <c r="H66" s="47">
        <v>45292</v>
      </c>
      <c r="I66" s="48">
        <v>21741.9</v>
      </c>
      <c r="J66" s="49">
        <v>5.0000000000000001E-4</v>
      </c>
      <c r="K66" s="13"/>
      <c r="L66" s="13"/>
      <c r="M66" s="13"/>
      <c r="N66" s="13"/>
      <c r="O66" s="13"/>
      <c r="P66" s="13"/>
      <c r="Q66" s="13"/>
      <c r="R66" s="13"/>
      <c r="S66" s="13"/>
      <c r="T66" s="13"/>
      <c r="U66" s="13"/>
      <c r="V66" s="13"/>
      <c r="W66" s="13"/>
      <c r="X66" s="13"/>
      <c r="Y66" s="13"/>
    </row>
    <row r="67" spans="1:25">
      <c r="A67" s="13"/>
      <c r="B67" s="46" t="s">
        <v>414</v>
      </c>
      <c r="C67" s="46">
        <v>284.14</v>
      </c>
      <c r="D67" s="49">
        <v>7.7000000000000002E-3</v>
      </c>
      <c r="E67" s="13"/>
      <c r="F67" s="13"/>
      <c r="G67" s="13"/>
      <c r="H67" s="46" t="s">
        <v>414</v>
      </c>
      <c r="I67" s="48">
        <v>21731.4</v>
      </c>
      <c r="J67" s="49">
        <v>-2.2000000000000001E-3</v>
      </c>
      <c r="K67" s="13"/>
      <c r="L67" s="13"/>
      <c r="M67" s="13"/>
      <c r="N67" s="13"/>
      <c r="O67" s="13"/>
      <c r="P67" s="13"/>
      <c r="Q67" s="13"/>
      <c r="R67" s="13"/>
      <c r="S67" s="13"/>
      <c r="T67" s="13"/>
      <c r="U67" s="13"/>
      <c r="V67" s="13"/>
      <c r="W67" s="13"/>
      <c r="X67" s="13"/>
      <c r="Y67" s="13"/>
    </row>
    <row r="68" spans="1:25">
      <c r="A68" s="13"/>
      <c r="B68" s="46" t="s">
        <v>415</v>
      </c>
      <c r="C68" s="46">
        <v>281.95999999999998</v>
      </c>
      <c r="D68" s="49">
        <v>5.9999999999999995E-4</v>
      </c>
      <c r="E68" s="13"/>
      <c r="F68" s="13"/>
      <c r="G68" s="13"/>
      <c r="H68" s="46" t="s">
        <v>415</v>
      </c>
      <c r="I68" s="48">
        <v>21778.7</v>
      </c>
      <c r="J68" s="49">
        <v>5.7000000000000002E-3</v>
      </c>
      <c r="K68" s="13"/>
      <c r="L68" s="13"/>
      <c r="M68" s="13"/>
      <c r="N68" s="13"/>
      <c r="O68" s="13"/>
      <c r="P68" s="13"/>
      <c r="Q68" s="13"/>
      <c r="R68" s="13"/>
      <c r="S68" s="13"/>
      <c r="T68" s="13"/>
      <c r="U68" s="13"/>
      <c r="V68" s="13"/>
      <c r="W68" s="13"/>
      <c r="X68" s="13"/>
      <c r="Y68" s="13"/>
    </row>
    <row r="69" spans="1:25">
      <c r="A69" s="13"/>
      <c r="B69" s="46" t="s">
        <v>416</v>
      </c>
      <c r="C69" s="46">
        <v>281.79000000000002</v>
      </c>
      <c r="D69" s="49">
        <v>-1.8499999999999999E-2</v>
      </c>
      <c r="E69" s="13"/>
      <c r="F69" s="13"/>
      <c r="G69" s="13"/>
      <c r="H69" s="46" t="s">
        <v>416</v>
      </c>
      <c r="I69" s="48">
        <v>21654.75</v>
      </c>
      <c r="J69" s="49">
        <v>0.01</v>
      </c>
      <c r="K69" s="13"/>
      <c r="L69" s="13"/>
      <c r="M69" s="13"/>
      <c r="N69" s="13"/>
      <c r="O69" s="13"/>
      <c r="P69" s="13"/>
      <c r="Q69" s="13"/>
      <c r="R69" s="13"/>
      <c r="S69" s="13"/>
      <c r="T69" s="13"/>
      <c r="U69" s="13"/>
      <c r="V69" s="13"/>
      <c r="W69" s="13"/>
      <c r="X69" s="13"/>
      <c r="Y69" s="13"/>
    </row>
    <row r="70" spans="1:25">
      <c r="A70" s="13"/>
      <c r="B70" s="46" t="s">
        <v>417</v>
      </c>
      <c r="C70" s="46">
        <v>287.11</v>
      </c>
      <c r="D70" s="49">
        <v>1.4999999999999999E-2</v>
      </c>
      <c r="E70" s="13"/>
      <c r="F70" s="13"/>
      <c r="G70" s="13"/>
      <c r="H70" s="46" t="s">
        <v>417</v>
      </c>
      <c r="I70" s="48">
        <v>21441.35</v>
      </c>
      <c r="J70" s="49">
        <v>4.3E-3</v>
      </c>
      <c r="K70" s="13"/>
      <c r="L70" s="13"/>
      <c r="M70" s="13"/>
      <c r="N70" s="13"/>
      <c r="O70" s="13"/>
      <c r="P70" s="13"/>
      <c r="Q70" s="13"/>
      <c r="R70" s="13"/>
      <c r="S70" s="13"/>
      <c r="T70" s="13"/>
      <c r="U70" s="13"/>
      <c r="V70" s="13"/>
      <c r="W70" s="13"/>
      <c r="X70" s="13"/>
      <c r="Y70" s="13"/>
    </row>
    <row r="71" spans="1:25">
      <c r="A71" s="13"/>
      <c r="B71" s="46" t="s">
        <v>418</v>
      </c>
      <c r="C71" s="46">
        <v>282.86</v>
      </c>
      <c r="D71" s="49">
        <v>8.3000000000000001E-3</v>
      </c>
      <c r="E71" s="13"/>
      <c r="F71" s="13"/>
      <c r="G71" s="13"/>
      <c r="H71" s="46" t="s">
        <v>418</v>
      </c>
      <c r="I71" s="48">
        <v>21349.4</v>
      </c>
      <c r="J71" s="49">
        <v>4.4000000000000003E-3</v>
      </c>
      <c r="K71" s="13"/>
      <c r="L71" s="13"/>
      <c r="M71" s="13"/>
      <c r="N71" s="13"/>
      <c r="O71" s="13"/>
      <c r="P71" s="13"/>
      <c r="Q71" s="13"/>
      <c r="R71" s="13"/>
      <c r="S71" s="13"/>
      <c r="T71" s="13"/>
      <c r="U71" s="13"/>
      <c r="V71" s="13"/>
      <c r="W71" s="13"/>
      <c r="X71" s="13"/>
      <c r="Y71" s="13"/>
    </row>
    <row r="72" spans="1:25">
      <c r="A72" s="13"/>
      <c r="B72" s="46" t="s">
        <v>419</v>
      </c>
      <c r="C72" s="46">
        <v>280.52999999999997</v>
      </c>
      <c r="D72" s="49">
        <v>-5.7999999999999996E-3</v>
      </c>
      <c r="E72" s="13"/>
      <c r="F72" s="13"/>
      <c r="G72" s="13"/>
      <c r="H72" s="46" t="s">
        <v>419</v>
      </c>
      <c r="I72" s="48">
        <v>21255.05</v>
      </c>
      <c r="J72" s="49">
        <v>5.0000000000000001E-3</v>
      </c>
      <c r="K72" s="13"/>
      <c r="L72" s="13"/>
      <c r="M72" s="13"/>
      <c r="N72" s="13"/>
      <c r="O72" s="13"/>
      <c r="P72" s="13"/>
      <c r="Q72" s="13"/>
      <c r="R72" s="13"/>
      <c r="S72" s="13"/>
      <c r="T72" s="13"/>
      <c r="U72" s="13"/>
      <c r="V72" s="13"/>
      <c r="W72" s="13"/>
      <c r="X72" s="13"/>
      <c r="Y72" s="13"/>
    </row>
    <row r="73" spans="1:25">
      <c r="A73" s="13"/>
      <c r="B73" s="46" t="s">
        <v>420</v>
      </c>
      <c r="C73" s="46">
        <v>282.18</v>
      </c>
      <c r="D73" s="49">
        <v>2.5999999999999999E-3</v>
      </c>
      <c r="E73" s="13"/>
      <c r="F73" s="13"/>
      <c r="G73" s="13"/>
      <c r="H73" s="46" t="s">
        <v>420</v>
      </c>
      <c r="I73" s="48">
        <v>21150.15</v>
      </c>
      <c r="J73" s="49">
        <v>-1.41E-2</v>
      </c>
      <c r="K73" s="13"/>
      <c r="L73" s="13"/>
      <c r="M73" s="13"/>
      <c r="N73" s="13"/>
      <c r="O73" s="13"/>
      <c r="P73" s="13"/>
      <c r="Q73" s="13"/>
      <c r="R73" s="13"/>
      <c r="S73" s="13"/>
      <c r="T73" s="13"/>
      <c r="U73" s="13"/>
      <c r="V73" s="13"/>
      <c r="W73" s="13"/>
      <c r="X73" s="13"/>
      <c r="Y73" s="13"/>
    </row>
    <row r="74" spans="1:25">
      <c r="A74" s="13"/>
      <c r="B74" s="46" t="s">
        <v>421</v>
      </c>
      <c r="C74" s="46">
        <v>281.45</v>
      </c>
      <c r="D74" s="49">
        <v>3.0999999999999999E-3</v>
      </c>
      <c r="E74" s="13"/>
      <c r="F74" s="13"/>
      <c r="G74" s="13"/>
      <c r="H74" s="46" t="s">
        <v>421</v>
      </c>
      <c r="I74" s="48">
        <v>21453.1</v>
      </c>
      <c r="J74" s="49">
        <v>1.6000000000000001E-3</v>
      </c>
      <c r="K74" s="13"/>
      <c r="L74" s="13"/>
      <c r="M74" s="13"/>
      <c r="N74" s="13"/>
      <c r="O74" s="13"/>
      <c r="P74" s="13"/>
      <c r="Q74" s="13"/>
      <c r="R74" s="13"/>
      <c r="S74" s="13"/>
      <c r="T74" s="13"/>
      <c r="U74" s="13"/>
      <c r="V74" s="13"/>
      <c r="W74" s="13"/>
      <c r="X74" s="13"/>
      <c r="Y74" s="13"/>
    </row>
    <row r="75" spans="1:25">
      <c r="A75" s="13"/>
      <c r="B75" s="46" t="s">
        <v>422</v>
      </c>
      <c r="C75" s="46">
        <v>280.58999999999997</v>
      </c>
      <c r="D75" s="49">
        <v>-2.5999999999999999E-3</v>
      </c>
      <c r="E75" s="13"/>
      <c r="F75" s="13"/>
      <c r="G75" s="13"/>
      <c r="H75" s="46" t="s">
        <v>422</v>
      </c>
      <c r="I75" s="48">
        <v>21418.65</v>
      </c>
      <c r="J75" s="49">
        <v>-1.8E-3</v>
      </c>
      <c r="K75" s="13"/>
      <c r="L75" s="13"/>
      <c r="M75" s="13"/>
      <c r="N75" s="13"/>
      <c r="O75" s="13"/>
      <c r="P75" s="13"/>
      <c r="Q75" s="13"/>
      <c r="R75" s="13"/>
      <c r="S75" s="13"/>
      <c r="T75" s="13"/>
      <c r="U75" s="13"/>
      <c r="V75" s="13"/>
      <c r="W75" s="13"/>
      <c r="X75" s="13"/>
      <c r="Y75" s="13"/>
    </row>
    <row r="76" spans="1:25">
      <c r="A76" s="13"/>
      <c r="B76" s="46" t="s">
        <v>423</v>
      </c>
      <c r="C76" s="46">
        <v>281.32</v>
      </c>
      <c r="D76" s="49">
        <v>-6.7999999999999996E-3</v>
      </c>
      <c r="E76" s="13"/>
      <c r="F76" s="13"/>
      <c r="G76" s="13"/>
      <c r="H76" s="46" t="s">
        <v>423</v>
      </c>
      <c r="I76" s="48">
        <v>21456.65</v>
      </c>
      <c r="J76" s="49">
        <v>1.29E-2</v>
      </c>
      <c r="K76" s="13"/>
      <c r="L76" s="13"/>
      <c r="M76" s="13"/>
      <c r="N76" s="13"/>
      <c r="O76" s="13"/>
      <c r="P76" s="13"/>
      <c r="Q76" s="13"/>
      <c r="R76" s="13"/>
      <c r="S76" s="13"/>
      <c r="T76" s="13"/>
      <c r="U76" s="13"/>
      <c r="V76" s="13"/>
      <c r="W76" s="13"/>
      <c r="X76" s="13"/>
      <c r="Y76" s="13"/>
    </row>
    <row r="77" spans="1:25">
      <c r="A77" s="13"/>
      <c r="B77" s="46" t="s">
        <v>424</v>
      </c>
      <c r="C77" s="46">
        <v>283.24</v>
      </c>
      <c r="D77" s="49">
        <v>1.2999999999999999E-3</v>
      </c>
      <c r="E77" s="13"/>
      <c r="F77" s="13"/>
      <c r="G77" s="13"/>
      <c r="H77" s="46" t="s">
        <v>424</v>
      </c>
      <c r="I77" s="48">
        <v>21182.7</v>
      </c>
      <c r="J77" s="49">
        <v>1.23E-2</v>
      </c>
      <c r="K77" s="13"/>
      <c r="L77" s="13"/>
      <c r="M77" s="13"/>
      <c r="N77" s="13"/>
      <c r="O77" s="13"/>
      <c r="P77" s="13"/>
      <c r="Q77" s="13"/>
      <c r="R77" s="13"/>
      <c r="S77" s="13"/>
      <c r="T77" s="13"/>
      <c r="U77" s="13"/>
      <c r="V77" s="13"/>
      <c r="W77" s="13"/>
      <c r="X77" s="13"/>
      <c r="Y77" s="13"/>
    </row>
    <row r="78" spans="1:25">
      <c r="A78" s="13"/>
      <c r="B78" s="46" t="s">
        <v>425</v>
      </c>
      <c r="C78" s="46">
        <v>282.87</v>
      </c>
      <c r="D78" s="49">
        <v>3.8E-3</v>
      </c>
      <c r="E78" s="13"/>
      <c r="F78" s="13"/>
      <c r="G78" s="13"/>
      <c r="H78" s="46" t="s">
        <v>425</v>
      </c>
      <c r="I78" s="48">
        <v>20926.349999999999</v>
      </c>
      <c r="J78" s="49">
        <v>1E-3</v>
      </c>
      <c r="K78" s="13"/>
      <c r="L78" s="13"/>
      <c r="M78" s="13"/>
      <c r="N78" s="13"/>
      <c r="O78" s="13"/>
      <c r="P78" s="13"/>
      <c r="Q78" s="13"/>
      <c r="R78" s="13"/>
      <c r="S78" s="13"/>
      <c r="T78" s="13"/>
      <c r="U78" s="13"/>
      <c r="V78" s="13"/>
      <c r="W78" s="13"/>
      <c r="X78" s="13"/>
      <c r="Y78" s="13"/>
    </row>
    <row r="79" spans="1:25">
      <c r="A79" s="13"/>
      <c r="B79" s="47">
        <v>45272</v>
      </c>
      <c r="C79" s="46">
        <v>281.8</v>
      </c>
      <c r="D79" s="49">
        <v>-8.3999999999999995E-3</v>
      </c>
      <c r="E79" s="13"/>
      <c r="F79" s="13"/>
      <c r="G79" s="13"/>
      <c r="H79" s="47">
        <v>45272</v>
      </c>
      <c r="I79" s="48">
        <v>20906.400000000001</v>
      </c>
      <c r="J79" s="49">
        <v>-4.3E-3</v>
      </c>
      <c r="K79" s="13"/>
      <c r="L79" s="13"/>
      <c r="M79" s="13"/>
      <c r="N79" s="13"/>
      <c r="O79" s="13"/>
      <c r="P79" s="13"/>
      <c r="Q79" s="13"/>
      <c r="R79" s="13"/>
      <c r="S79" s="13"/>
      <c r="T79" s="13"/>
      <c r="U79" s="13"/>
      <c r="V79" s="13"/>
      <c r="W79" s="13"/>
      <c r="X79" s="13"/>
      <c r="Y79" s="13"/>
    </row>
    <row r="80" spans="1:25">
      <c r="A80" s="13"/>
      <c r="B80" s="47">
        <v>45242</v>
      </c>
      <c r="C80" s="46">
        <v>284.18</v>
      </c>
      <c r="D80" s="49">
        <v>-7.9000000000000008E-3</v>
      </c>
      <c r="E80" s="13"/>
      <c r="F80" s="13"/>
      <c r="G80" s="13"/>
      <c r="H80" s="47">
        <v>45242</v>
      </c>
      <c r="I80" s="48">
        <v>20997.1</v>
      </c>
      <c r="J80" s="49">
        <v>1.2999999999999999E-3</v>
      </c>
      <c r="K80" s="13"/>
      <c r="L80" s="13"/>
      <c r="M80" s="13"/>
      <c r="N80" s="13"/>
      <c r="O80" s="13"/>
      <c r="P80" s="13"/>
      <c r="Q80" s="13"/>
      <c r="R80" s="13"/>
      <c r="S80" s="13"/>
      <c r="T80" s="13"/>
      <c r="U80" s="13"/>
      <c r="V80" s="13"/>
      <c r="W80" s="13"/>
      <c r="X80" s="13"/>
      <c r="Y80" s="13"/>
    </row>
    <row r="81" spans="1:25">
      <c r="A81" s="13"/>
      <c r="B81" s="47">
        <v>45150</v>
      </c>
      <c r="C81" s="46">
        <v>286.43</v>
      </c>
      <c r="D81" s="49">
        <v>-3.0000000000000001E-3</v>
      </c>
      <c r="E81" s="13"/>
      <c r="F81" s="13"/>
      <c r="G81" s="13"/>
      <c r="H81" s="47">
        <v>45150</v>
      </c>
      <c r="I81" s="48">
        <v>20969.400000000001</v>
      </c>
      <c r="J81" s="49">
        <v>3.3E-3</v>
      </c>
      <c r="K81" s="13"/>
      <c r="L81" s="13"/>
      <c r="M81" s="13"/>
      <c r="N81" s="13"/>
      <c r="O81" s="13"/>
      <c r="P81" s="13"/>
      <c r="Q81" s="13"/>
      <c r="R81" s="13"/>
      <c r="S81" s="13"/>
      <c r="T81" s="13"/>
      <c r="U81" s="13"/>
      <c r="V81" s="13"/>
      <c r="W81" s="13"/>
      <c r="X81" s="13"/>
      <c r="Y81" s="13"/>
    </row>
    <row r="82" spans="1:25">
      <c r="A82" s="13"/>
      <c r="B82" s="47">
        <v>45119</v>
      </c>
      <c r="C82" s="46">
        <v>287.27999999999997</v>
      </c>
      <c r="D82" s="49">
        <v>1.67E-2</v>
      </c>
      <c r="E82" s="13"/>
      <c r="F82" s="13"/>
      <c r="G82" s="13"/>
      <c r="H82" s="47">
        <v>45119</v>
      </c>
      <c r="I82" s="48">
        <v>20901.150000000001</v>
      </c>
      <c r="J82" s="49">
        <v>-1.6999999999999999E-3</v>
      </c>
      <c r="K82" s="13"/>
      <c r="L82" s="13"/>
      <c r="M82" s="13"/>
      <c r="N82" s="13"/>
      <c r="O82" s="13"/>
      <c r="P82" s="13"/>
      <c r="Q82" s="13"/>
      <c r="R82" s="13"/>
      <c r="S82" s="13"/>
      <c r="T82" s="13"/>
      <c r="U82" s="13"/>
      <c r="V82" s="13"/>
      <c r="W82" s="13"/>
      <c r="X82" s="13"/>
      <c r="Y82" s="13"/>
    </row>
    <row r="83" spans="1:25">
      <c r="A83" s="13"/>
      <c r="B83" s="47">
        <v>45089</v>
      </c>
      <c r="C83" s="46">
        <v>282.57</v>
      </c>
      <c r="D83" s="49">
        <v>-6.7999999999999996E-3</v>
      </c>
      <c r="E83" s="13"/>
      <c r="F83" s="13"/>
      <c r="G83" s="13"/>
      <c r="H83" s="47">
        <v>45089</v>
      </c>
      <c r="I83" s="48">
        <v>20937.7</v>
      </c>
      <c r="J83" s="49">
        <v>4.0000000000000001E-3</v>
      </c>
      <c r="K83" s="13"/>
      <c r="L83" s="13"/>
      <c r="M83" s="13"/>
      <c r="N83" s="13"/>
      <c r="O83" s="13"/>
      <c r="P83" s="13"/>
      <c r="Q83" s="13"/>
      <c r="R83" s="13"/>
      <c r="S83" s="13"/>
      <c r="T83" s="13"/>
      <c r="U83" s="13"/>
      <c r="V83" s="13"/>
      <c r="W83" s="13"/>
      <c r="X83" s="13"/>
      <c r="Y83" s="13"/>
    </row>
    <row r="84" spans="1:25">
      <c r="A84" s="13"/>
      <c r="B84" s="47">
        <v>45058</v>
      </c>
      <c r="C84" s="46">
        <v>284.5</v>
      </c>
      <c r="D84" s="49">
        <v>-1.67E-2</v>
      </c>
      <c r="E84" s="13"/>
      <c r="F84" s="13"/>
      <c r="G84" s="13"/>
      <c r="H84" s="47">
        <v>45058</v>
      </c>
      <c r="I84" s="48">
        <v>20855.099999999999</v>
      </c>
      <c r="J84" s="49">
        <v>8.0999999999999996E-3</v>
      </c>
      <c r="K84" s="13"/>
      <c r="L84" s="13"/>
      <c r="M84" s="13"/>
      <c r="N84" s="13"/>
      <c r="O84" s="13"/>
      <c r="P84" s="13"/>
      <c r="Q84" s="13"/>
      <c r="R84" s="13"/>
      <c r="S84" s="13"/>
      <c r="T84" s="13"/>
      <c r="U84" s="13"/>
      <c r="V84" s="13"/>
      <c r="W84" s="13"/>
      <c r="X84" s="13"/>
      <c r="Y84" s="13"/>
    </row>
    <row r="85" spans="1:25">
      <c r="A85" s="13"/>
      <c r="B85" s="47">
        <v>45028</v>
      </c>
      <c r="C85" s="46">
        <v>289.33</v>
      </c>
      <c r="D85" s="49">
        <v>2.2700000000000001E-2</v>
      </c>
      <c r="E85" s="13"/>
      <c r="F85" s="13"/>
      <c r="G85" s="13"/>
      <c r="H85" s="47">
        <v>45028</v>
      </c>
      <c r="I85" s="48">
        <v>20686.8</v>
      </c>
      <c r="J85" s="49">
        <v>2.07E-2</v>
      </c>
      <c r="K85" s="13"/>
      <c r="L85" s="13"/>
      <c r="M85" s="13"/>
      <c r="N85" s="13"/>
      <c r="O85" s="13"/>
      <c r="P85" s="13"/>
      <c r="Q85" s="13"/>
      <c r="R85" s="13"/>
      <c r="S85" s="13"/>
      <c r="T85" s="13"/>
      <c r="U85" s="13"/>
      <c r="V85" s="13"/>
      <c r="W85" s="13"/>
      <c r="X85" s="13"/>
      <c r="Y85" s="13"/>
    </row>
    <row r="86" spans="1:25">
      <c r="A86" s="13"/>
      <c r="B86" s="47">
        <v>44938</v>
      </c>
      <c r="C86" s="46">
        <v>282.91000000000003</v>
      </c>
      <c r="D86" s="49">
        <v>1.89E-2</v>
      </c>
      <c r="E86" s="13"/>
      <c r="F86" s="13"/>
      <c r="G86" s="13"/>
      <c r="H86" s="47">
        <v>44938</v>
      </c>
      <c r="I86" s="48">
        <v>20267.900000000001</v>
      </c>
      <c r="J86" s="49">
        <v>6.7000000000000002E-3</v>
      </c>
      <c r="K86" s="13"/>
      <c r="L86" s="13"/>
      <c r="M86" s="13"/>
      <c r="N86" s="13"/>
      <c r="O86" s="13"/>
      <c r="P86" s="13"/>
      <c r="Q86" s="13"/>
      <c r="R86" s="13"/>
      <c r="S86" s="13"/>
      <c r="T86" s="13"/>
      <c r="U86" s="13"/>
      <c r="V86" s="13"/>
      <c r="W86" s="13"/>
      <c r="X86" s="13"/>
      <c r="Y86" s="13"/>
    </row>
    <row r="87" spans="1:25">
      <c r="A87" s="13"/>
      <c r="B87" s="46" t="s">
        <v>426</v>
      </c>
      <c r="C87" s="46">
        <v>277.64999999999998</v>
      </c>
      <c r="D87" s="49">
        <v>-8.5000000000000006E-3</v>
      </c>
      <c r="E87" s="13"/>
      <c r="F87" s="13"/>
      <c r="G87" s="13"/>
      <c r="H87" s="46" t="s">
        <v>426</v>
      </c>
      <c r="I87" s="48">
        <v>20133.150000000001</v>
      </c>
      <c r="J87" s="49">
        <v>1.8E-3</v>
      </c>
      <c r="K87" s="13"/>
      <c r="L87" s="13"/>
      <c r="M87" s="13"/>
      <c r="N87" s="13"/>
      <c r="O87" s="13"/>
      <c r="P87" s="13"/>
      <c r="Q87" s="13"/>
      <c r="R87" s="13"/>
      <c r="S87" s="13"/>
      <c r="T87" s="13"/>
      <c r="U87" s="13"/>
      <c r="V87" s="13"/>
      <c r="W87" s="13"/>
      <c r="X87" s="13"/>
      <c r="Y87" s="13"/>
    </row>
    <row r="88" spans="1:25">
      <c r="A88" s="13"/>
      <c r="B88" s="46" t="s">
        <v>427</v>
      </c>
      <c r="C88" s="46">
        <v>280.04000000000002</v>
      </c>
      <c r="D88" s="49">
        <v>1.8E-3</v>
      </c>
      <c r="E88" s="13"/>
      <c r="F88" s="13"/>
      <c r="G88" s="13"/>
      <c r="H88" s="46" t="s">
        <v>427</v>
      </c>
      <c r="I88" s="48">
        <v>20096.599999999999</v>
      </c>
      <c r="J88" s="49">
        <v>1.04E-2</v>
      </c>
      <c r="K88" s="13"/>
      <c r="L88" s="13"/>
      <c r="M88" s="13"/>
      <c r="N88" s="13"/>
      <c r="O88" s="13"/>
      <c r="P88" s="13"/>
      <c r="Q88" s="13"/>
      <c r="R88" s="13"/>
      <c r="S88" s="13"/>
      <c r="T88" s="13"/>
      <c r="U88" s="13"/>
      <c r="V88" s="13"/>
      <c r="W88" s="13"/>
      <c r="X88" s="13"/>
      <c r="Y88" s="13"/>
    </row>
    <row r="89" spans="1:25">
      <c r="A89" s="13"/>
      <c r="B89" s="46" t="s">
        <v>428</v>
      </c>
      <c r="C89" s="46">
        <v>279.54000000000002</v>
      </c>
      <c r="D89" s="49">
        <v>-6.7000000000000002E-3</v>
      </c>
      <c r="E89" s="13"/>
      <c r="F89" s="13"/>
      <c r="G89" s="13"/>
      <c r="H89" s="46" t="s">
        <v>428</v>
      </c>
      <c r="I89" s="48">
        <v>19889.7</v>
      </c>
      <c r="J89" s="49">
        <v>4.7999999999999996E-3</v>
      </c>
      <c r="K89" s="13"/>
      <c r="L89" s="13"/>
      <c r="M89" s="13"/>
      <c r="N89" s="13"/>
      <c r="O89" s="13"/>
      <c r="P89" s="13"/>
      <c r="Q89" s="13"/>
      <c r="R89" s="13"/>
      <c r="S89" s="13"/>
      <c r="T89" s="13"/>
      <c r="U89" s="13"/>
      <c r="V89" s="13"/>
      <c r="W89" s="13"/>
      <c r="X89" s="13"/>
      <c r="Y89" s="13"/>
    </row>
    <row r="90" spans="1:25">
      <c r="A90" s="13"/>
      <c r="B90" s="46" t="s">
        <v>429</v>
      </c>
      <c r="C90" s="46">
        <v>281.42</v>
      </c>
      <c r="D90" s="49">
        <v>3.8999999999999998E-3</v>
      </c>
      <c r="E90" s="13"/>
      <c r="F90" s="13"/>
      <c r="G90" s="13"/>
      <c r="H90" s="46" t="s">
        <v>429</v>
      </c>
      <c r="I90" s="48">
        <v>19794.7</v>
      </c>
      <c r="J90" s="49">
        <v>-4.0000000000000002E-4</v>
      </c>
      <c r="K90" s="13"/>
      <c r="L90" s="13"/>
      <c r="M90" s="13"/>
      <c r="N90" s="13"/>
      <c r="O90" s="13"/>
      <c r="P90" s="13"/>
      <c r="Q90" s="13"/>
      <c r="R90" s="13"/>
      <c r="S90" s="13"/>
      <c r="T90" s="13"/>
      <c r="U90" s="13"/>
      <c r="V90" s="13"/>
      <c r="W90" s="13"/>
      <c r="X90" s="13"/>
      <c r="Y90" s="13"/>
    </row>
    <row r="91" spans="1:25">
      <c r="A91" s="13"/>
      <c r="B91" s="46" t="s">
        <v>430</v>
      </c>
      <c r="C91" s="46">
        <v>280.32</v>
      </c>
      <c r="D91" s="49">
        <v>7.3000000000000001E-3</v>
      </c>
      <c r="E91" s="13"/>
      <c r="F91" s="13"/>
      <c r="G91" s="13"/>
      <c r="H91" s="46" t="s">
        <v>430</v>
      </c>
      <c r="I91" s="48">
        <v>19802</v>
      </c>
      <c r="J91" s="49">
        <v>-5.0000000000000001E-4</v>
      </c>
      <c r="K91" s="13"/>
      <c r="L91" s="13"/>
      <c r="M91" s="13"/>
      <c r="N91" s="13"/>
      <c r="O91" s="13"/>
      <c r="P91" s="13"/>
      <c r="Q91" s="13"/>
      <c r="R91" s="13"/>
      <c r="S91" s="13"/>
      <c r="T91" s="13"/>
      <c r="U91" s="13"/>
      <c r="V91" s="13"/>
      <c r="W91" s="13"/>
      <c r="X91" s="13"/>
      <c r="Y91" s="13"/>
    </row>
    <row r="92" spans="1:25">
      <c r="A92" s="13"/>
      <c r="B92" s="46" t="s">
        <v>431</v>
      </c>
      <c r="C92" s="46">
        <v>278.27999999999997</v>
      </c>
      <c r="D92" s="49">
        <v>5.5999999999999999E-3</v>
      </c>
      <c r="E92" s="13"/>
      <c r="F92" s="13"/>
      <c r="G92" s="13"/>
      <c r="H92" s="46" t="s">
        <v>431</v>
      </c>
      <c r="I92" s="48">
        <v>19811.849999999999</v>
      </c>
      <c r="J92" s="49">
        <v>1.4E-3</v>
      </c>
      <c r="K92" s="13"/>
      <c r="L92" s="13"/>
      <c r="M92" s="13"/>
      <c r="N92" s="13"/>
      <c r="O92" s="13"/>
      <c r="P92" s="13"/>
      <c r="Q92" s="13"/>
      <c r="R92" s="13"/>
      <c r="S92" s="13"/>
      <c r="T92" s="13"/>
      <c r="U92" s="13"/>
      <c r="V92" s="13"/>
      <c r="W92" s="13"/>
      <c r="X92" s="13"/>
      <c r="Y92" s="13"/>
    </row>
    <row r="93" spans="1:25">
      <c r="A93" s="13"/>
      <c r="B93" s="46" t="s">
        <v>432</v>
      </c>
      <c r="C93" s="46">
        <v>276.73</v>
      </c>
      <c r="D93" s="49">
        <v>-8.2000000000000007E-3</v>
      </c>
      <c r="E93" s="13"/>
      <c r="F93" s="13"/>
      <c r="G93" s="13"/>
      <c r="H93" s="46" t="s">
        <v>432</v>
      </c>
      <c r="I93" s="48">
        <v>19783.400000000001</v>
      </c>
      <c r="J93" s="49">
        <v>4.4999999999999997E-3</v>
      </c>
      <c r="K93" s="13"/>
      <c r="L93" s="13"/>
      <c r="M93" s="13"/>
      <c r="N93" s="13"/>
      <c r="O93" s="13"/>
      <c r="P93" s="13"/>
      <c r="Q93" s="13"/>
      <c r="R93" s="13"/>
      <c r="S93" s="13"/>
      <c r="T93" s="13"/>
      <c r="U93" s="13"/>
      <c r="V93" s="13"/>
      <c r="W93" s="13"/>
      <c r="X93" s="13"/>
      <c r="Y93" s="13"/>
    </row>
    <row r="94" spans="1:25">
      <c r="A94" s="13"/>
      <c r="B94" s="46" t="s">
        <v>433</v>
      </c>
      <c r="C94" s="46">
        <v>279.01</v>
      </c>
      <c r="D94" s="49">
        <v>2.3E-3</v>
      </c>
      <c r="E94" s="13"/>
      <c r="F94" s="13"/>
      <c r="G94" s="13"/>
      <c r="H94" s="46" t="s">
        <v>433</v>
      </c>
      <c r="I94" s="48">
        <v>19694</v>
      </c>
      <c r="J94" s="49">
        <v>-1.9E-3</v>
      </c>
      <c r="K94" s="13"/>
      <c r="L94" s="13"/>
      <c r="M94" s="13"/>
      <c r="N94" s="13"/>
      <c r="O94" s="13"/>
      <c r="P94" s="13"/>
      <c r="Q94" s="13"/>
      <c r="R94" s="13"/>
      <c r="S94" s="13"/>
      <c r="T94" s="13"/>
      <c r="U94" s="13"/>
      <c r="V94" s="13"/>
      <c r="W94" s="13"/>
      <c r="X94" s="13"/>
      <c r="Y94" s="13"/>
    </row>
    <row r="95" spans="1:25">
      <c r="A95" s="13"/>
      <c r="B95" s="46" t="s">
        <v>434</v>
      </c>
      <c r="C95" s="46">
        <v>278.38</v>
      </c>
      <c r="D95" s="49">
        <v>1.49E-2</v>
      </c>
      <c r="E95" s="13"/>
      <c r="F95" s="13"/>
      <c r="G95" s="13"/>
      <c r="H95" s="46" t="s">
        <v>434</v>
      </c>
      <c r="I95" s="48">
        <v>19731.8</v>
      </c>
      <c r="J95" s="49">
        <v>-1.6999999999999999E-3</v>
      </c>
      <c r="K95" s="13"/>
      <c r="L95" s="13"/>
      <c r="M95" s="13"/>
      <c r="N95" s="13"/>
      <c r="O95" s="13"/>
      <c r="P95" s="13"/>
      <c r="Q95" s="13"/>
      <c r="R95" s="13"/>
      <c r="S95" s="13"/>
      <c r="T95" s="13"/>
      <c r="U95" s="13"/>
      <c r="V95" s="13"/>
      <c r="W95" s="13"/>
      <c r="X95" s="13"/>
      <c r="Y95" s="13"/>
    </row>
    <row r="96" spans="1:25">
      <c r="A96" s="13"/>
      <c r="B96" s="46" t="s">
        <v>435</v>
      </c>
      <c r="C96" s="46">
        <v>274.3</v>
      </c>
      <c r="D96" s="49">
        <v>9.1999999999999998E-3</v>
      </c>
      <c r="E96" s="13"/>
      <c r="F96" s="13"/>
      <c r="G96" s="13"/>
      <c r="H96" s="46" t="s">
        <v>435</v>
      </c>
      <c r="I96" s="48">
        <v>19765.2</v>
      </c>
      <c r="J96" s="49">
        <v>4.5999999999999999E-3</v>
      </c>
      <c r="K96" s="13"/>
      <c r="L96" s="13"/>
      <c r="M96" s="13"/>
      <c r="N96" s="13"/>
      <c r="O96" s="13"/>
      <c r="P96" s="13"/>
      <c r="Q96" s="13"/>
      <c r="R96" s="13"/>
      <c r="S96" s="13"/>
      <c r="T96" s="13"/>
      <c r="U96" s="13"/>
      <c r="V96" s="13"/>
      <c r="W96" s="13"/>
      <c r="X96" s="13"/>
      <c r="Y96" s="13"/>
    </row>
    <row r="97" spans="1:25">
      <c r="A97" s="13"/>
      <c r="B97" s="46" t="s">
        <v>436</v>
      </c>
      <c r="C97" s="46">
        <v>271.8</v>
      </c>
      <c r="D97" s="49">
        <v>3.0099999999999998E-2</v>
      </c>
      <c r="E97" s="13"/>
      <c r="F97" s="13"/>
      <c r="G97" s="13"/>
      <c r="H97" s="46" t="s">
        <v>436</v>
      </c>
      <c r="I97" s="48">
        <v>19675.45</v>
      </c>
      <c r="J97" s="49">
        <v>1.1900000000000001E-2</v>
      </c>
      <c r="K97" s="13"/>
      <c r="L97" s="13"/>
      <c r="M97" s="13"/>
      <c r="N97" s="13"/>
      <c r="O97" s="13"/>
      <c r="P97" s="13"/>
      <c r="Q97" s="13"/>
      <c r="R97" s="13"/>
      <c r="S97" s="13"/>
      <c r="T97" s="13"/>
      <c r="U97" s="13"/>
      <c r="V97" s="13"/>
      <c r="W97" s="13"/>
      <c r="X97" s="13"/>
      <c r="Y97" s="13"/>
    </row>
    <row r="98" spans="1:25">
      <c r="A98" s="13"/>
      <c r="B98" s="46" t="s">
        <v>437</v>
      </c>
      <c r="C98" s="46">
        <v>263.85000000000002</v>
      </c>
      <c r="D98" s="49">
        <v>1E-3</v>
      </c>
      <c r="E98" s="13"/>
      <c r="F98" s="13"/>
      <c r="G98" s="13"/>
      <c r="H98" s="46" t="s">
        <v>437</v>
      </c>
      <c r="I98" s="48">
        <v>19443.55</v>
      </c>
      <c r="J98" s="49">
        <v>-4.1999999999999997E-3</v>
      </c>
      <c r="K98" s="13"/>
      <c r="L98" s="13"/>
      <c r="M98" s="13"/>
      <c r="N98" s="13"/>
      <c r="O98" s="13"/>
      <c r="P98" s="13"/>
      <c r="Q98" s="13"/>
      <c r="R98" s="13"/>
      <c r="S98" s="13"/>
      <c r="T98" s="13"/>
      <c r="U98" s="13"/>
      <c r="V98" s="13"/>
      <c r="W98" s="13"/>
      <c r="X98" s="13"/>
      <c r="Y98" s="13"/>
    </row>
    <row r="99" spans="1:25">
      <c r="A99" s="13"/>
      <c r="B99" s="47">
        <v>45271</v>
      </c>
      <c r="C99" s="46">
        <v>263.58999999999997</v>
      </c>
      <c r="D99" s="49">
        <v>1.37E-2</v>
      </c>
      <c r="E99" s="13"/>
      <c r="F99" s="13"/>
      <c r="G99" s="13"/>
      <c r="H99" s="47">
        <v>45271</v>
      </c>
      <c r="I99" s="48">
        <v>19525.55</v>
      </c>
      <c r="J99" s="49">
        <v>5.1999999999999998E-3</v>
      </c>
      <c r="K99" s="13"/>
      <c r="L99" s="13"/>
      <c r="M99" s="13"/>
      <c r="N99" s="13"/>
      <c r="O99" s="13"/>
      <c r="P99" s="13"/>
      <c r="Q99" s="13"/>
      <c r="R99" s="13"/>
      <c r="S99" s="13"/>
      <c r="T99" s="13"/>
      <c r="U99" s="13"/>
      <c r="V99" s="13"/>
      <c r="W99" s="13"/>
      <c r="X99" s="13"/>
      <c r="Y99" s="13"/>
    </row>
    <row r="100" spans="1:25">
      <c r="A100" s="13"/>
      <c r="B100" s="47">
        <v>45210</v>
      </c>
      <c r="C100" s="46">
        <v>260.02</v>
      </c>
      <c r="D100" s="49">
        <v>2.3999999999999998E-3</v>
      </c>
      <c r="E100" s="13"/>
      <c r="F100" s="13"/>
      <c r="G100" s="13"/>
      <c r="H100" s="47">
        <v>45210</v>
      </c>
      <c r="I100" s="48">
        <v>19425.349999999999</v>
      </c>
      <c r="J100" s="49">
        <v>1.5E-3</v>
      </c>
      <c r="K100" s="13"/>
      <c r="L100" s="13"/>
      <c r="M100" s="13"/>
      <c r="N100" s="13"/>
      <c r="O100" s="13"/>
      <c r="P100" s="13"/>
      <c r="Q100" s="13"/>
      <c r="R100" s="13"/>
      <c r="S100" s="13"/>
      <c r="T100" s="13"/>
      <c r="U100" s="13"/>
      <c r="V100" s="13"/>
      <c r="W100" s="13"/>
      <c r="X100" s="13"/>
      <c r="Y100" s="13"/>
    </row>
    <row r="101" spans="1:25">
      <c r="A101" s="13"/>
      <c r="B101" s="47">
        <v>45180</v>
      </c>
      <c r="C101" s="46">
        <v>259.41000000000003</v>
      </c>
      <c r="D101" s="49">
        <v>-2E-3</v>
      </c>
      <c r="E101" s="13"/>
      <c r="F101" s="13"/>
      <c r="G101" s="13"/>
      <c r="H101" s="47">
        <v>45180</v>
      </c>
      <c r="I101" s="48">
        <v>19395.3</v>
      </c>
      <c r="J101" s="49">
        <v>-2.5000000000000001E-3</v>
      </c>
      <c r="K101" s="13"/>
      <c r="L101" s="13"/>
      <c r="M101" s="13"/>
      <c r="N101" s="13"/>
      <c r="O101" s="13"/>
      <c r="P101" s="13"/>
      <c r="Q101" s="13"/>
      <c r="R101" s="13"/>
      <c r="S101" s="13"/>
      <c r="T101" s="13"/>
      <c r="U101" s="13"/>
      <c r="V101" s="13"/>
      <c r="W101" s="13"/>
      <c r="X101" s="13"/>
      <c r="Y101" s="13"/>
    </row>
    <row r="102" spans="1:25">
      <c r="A102" s="13"/>
      <c r="B102" s="47">
        <v>45149</v>
      </c>
      <c r="C102" s="46">
        <v>259.92</v>
      </c>
      <c r="D102" s="49">
        <v>-5.9999999999999995E-4</v>
      </c>
      <c r="E102" s="13"/>
      <c r="F102" s="13"/>
      <c r="G102" s="13"/>
      <c r="H102" s="47">
        <v>45149</v>
      </c>
      <c r="I102" s="48">
        <v>19443.5</v>
      </c>
      <c r="J102" s="49">
        <v>1.9E-3</v>
      </c>
      <c r="K102" s="13"/>
      <c r="L102" s="13"/>
      <c r="M102" s="13"/>
      <c r="N102" s="13"/>
      <c r="O102" s="13"/>
      <c r="P102" s="13"/>
      <c r="Q102" s="13"/>
      <c r="R102" s="13"/>
      <c r="S102" s="13"/>
      <c r="T102" s="13"/>
      <c r="U102" s="13"/>
      <c r="V102" s="13"/>
      <c r="W102" s="13"/>
      <c r="X102" s="13"/>
      <c r="Y102" s="13"/>
    </row>
    <row r="103" spans="1:25">
      <c r="A103" s="13"/>
      <c r="B103" s="47">
        <v>45118</v>
      </c>
      <c r="C103" s="46">
        <v>260.08</v>
      </c>
      <c r="D103" s="49">
        <v>-1.1299999999999999E-2</v>
      </c>
      <c r="E103" s="13"/>
      <c r="F103" s="13"/>
      <c r="G103" s="13"/>
      <c r="H103" s="47">
        <v>45118</v>
      </c>
      <c r="I103" s="48">
        <v>19406.7</v>
      </c>
      <c r="J103" s="49">
        <v>-2.9999999999999997E-4</v>
      </c>
      <c r="K103" s="13"/>
      <c r="L103" s="13"/>
      <c r="M103" s="13"/>
      <c r="N103" s="13"/>
      <c r="O103" s="13"/>
      <c r="P103" s="13"/>
      <c r="Q103" s="13"/>
      <c r="R103" s="13"/>
      <c r="S103" s="13"/>
      <c r="T103" s="13"/>
      <c r="U103" s="13"/>
      <c r="V103" s="13"/>
      <c r="W103" s="13"/>
      <c r="X103" s="13"/>
      <c r="Y103" s="13"/>
    </row>
    <row r="104" spans="1:25">
      <c r="A104" s="13"/>
      <c r="B104" s="47">
        <v>45088</v>
      </c>
      <c r="C104" s="46">
        <v>263.06</v>
      </c>
      <c r="D104" s="49">
        <v>6.7000000000000002E-3</v>
      </c>
      <c r="E104" s="13"/>
      <c r="F104" s="13"/>
      <c r="G104" s="13"/>
      <c r="H104" s="47">
        <v>45088</v>
      </c>
      <c r="I104" s="48">
        <v>19411.75</v>
      </c>
      <c r="J104" s="49">
        <v>9.4000000000000004E-3</v>
      </c>
      <c r="K104" s="13"/>
      <c r="L104" s="13"/>
      <c r="M104" s="13"/>
      <c r="N104" s="13"/>
      <c r="O104" s="13"/>
      <c r="P104" s="13"/>
      <c r="Q104" s="13"/>
      <c r="R104" s="13"/>
      <c r="S104" s="13"/>
      <c r="T104" s="13"/>
      <c r="U104" s="13"/>
      <c r="V104" s="13"/>
      <c r="W104" s="13"/>
      <c r="X104" s="13"/>
      <c r="Y104" s="13"/>
    </row>
    <row r="105" spans="1:25">
      <c r="A105" s="13"/>
      <c r="B105" s="47">
        <v>44996</v>
      </c>
      <c r="C105" s="46">
        <v>261.3</v>
      </c>
      <c r="D105" s="49">
        <v>-8.6E-3</v>
      </c>
      <c r="E105" s="13"/>
      <c r="F105" s="13"/>
      <c r="G105" s="13"/>
      <c r="H105" s="47">
        <v>44996</v>
      </c>
      <c r="I105" s="48">
        <v>19230.599999999999</v>
      </c>
      <c r="J105" s="49">
        <v>5.1000000000000004E-3</v>
      </c>
      <c r="K105" s="13"/>
      <c r="L105" s="13"/>
      <c r="M105" s="13"/>
      <c r="N105" s="13"/>
      <c r="O105" s="13"/>
      <c r="P105" s="13"/>
      <c r="Q105" s="13"/>
      <c r="R105" s="13"/>
      <c r="S105" s="13"/>
      <c r="T105" s="13"/>
      <c r="U105" s="13"/>
      <c r="V105" s="13"/>
      <c r="W105" s="13"/>
      <c r="X105" s="13"/>
      <c r="Y105" s="13"/>
    </row>
    <row r="106" spans="1:25">
      <c r="A106" s="13"/>
      <c r="B106" s="47">
        <v>44968</v>
      </c>
      <c r="C106" s="46">
        <v>263.57</v>
      </c>
      <c r="D106" s="49">
        <v>-8.3000000000000001E-3</v>
      </c>
      <c r="E106" s="13"/>
      <c r="F106" s="13"/>
      <c r="G106" s="13"/>
      <c r="H106" s="47">
        <v>44968</v>
      </c>
      <c r="I106" s="48">
        <v>19133.25</v>
      </c>
      <c r="J106" s="49">
        <v>7.6E-3</v>
      </c>
      <c r="K106" s="13"/>
      <c r="L106" s="13"/>
      <c r="M106" s="13"/>
      <c r="N106" s="13"/>
      <c r="O106" s="13"/>
      <c r="P106" s="13"/>
      <c r="Q106" s="13"/>
      <c r="R106" s="13"/>
      <c r="S106" s="13"/>
      <c r="T106" s="13"/>
      <c r="U106" s="13"/>
      <c r="V106" s="13"/>
      <c r="W106" s="13"/>
      <c r="X106" s="13"/>
      <c r="Y106" s="13"/>
    </row>
    <row r="107" spans="1:25">
      <c r="A107" s="13"/>
      <c r="B107" s="47">
        <v>44937</v>
      </c>
      <c r="C107" s="46">
        <v>265.77</v>
      </c>
      <c r="D107" s="49">
        <v>2.4899999999999999E-2</v>
      </c>
      <c r="E107" s="13"/>
      <c r="F107" s="13"/>
      <c r="G107" s="13"/>
      <c r="H107" s="47">
        <v>44937</v>
      </c>
      <c r="I107" s="48">
        <v>18989.150000000001</v>
      </c>
      <c r="J107" s="49">
        <v>-4.7000000000000002E-3</v>
      </c>
      <c r="K107" s="13"/>
      <c r="L107" s="13"/>
      <c r="M107" s="13"/>
      <c r="N107" s="13"/>
      <c r="O107" s="13"/>
      <c r="P107" s="13"/>
      <c r="Q107" s="13"/>
      <c r="R107" s="13"/>
      <c r="S107" s="13"/>
      <c r="T107" s="13"/>
      <c r="U107" s="13"/>
      <c r="V107" s="13"/>
      <c r="W107" s="13"/>
      <c r="X107" s="13"/>
      <c r="Y107" s="13"/>
    </row>
    <row r="108" spans="1:25">
      <c r="A108" s="13"/>
      <c r="B108" s="46" t="s">
        <v>438</v>
      </c>
      <c r="C108" s="46">
        <v>259.31</v>
      </c>
      <c r="D108" s="49">
        <v>1.0200000000000001E-2</v>
      </c>
      <c r="E108" s="13"/>
      <c r="F108" s="13"/>
      <c r="G108" s="13"/>
      <c r="H108" s="46" t="s">
        <v>438</v>
      </c>
      <c r="I108" s="48">
        <v>19079.599999999999</v>
      </c>
      <c r="J108" s="49">
        <v>-3.2000000000000002E-3</v>
      </c>
      <c r="K108" s="13"/>
      <c r="L108" s="13"/>
      <c r="M108" s="13"/>
      <c r="N108" s="13"/>
      <c r="O108" s="13"/>
      <c r="P108" s="13"/>
      <c r="Q108" s="13"/>
      <c r="R108" s="13"/>
      <c r="S108" s="13"/>
      <c r="T108" s="13"/>
      <c r="U108" s="13"/>
      <c r="V108" s="13"/>
      <c r="W108" s="13"/>
      <c r="X108" s="13"/>
      <c r="Y108" s="13"/>
    </row>
    <row r="109" spans="1:25">
      <c r="A109" s="13"/>
      <c r="B109" s="46" t="s">
        <v>439</v>
      </c>
      <c r="C109" s="46">
        <v>256.7</v>
      </c>
      <c r="D109" s="49">
        <v>-6.4999999999999997E-3</v>
      </c>
      <c r="E109" s="13"/>
      <c r="F109" s="13"/>
      <c r="G109" s="13"/>
      <c r="H109" s="46" t="s">
        <v>439</v>
      </c>
      <c r="I109" s="48">
        <v>19140.900000000001</v>
      </c>
      <c r="J109" s="49">
        <v>4.8999999999999998E-3</v>
      </c>
      <c r="K109" s="13"/>
      <c r="L109" s="13"/>
      <c r="M109" s="13"/>
      <c r="N109" s="13"/>
      <c r="O109" s="13"/>
      <c r="P109" s="13"/>
      <c r="Q109" s="13"/>
      <c r="R109" s="13"/>
      <c r="S109" s="13"/>
      <c r="T109" s="13"/>
      <c r="U109" s="13"/>
      <c r="V109" s="13"/>
      <c r="W109" s="13"/>
      <c r="X109" s="13"/>
      <c r="Y109" s="13"/>
    </row>
    <row r="110" spans="1:25">
      <c r="A110" s="13"/>
      <c r="B110" s="46" t="s">
        <v>440</v>
      </c>
      <c r="C110" s="46">
        <v>258.38</v>
      </c>
      <c r="D110" s="49">
        <v>-4.3700000000000003E-2</v>
      </c>
      <c r="E110" s="13"/>
      <c r="F110" s="13"/>
      <c r="G110" s="13"/>
      <c r="H110" s="46" t="s">
        <v>440</v>
      </c>
      <c r="I110" s="48">
        <v>19047.25</v>
      </c>
      <c r="J110" s="49">
        <v>1.01E-2</v>
      </c>
      <c r="K110" s="13"/>
      <c r="L110" s="13"/>
      <c r="M110" s="13"/>
      <c r="N110" s="13"/>
      <c r="O110" s="13"/>
      <c r="P110" s="13"/>
      <c r="Q110" s="13"/>
      <c r="R110" s="13"/>
      <c r="S110" s="13"/>
      <c r="T110" s="13"/>
      <c r="U110" s="13"/>
      <c r="V110" s="13"/>
      <c r="W110" s="13"/>
      <c r="X110" s="13"/>
      <c r="Y110" s="13"/>
    </row>
    <row r="111" spans="1:25">
      <c r="A111" s="13"/>
      <c r="B111" s="46" t="s">
        <v>441</v>
      </c>
      <c r="C111" s="46">
        <v>270.19</v>
      </c>
      <c r="D111" s="49">
        <v>-1E-4</v>
      </c>
      <c r="E111" s="13"/>
      <c r="F111" s="13"/>
      <c r="G111" s="13"/>
      <c r="H111" s="46" t="s">
        <v>441</v>
      </c>
      <c r="I111" s="48">
        <v>18857.25</v>
      </c>
      <c r="J111" s="49">
        <v>-1.3899999999999999E-2</v>
      </c>
      <c r="K111" s="13"/>
      <c r="L111" s="13"/>
      <c r="M111" s="13"/>
      <c r="N111" s="13"/>
      <c r="O111" s="13"/>
      <c r="P111" s="13"/>
      <c r="Q111" s="13"/>
      <c r="R111" s="13"/>
      <c r="S111" s="13"/>
      <c r="T111" s="13"/>
      <c r="U111" s="13"/>
      <c r="V111" s="13"/>
      <c r="W111" s="13"/>
      <c r="X111" s="13"/>
      <c r="Y111" s="13"/>
    </row>
    <row r="112" spans="1:25">
      <c r="A112" s="13"/>
      <c r="B112" s="46" t="s">
        <v>442</v>
      </c>
      <c r="C112" s="46">
        <v>270.20999999999998</v>
      </c>
      <c r="D112" s="49">
        <v>1.2699999999999999E-2</v>
      </c>
      <c r="E112" s="13"/>
      <c r="F112" s="13"/>
      <c r="G112" s="13"/>
      <c r="H112" s="46" t="s">
        <v>442</v>
      </c>
      <c r="I112" s="48">
        <v>19122.150000000001</v>
      </c>
      <c r="J112" s="49">
        <v>-8.3000000000000001E-3</v>
      </c>
      <c r="K112" s="13"/>
      <c r="L112" s="13"/>
      <c r="M112" s="13"/>
      <c r="N112" s="13"/>
      <c r="O112" s="13"/>
      <c r="P112" s="13"/>
      <c r="Q112" s="13"/>
      <c r="R112" s="13"/>
      <c r="S112" s="13"/>
      <c r="T112" s="13"/>
      <c r="U112" s="13"/>
      <c r="V112" s="13"/>
      <c r="W112" s="13"/>
      <c r="X112" s="13"/>
      <c r="Y112" s="13"/>
    </row>
    <row r="113" spans="1:25">
      <c r="A113" s="13"/>
      <c r="B113" s="46" t="s">
        <v>443</v>
      </c>
      <c r="C113" s="46">
        <v>266.82</v>
      </c>
      <c r="D113" s="49">
        <v>-5.3100000000000001E-2</v>
      </c>
      <c r="E113" s="13"/>
      <c r="F113" s="13"/>
      <c r="G113" s="13"/>
      <c r="H113" s="46" t="s">
        <v>443</v>
      </c>
      <c r="I113" s="48">
        <v>19281.75</v>
      </c>
      <c r="J113" s="49">
        <v>-1.34E-2</v>
      </c>
      <c r="K113" s="13"/>
      <c r="L113" s="13"/>
      <c r="M113" s="13"/>
      <c r="N113" s="13"/>
      <c r="O113" s="13"/>
      <c r="P113" s="13"/>
      <c r="Q113" s="13"/>
      <c r="R113" s="13"/>
      <c r="S113" s="13"/>
      <c r="T113" s="13"/>
      <c r="U113" s="13"/>
      <c r="V113" s="13"/>
      <c r="W113" s="13"/>
      <c r="X113" s="13"/>
      <c r="Y113" s="13"/>
    </row>
    <row r="114" spans="1:25">
      <c r="A114" s="13"/>
      <c r="B114" s="46" t="s">
        <v>444</v>
      </c>
      <c r="C114" s="46">
        <v>281.77</v>
      </c>
      <c r="D114" s="49">
        <v>-1.2999999999999999E-3</v>
      </c>
      <c r="E114" s="13"/>
      <c r="F114" s="13"/>
      <c r="G114" s="13"/>
      <c r="H114" s="46" t="s">
        <v>444</v>
      </c>
      <c r="I114" s="48">
        <v>19542.650000000001</v>
      </c>
      <c r="J114" s="49">
        <v>-4.1999999999999997E-3</v>
      </c>
      <c r="K114" s="13"/>
      <c r="L114" s="13"/>
      <c r="M114" s="13"/>
      <c r="N114" s="13"/>
      <c r="O114" s="13"/>
      <c r="P114" s="13"/>
      <c r="Q114" s="13"/>
      <c r="R114" s="13"/>
      <c r="S114" s="13"/>
      <c r="T114" s="13"/>
      <c r="U114" s="13"/>
      <c r="V114" s="13"/>
      <c r="W114" s="13"/>
      <c r="X114" s="13"/>
      <c r="Y114" s="13"/>
    </row>
    <row r="115" spans="1:25">
      <c r="A115" s="13"/>
      <c r="B115" s="46" t="s">
        <v>445</v>
      </c>
      <c r="C115" s="46">
        <v>282.14999999999998</v>
      </c>
      <c r="D115" s="49">
        <v>-3.0000000000000001E-3</v>
      </c>
      <c r="E115" s="13"/>
      <c r="F115" s="13"/>
      <c r="G115" s="13"/>
      <c r="H115" s="46" t="s">
        <v>445</v>
      </c>
      <c r="I115" s="48">
        <v>19624.7</v>
      </c>
      <c r="J115" s="49">
        <v>-2.3999999999999998E-3</v>
      </c>
      <c r="K115" s="13"/>
      <c r="L115" s="13"/>
      <c r="M115" s="13"/>
      <c r="N115" s="13"/>
      <c r="O115" s="13"/>
      <c r="P115" s="13"/>
      <c r="Q115" s="13"/>
      <c r="R115" s="13"/>
      <c r="S115" s="13"/>
      <c r="T115" s="13"/>
      <c r="U115" s="13"/>
      <c r="V115" s="13"/>
      <c r="W115" s="13"/>
      <c r="X115" s="13"/>
      <c r="Y115" s="13"/>
    </row>
    <row r="116" spans="1:25">
      <c r="A116" s="13"/>
      <c r="B116" s="46" t="s">
        <v>446</v>
      </c>
      <c r="C116" s="46">
        <v>282.99</v>
      </c>
      <c r="D116" s="49">
        <v>-7.7999999999999996E-3</v>
      </c>
      <c r="E116" s="13"/>
      <c r="F116" s="13"/>
      <c r="G116" s="13"/>
      <c r="H116" s="46" t="s">
        <v>446</v>
      </c>
      <c r="I116" s="48">
        <v>19671.099999999999</v>
      </c>
      <c r="J116" s="49">
        <v>-7.1000000000000004E-3</v>
      </c>
      <c r="K116" s="13"/>
      <c r="L116" s="13"/>
      <c r="M116" s="13"/>
      <c r="N116" s="13"/>
      <c r="O116" s="13"/>
      <c r="P116" s="13"/>
      <c r="Q116" s="13"/>
      <c r="R116" s="13"/>
      <c r="S116" s="13"/>
      <c r="T116" s="13"/>
      <c r="U116" s="13"/>
      <c r="V116" s="13"/>
      <c r="W116" s="13"/>
      <c r="X116" s="13"/>
      <c r="Y116" s="13"/>
    </row>
    <row r="117" spans="1:25">
      <c r="A117" s="13"/>
      <c r="B117" s="46" t="s">
        <v>447</v>
      </c>
      <c r="C117" s="46">
        <v>285.22000000000003</v>
      </c>
      <c r="D117" s="49">
        <v>-4.3E-3</v>
      </c>
      <c r="E117" s="13"/>
      <c r="F117" s="13"/>
      <c r="G117" s="13"/>
      <c r="H117" s="46" t="s">
        <v>447</v>
      </c>
      <c r="I117" s="48">
        <v>19811.5</v>
      </c>
      <c r="J117" s="49">
        <v>4.0000000000000001E-3</v>
      </c>
      <c r="K117" s="13"/>
      <c r="L117" s="13"/>
      <c r="M117" s="13"/>
      <c r="N117" s="13"/>
      <c r="O117" s="13"/>
      <c r="P117" s="13"/>
      <c r="Q117" s="13"/>
      <c r="R117" s="13"/>
      <c r="S117" s="13"/>
      <c r="T117" s="13"/>
      <c r="U117" s="13"/>
      <c r="V117" s="13"/>
      <c r="W117" s="13"/>
      <c r="X117" s="13"/>
      <c r="Y117" s="13"/>
    </row>
    <row r="118" spans="1:25">
      <c r="A118" s="13"/>
      <c r="B118" s="46" t="s">
        <v>448</v>
      </c>
      <c r="C118" s="46">
        <v>286.45</v>
      </c>
      <c r="D118" s="49">
        <v>5.0000000000000001E-4</v>
      </c>
      <c r="E118" s="13"/>
      <c r="F118" s="13"/>
      <c r="G118" s="13"/>
      <c r="H118" s="46" t="s">
        <v>448</v>
      </c>
      <c r="I118" s="48">
        <v>19731.75</v>
      </c>
      <c r="J118" s="49">
        <v>-1E-3</v>
      </c>
      <c r="K118" s="13"/>
      <c r="L118" s="13"/>
      <c r="M118" s="13"/>
      <c r="N118" s="13"/>
      <c r="O118" s="13"/>
      <c r="P118" s="13"/>
      <c r="Q118" s="13"/>
      <c r="R118" s="13"/>
      <c r="S118" s="13"/>
      <c r="T118" s="13"/>
      <c r="U118" s="13"/>
      <c r="V118" s="13"/>
      <c r="W118" s="13"/>
      <c r="X118" s="13"/>
      <c r="Y118" s="13"/>
    </row>
    <row r="119" spans="1:25">
      <c r="A119" s="13"/>
      <c r="B119" s="46" t="s">
        <v>449</v>
      </c>
      <c r="C119" s="46">
        <v>286.3</v>
      </c>
      <c r="D119" s="49">
        <v>-6.4000000000000003E-3</v>
      </c>
      <c r="E119" s="13"/>
      <c r="F119" s="13"/>
      <c r="G119" s="13"/>
      <c r="H119" s="46" t="s">
        <v>449</v>
      </c>
      <c r="I119" s="48">
        <v>19751.05</v>
      </c>
      <c r="J119" s="49">
        <v>-2.2000000000000001E-3</v>
      </c>
      <c r="K119" s="13"/>
      <c r="L119" s="13"/>
      <c r="M119" s="13"/>
      <c r="N119" s="13"/>
      <c r="O119" s="13"/>
      <c r="P119" s="13"/>
      <c r="Q119" s="13"/>
      <c r="R119" s="13"/>
      <c r="S119" s="13"/>
      <c r="T119" s="13"/>
      <c r="U119" s="13"/>
      <c r="V119" s="13"/>
      <c r="W119" s="13"/>
      <c r="X119" s="13"/>
      <c r="Y119" s="13"/>
    </row>
    <row r="120" spans="1:25">
      <c r="A120" s="13"/>
      <c r="B120" s="47">
        <v>45270</v>
      </c>
      <c r="C120" s="46">
        <v>288.14</v>
      </c>
      <c r="D120" s="49">
        <v>3.2000000000000002E-3</v>
      </c>
      <c r="E120" s="13"/>
      <c r="F120" s="13"/>
      <c r="G120" s="13"/>
      <c r="H120" s="47">
        <v>45270</v>
      </c>
      <c r="I120" s="48">
        <v>19794</v>
      </c>
      <c r="J120" s="49">
        <v>-8.9999999999999998E-4</v>
      </c>
      <c r="K120" s="13"/>
      <c r="L120" s="13"/>
      <c r="M120" s="13"/>
      <c r="N120" s="13"/>
      <c r="O120" s="13"/>
      <c r="P120" s="13"/>
      <c r="Q120" s="13"/>
      <c r="R120" s="13"/>
      <c r="S120" s="13"/>
      <c r="T120" s="13"/>
      <c r="U120" s="13"/>
      <c r="V120" s="13"/>
      <c r="W120" s="13"/>
      <c r="X120" s="13"/>
      <c r="Y120" s="13"/>
    </row>
    <row r="121" spans="1:25">
      <c r="A121" s="13"/>
      <c r="B121" s="47">
        <v>45240</v>
      </c>
      <c r="C121" s="46">
        <v>287.20999999999998</v>
      </c>
      <c r="D121" s="49">
        <v>2.1499999999999998E-2</v>
      </c>
      <c r="E121" s="13"/>
      <c r="F121" s="13"/>
      <c r="G121" s="13"/>
      <c r="H121" s="47">
        <v>45240</v>
      </c>
      <c r="I121" s="48">
        <v>19811.349999999999</v>
      </c>
      <c r="J121" s="49">
        <v>6.1999999999999998E-3</v>
      </c>
      <c r="K121" s="13"/>
      <c r="L121" s="13"/>
      <c r="M121" s="13"/>
      <c r="N121" s="13"/>
      <c r="O121" s="13"/>
      <c r="P121" s="13"/>
      <c r="Q121" s="13"/>
      <c r="R121" s="13"/>
      <c r="S121" s="13"/>
      <c r="T121" s="13"/>
      <c r="U121" s="13"/>
      <c r="V121" s="13"/>
      <c r="W121" s="13"/>
      <c r="X121" s="13"/>
      <c r="Y121" s="13"/>
    </row>
    <row r="122" spans="1:25">
      <c r="A122" s="13"/>
      <c r="B122" s="47">
        <v>45209</v>
      </c>
      <c r="C122" s="46">
        <v>281.16000000000003</v>
      </c>
      <c r="D122" s="49">
        <v>-6.4999999999999997E-3</v>
      </c>
      <c r="E122" s="13"/>
      <c r="F122" s="13"/>
      <c r="G122" s="13"/>
      <c r="H122" s="47">
        <v>45209</v>
      </c>
      <c r="I122" s="48">
        <v>19689.849999999999</v>
      </c>
      <c r="J122" s="49">
        <v>9.1000000000000004E-3</v>
      </c>
      <c r="K122" s="13"/>
      <c r="L122" s="13"/>
      <c r="M122" s="13"/>
      <c r="N122" s="13"/>
      <c r="O122" s="13"/>
      <c r="P122" s="13"/>
      <c r="Q122" s="13"/>
      <c r="R122" s="13"/>
      <c r="S122" s="13"/>
      <c r="T122" s="13"/>
      <c r="U122" s="13"/>
      <c r="V122" s="13"/>
      <c r="W122" s="13"/>
      <c r="X122" s="13"/>
      <c r="Y122" s="13"/>
    </row>
    <row r="123" spans="1:25">
      <c r="A123" s="13"/>
      <c r="B123" s="47">
        <v>45179</v>
      </c>
      <c r="C123" s="46">
        <v>283.01</v>
      </c>
      <c r="D123" s="49">
        <v>-0.01</v>
      </c>
      <c r="E123" s="13"/>
      <c r="F123" s="13"/>
      <c r="G123" s="13"/>
      <c r="H123" s="47">
        <v>45179</v>
      </c>
      <c r="I123" s="48">
        <v>19512.349999999999</v>
      </c>
      <c r="J123" s="49">
        <v>-7.1999999999999998E-3</v>
      </c>
      <c r="K123" s="13"/>
      <c r="L123" s="13"/>
      <c r="M123" s="13"/>
      <c r="N123" s="13"/>
      <c r="O123" s="13"/>
      <c r="P123" s="13"/>
      <c r="Q123" s="13"/>
      <c r="R123" s="13"/>
      <c r="S123" s="13"/>
      <c r="T123" s="13"/>
      <c r="U123" s="13"/>
      <c r="V123" s="13"/>
      <c r="W123" s="13"/>
      <c r="X123" s="13"/>
      <c r="Y123" s="13"/>
    </row>
    <row r="124" spans="1:25">
      <c r="A124" s="13"/>
      <c r="B124" s="47">
        <v>45087</v>
      </c>
      <c r="C124" s="46">
        <v>285.87</v>
      </c>
      <c r="D124" s="49">
        <v>2.8999999999999998E-3</v>
      </c>
      <c r="E124" s="13"/>
      <c r="F124" s="13"/>
      <c r="G124" s="13"/>
      <c r="H124" s="47">
        <v>45087</v>
      </c>
      <c r="I124" s="48">
        <v>19653.5</v>
      </c>
      <c r="J124" s="49">
        <v>5.4999999999999997E-3</v>
      </c>
      <c r="K124" s="13"/>
      <c r="L124" s="13"/>
      <c r="M124" s="13"/>
      <c r="N124" s="13"/>
      <c r="O124" s="13"/>
      <c r="P124" s="13"/>
      <c r="Q124" s="13"/>
      <c r="R124" s="13"/>
      <c r="S124" s="13"/>
      <c r="T124" s="13"/>
      <c r="U124" s="13"/>
      <c r="V124" s="13"/>
      <c r="W124" s="13"/>
      <c r="X124" s="13"/>
      <c r="Y124" s="13"/>
    </row>
    <row r="125" spans="1:25">
      <c r="A125" s="13"/>
      <c r="B125" s="47">
        <v>45056</v>
      </c>
      <c r="C125" s="46">
        <v>285.04000000000002</v>
      </c>
      <c r="D125" s="49">
        <v>1.09E-2</v>
      </c>
      <c r="E125" s="13"/>
      <c r="F125" s="13"/>
      <c r="G125" s="13"/>
      <c r="H125" s="47">
        <v>45056</v>
      </c>
      <c r="I125" s="48">
        <v>19545.75</v>
      </c>
      <c r="J125" s="49">
        <v>5.5999999999999999E-3</v>
      </c>
      <c r="K125" s="13"/>
      <c r="L125" s="13"/>
      <c r="M125" s="13"/>
      <c r="N125" s="13"/>
      <c r="O125" s="13"/>
      <c r="P125" s="13"/>
      <c r="Q125" s="13"/>
      <c r="R125" s="13"/>
      <c r="S125" s="13"/>
      <c r="T125" s="13"/>
      <c r="U125" s="13"/>
      <c r="V125" s="13"/>
      <c r="W125" s="13"/>
      <c r="X125" s="13"/>
      <c r="Y125" s="13"/>
    </row>
    <row r="126" spans="1:25">
      <c r="A126" s="13"/>
      <c r="B126" s="47">
        <v>45026</v>
      </c>
      <c r="C126" s="46">
        <v>281.97000000000003</v>
      </c>
      <c r="D126" s="49">
        <v>-9.1000000000000004E-3</v>
      </c>
      <c r="E126" s="13"/>
      <c r="F126" s="13"/>
      <c r="G126" s="13"/>
      <c r="H126" s="47">
        <v>45026</v>
      </c>
      <c r="I126" s="48">
        <v>19436.099999999999</v>
      </c>
      <c r="J126" s="49">
        <v>-4.7000000000000002E-3</v>
      </c>
      <c r="K126" s="13"/>
      <c r="L126" s="13"/>
      <c r="M126" s="13"/>
      <c r="N126" s="13"/>
      <c r="O126" s="13"/>
      <c r="P126" s="13"/>
      <c r="Q126" s="13"/>
      <c r="R126" s="13"/>
      <c r="S126" s="13"/>
      <c r="T126" s="13"/>
      <c r="U126" s="13"/>
      <c r="V126" s="13"/>
      <c r="W126" s="13"/>
      <c r="X126" s="13"/>
      <c r="Y126" s="13"/>
    </row>
    <row r="127" spans="1:25">
      <c r="A127" s="13"/>
      <c r="B127" s="47">
        <v>44995</v>
      </c>
      <c r="C127" s="46">
        <v>284.55</v>
      </c>
      <c r="D127" s="49">
        <v>-2.0899999999999998E-2</v>
      </c>
      <c r="E127" s="13"/>
      <c r="F127" s="13"/>
      <c r="G127" s="13"/>
      <c r="H127" s="47">
        <v>44995</v>
      </c>
      <c r="I127" s="48">
        <v>19528.75</v>
      </c>
      <c r="J127" s="49">
        <v>-5.5999999999999999E-3</v>
      </c>
      <c r="K127" s="13"/>
      <c r="L127" s="13"/>
      <c r="M127" s="13"/>
      <c r="N127" s="13"/>
      <c r="O127" s="13"/>
      <c r="P127" s="13"/>
      <c r="Q127" s="13"/>
      <c r="R127" s="13"/>
      <c r="S127" s="13"/>
      <c r="T127" s="13"/>
      <c r="U127" s="13"/>
      <c r="V127" s="13"/>
      <c r="W127" s="13"/>
      <c r="X127" s="13"/>
      <c r="Y127" s="13"/>
    </row>
    <row r="128" spans="1:25">
      <c r="A128" s="13"/>
      <c r="B128" s="46" t="s">
        <v>450</v>
      </c>
      <c r="C128" s="46">
        <v>290.62</v>
      </c>
      <c r="D128" s="49">
        <v>2.6200000000000001E-2</v>
      </c>
      <c r="E128" s="13"/>
      <c r="F128" s="13"/>
      <c r="G128" s="13"/>
      <c r="H128" s="46" t="s">
        <v>450</v>
      </c>
      <c r="I128" s="48">
        <v>19638.3</v>
      </c>
      <c r="J128" s="49">
        <v>5.8999999999999999E-3</v>
      </c>
      <c r="K128" s="13"/>
      <c r="L128" s="13"/>
      <c r="M128" s="13"/>
      <c r="N128" s="13"/>
      <c r="O128" s="13"/>
      <c r="P128" s="13"/>
      <c r="Q128" s="13"/>
      <c r="R128" s="13"/>
      <c r="S128" s="13"/>
      <c r="T128" s="13"/>
      <c r="U128" s="13"/>
      <c r="V128" s="13"/>
      <c r="W128" s="13"/>
      <c r="X128" s="13"/>
      <c r="Y128" s="13"/>
    </row>
    <row r="129" spans="1:25">
      <c r="A129" s="13"/>
      <c r="B129" s="46" t="s">
        <v>451</v>
      </c>
      <c r="C129" s="46">
        <v>283.2</v>
      </c>
      <c r="D129" s="49">
        <v>-7.6E-3</v>
      </c>
      <c r="E129" s="13"/>
      <c r="F129" s="13"/>
      <c r="G129" s="13"/>
      <c r="H129" s="46" t="s">
        <v>451</v>
      </c>
      <c r="I129" s="48">
        <v>19523.55</v>
      </c>
      <c r="J129" s="49">
        <v>-9.7999999999999997E-3</v>
      </c>
      <c r="K129" s="13"/>
      <c r="L129" s="13"/>
      <c r="M129" s="13"/>
      <c r="N129" s="13"/>
      <c r="O129" s="13"/>
      <c r="P129" s="13"/>
      <c r="Q129" s="13"/>
      <c r="R129" s="13"/>
      <c r="S129" s="13"/>
      <c r="T129" s="13"/>
      <c r="U129" s="13"/>
      <c r="V129" s="13"/>
      <c r="W129" s="13"/>
      <c r="X129" s="13"/>
      <c r="Y129" s="13"/>
    </row>
    <row r="130" spans="1:25">
      <c r="A130" s="13"/>
      <c r="B130" s="46" t="s">
        <v>452</v>
      </c>
      <c r="C130" s="46">
        <v>285.36</v>
      </c>
      <c r="D130" s="49">
        <v>-1.03E-2</v>
      </c>
      <c r="E130" s="13"/>
      <c r="F130" s="13"/>
      <c r="G130" s="13"/>
      <c r="H130" s="46" t="s">
        <v>452</v>
      </c>
      <c r="I130" s="48">
        <v>19716.45</v>
      </c>
      <c r="J130" s="49">
        <v>2.5999999999999999E-3</v>
      </c>
      <c r="K130" s="13"/>
      <c r="L130" s="13"/>
      <c r="M130" s="13"/>
      <c r="N130" s="13"/>
      <c r="O130" s="13"/>
      <c r="P130" s="13"/>
      <c r="Q130" s="13"/>
      <c r="R130" s="13"/>
      <c r="S130" s="13"/>
      <c r="T130" s="13"/>
      <c r="U130" s="13"/>
      <c r="V130" s="13"/>
      <c r="W130" s="13"/>
      <c r="X130" s="13"/>
      <c r="Y130" s="13"/>
    </row>
    <row r="131" spans="1:25">
      <c r="A131" s="13"/>
      <c r="B131" s="46" t="s">
        <v>453</v>
      </c>
      <c r="C131" s="46">
        <v>288.32</v>
      </c>
      <c r="D131" s="49">
        <v>-1.54E-2</v>
      </c>
      <c r="E131" s="13"/>
      <c r="F131" s="13"/>
      <c r="G131" s="13"/>
      <c r="H131" s="46" t="s">
        <v>453</v>
      </c>
      <c r="I131" s="48">
        <v>19664.7</v>
      </c>
      <c r="J131" s="49">
        <v>-5.0000000000000001E-4</v>
      </c>
      <c r="K131" s="13"/>
      <c r="L131" s="13"/>
      <c r="M131" s="13"/>
      <c r="N131" s="13"/>
      <c r="O131" s="13"/>
      <c r="P131" s="13"/>
      <c r="Q131" s="13"/>
      <c r="R131" s="13"/>
      <c r="S131" s="13"/>
      <c r="T131" s="13"/>
      <c r="U131" s="13"/>
      <c r="V131" s="13"/>
      <c r="W131" s="13"/>
      <c r="X131" s="13"/>
      <c r="Y131" s="13"/>
    </row>
    <row r="132" spans="1:25">
      <c r="A132" s="13"/>
      <c r="B132" s="46" t="s">
        <v>454</v>
      </c>
      <c r="C132" s="46">
        <v>292.82</v>
      </c>
      <c r="D132" s="49">
        <v>-1.4E-2</v>
      </c>
      <c r="E132" s="13"/>
      <c r="F132" s="13"/>
      <c r="G132" s="13"/>
      <c r="H132" s="46" t="s">
        <v>454</v>
      </c>
      <c r="I132" s="48">
        <v>19674.55</v>
      </c>
      <c r="J132" s="49">
        <v>0</v>
      </c>
      <c r="K132" s="13"/>
      <c r="L132" s="13"/>
      <c r="M132" s="13"/>
      <c r="N132" s="13"/>
      <c r="O132" s="13"/>
      <c r="P132" s="13"/>
      <c r="Q132" s="13"/>
      <c r="R132" s="13"/>
      <c r="S132" s="13"/>
      <c r="T132" s="13"/>
      <c r="U132" s="13"/>
      <c r="V132" s="13"/>
      <c r="W132" s="13"/>
      <c r="X132" s="13"/>
      <c r="Y132" s="13"/>
    </row>
    <row r="133" spans="1:25">
      <c r="A133" s="13"/>
      <c r="B133" s="46" t="s">
        <v>455</v>
      </c>
      <c r="C133" s="46">
        <v>296.99</v>
      </c>
      <c r="D133" s="49">
        <v>1.61E-2</v>
      </c>
      <c r="E133" s="13"/>
      <c r="F133" s="13"/>
      <c r="G133" s="13"/>
      <c r="H133" s="46" t="s">
        <v>455</v>
      </c>
      <c r="I133" s="48">
        <v>19674.25</v>
      </c>
      <c r="J133" s="49">
        <v>-3.3999999999999998E-3</v>
      </c>
      <c r="K133" s="13"/>
      <c r="L133" s="13"/>
      <c r="M133" s="13"/>
      <c r="N133" s="13"/>
      <c r="O133" s="13"/>
      <c r="P133" s="13"/>
      <c r="Q133" s="13"/>
      <c r="R133" s="13"/>
      <c r="S133" s="13"/>
      <c r="T133" s="13"/>
      <c r="U133" s="13"/>
      <c r="V133" s="13"/>
      <c r="W133" s="13"/>
      <c r="X133" s="13"/>
      <c r="Y133" s="13"/>
    </row>
    <row r="134" spans="1:25">
      <c r="A134" s="13"/>
      <c r="B134" s="46" t="s">
        <v>456</v>
      </c>
      <c r="C134" s="46">
        <v>292.29000000000002</v>
      </c>
      <c r="D134" s="49">
        <v>6.9999999999999999E-4</v>
      </c>
      <c r="E134" s="13"/>
      <c r="F134" s="13"/>
      <c r="G134" s="13"/>
      <c r="H134" s="46" t="s">
        <v>456</v>
      </c>
      <c r="I134" s="48">
        <v>19742.349999999999</v>
      </c>
      <c r="J134" s="49">
        <v>-8.0000000000000002E-3</v>
      </c>
      <c r="K134" s="13"/>
      <c r="L134" s="13"/>
      <c r="M134" s="13"/>
      <c r="N134" s="13"/>
      <c r="O134" s="13"/>
      <c r="P134" s="13"/>
      <c r="Q134" s="13"/>
      <c r="R134" s="13"/>
      <c r="S134" s="13"/>
      <c r="T134" s="13"/>
      <c r="U134" s="13"/>
      <c r="V134" s="13"/>
      <c r="W134" s="13"/>
      <c r="X134" s="13"/>
      <c r="Y134" s="13"/>
    </row>
    <row r="135" spans="1:25">
      <c r="A135" s="13"/>
      <c r="B135" s="46" t="s">
        <v>457</v>
      </c>
      <c r="C135" s="46">
        <v>292.08999999999997</v>
      </c>
      <c r="D135" s="49">
        <v>4.7000000000000002E-3</v>
      </c>
      <c r="E135" s="13"/>
      <c r="F135" s="13"/>
      <c r="G135" s="13"/>
      <c r="H135" s="46" t="s">
        <v>457</v>
      </c>
      <c r="I135" s="48">
        <v>19901.400000000001</v>
      </c>
      <c r="J135" s="49">
        <v>-1.15E-2</v>
      </c>
      <c r="K135" s="13"/>
      <c r="L135" s="13"/>
      <c r="M135" s="13"/>
      <c r="N135" s="13"/>
      <c r="O135" s="13"/>
      <c r="P135" s="13"/>
      <c r="Q135" s="13"/>
      <c r="R135" s="13"/>
      <c r="S135" s="13"/>
      <c r="T135" s="13"/>
      <c r="U135" s="13"/>
      <c r="V135" s="13"/>
      <c r="W135" s="13"/>
      <c r="X135" s="13"/>
      <c r="Y135" s="13"/>
    </row>
    <row r="136" spans="1:25">
      <c r="A136" s="13"/>
      <c r="B136" s="46" t="s">
        <v>458</v>
      </c>
      <c r="C136" s="46">
        <v>290.70999999999998</v>
      </c>
      <c r="D136" s="49">
        <v>-1.2699999999999999E-2</v>
      </c>
      <c r="E136" s="13"/>
      <c r="F136" s="13"/>
      <c r="G136" s="13"/>
      <c r="H136" s="46" t="s">
        <v>458</v>
      </c>
      <c r="I136" s="48">
        <v>20133.3</v>
      </c>
      <c r="J136" s="49">
        <v>-2.8999999999999998E-3</v>
      </c>
      <c r="K136" s="13"/>
      <c r="L136" s="13"/>
      <c r="M136" s="13"/>
      <c r="N136" s="13"/>
      <c r="O136" s="13"/>
      <c r="P136" s="13"/>
      <c r="Q136" s="13"/>
      <c r="R136" s="13"/>
      <c r="S136" s="13"/>
      <c r="T136" s="13"/>
      <c r="U136" s="13"/>
      <c r="V136" s="13"/>
      <c r="W136" s="13"/>
      <c r="X136" s="13"/>
      <c r="Y136" s="13"/>
    </row>
    <row r="137" spans="1:25">
      <c r="A137" s="13"/>
      <c r="B137" s="46" t="s">
        <v>459</v>
      </c>
      <c r="C137" s="46">
        <v>294.45999999999998</v>
      </c>
      <c r="D137" s="49">
        <v>3.2199999999999999E-2</v>
      </c>
      <c r="E137" s="13"/>
      <c r="F137" s="13"/>
      <c r="G137" s="13"/>
      <c r="H137" s="46" t="s">
        <v>459</v>
      </c>
      <c r="I137" s="48">
        <v>20192.349999999999</v>
      </c>
      <c r="J137" s="49">
        <v>4.4000000000000003E-3</v>
      </c>
      <c r="K137" s="13"/>
      <c r="L137" s="13"/>
      <c r="M137" s="13"/>
      <c r="N137" s="13"/>
      <c r="O137" s="13"/>
      <c r="P137" s="13"/>
      <c r="Q137" s="13"/>
      <c r="R137" s="13"/>
      <c r="S137" s="13"/>
      <c r="T137" s="13"/>
      <c r="U137" s="13"/>
      <c r="V137" s="13"/>
      <c r="W137" s="13"/>
      <c r="X137" s="13"/>
      <c r="Y137" s="13"/>
    </row>
    <row r="138" spans="1:25">
      <c r="A138" s="13"/>
      <c r="B138" s="46" t="s">
        <v>460</v>
      </c>
      <c r="C138" s="46">
        <v>285.27</v>
      </c>
      <c r="D138" s="49">
        <v>5.9999999999999995E-4</v>
      </c>
      <c r="E138" s="13"/>
      <c r="F138" s="13"/>
      <c r="G138" s="13"/>
      <c r="H138" s="46" t="s">
        <v>460</v>
      </c>
      <c r="I138" s="48">
        <v>20103.099999999999</v>
      </c>
      <c r="J138" s="49">
        <v>1.6000000000000001E-3</v>
      </c>
      <c r="K138" s="13"/>
      <c r="L138" s="13"/>
      <c r="M138" s="13"/>
      <c r="N138" s="13"/>
      <c r="O138" s="13"/>
      <c r="P138" s="13"/>
      <c r="Q138" s="13"/>
      <c r="R138" s="13"/>
      <c r="S138" s="13"/>
      <c r="T138" s="13"/>
      <c r="U138" s="13"/>
      <c r="V138" s="13"/>
      <c r="W138" s="13"/>
      <c r="X138" s="13"/>
      <c r="Y138" s="13"/>
    </row>
    <row r="139" spans="1:25">
      <c r="A139" s="13"/>
      <c r="B139" s="46" t="s">
        <v>461</v>
      </c>
      <c r="C139" s="46">
        <v>285.08999999999997</v>
      </c>
      <c r="D139" s="49">
        <v>-0.01</v>
      </c>
      <c r="E139" s="13"/>
      <c r="F139" s="13"/>
      <c r="G139" s="13"/>
      <c r="H139" s="46" t="s">
        <v>461</v>
      </c>
      <c r="I139" s="48">
        <v>20070</v>
      </c>
      <c r="J139" s="49">
        <v>3.8E-3</v>
      </c>
      <c r="K139" s="13"/>
      <c r="L139" s="13"/>
      <c r="M139" s="13"/>
      <c r="N139" s="13"/>
      <c r="O139" s="13"/>
      <c r="P139" s="13"/>
      <c r="Q139" s="13"/>
      <c r="R139" s="13"/>
      <c r="S139" s="13"/>
      <c r="T139" s="13"/>
      <c r="U139" s="13"/>
      <c r="V139" s="13"/>
      <c r="W139" s="13"/>
      <c r="X139" s="13"/>
      <c r="Y139" s="13"/>
    </row>
    <row r="140" spans="1:25">
      <c r="A140" s="13"/>
      <c r="B140" s="47">
        <v>45269</v>
      </c>
      <c r="C140" s="46">
        <v>287.97000000000003</v>
      </c>
      <c r="D140" s="49">
        <v>-5.2699999999999997E-2</v>
      </c>
      <c r="E140" s="13"/>
      <c r="F140" s="13"/>
      <c r="G140" s="13"/>
      <c r="H140" s="47">
        <v>45269</v>
      </c>
      <c r="I140" s="48">
        <v>19993.2</v>
      </c>
      <c r="J140" s="49">
        <v>-2.0000000000000001E-4</v>
      </c>
      <c r="K140" s="13"/>
      <c r="L140" s="13"/>
      <c r="M140" s="13"/>
      <c r="N140" s="13"/>
      <c r="O140" s="13"/>
      <c r="P140" s="13"/>
      <c r="Q140" s="13"/>
      <c r="R140" s="13"/>
      <c r="S140" s="13"/>
      <c r="T140" s="13"/>
      <c r="U140" s="13"/>
      <c r="V140" s="13"/>
      <c r="W140" s="13"/>
      <c r="X140" s="13"/>
      <c r="Y140" s="13"/>
    </row>
    <row r="141" spans="1:25">
      <c r="A141" s="13"/>
      <c r="B141" s="47">
        <v>45239</v>
      </c>
      <c r="C141" s="46">
        <v>303.99</v>
      </c>
      <c r="D141" s="49">
        <v>2.8E-3</v>
      </c>
      <c r="E141" s="13"/>
      <c r="F141" s="13"/>
      <c r="G141" s="13"/>
      <c r="H141" s="47">
        <v>45239</v>
      </c>
      <c r="I141" s="48">
        <v>19996.349999999999</v>
      </c>
      <c r="J141" s="49">
        <v>8.8999999999999999E-3</v>
      </c>
      <c r="K141" s="13"/>
      <c r="L141" s="13"/>
      <c r="M141" s="13"/>
      <c r="N141" s="13"/>
      <c r="O141" s="13"/>
      <c r="P141" s="13"/>
      <c r="Q141" s="13"/>
      <c r="R141" s="13"/>
      <c r="S141" s="13"/>
      <c r="T141" s="13"/>
      <c r="U141" s="13"/>
      <c r="V141" s="13"/>
      <c r="W141" s="13"/>
      <c r="X141" s="13"/>
      <c r="Y141" s="13"/>
    </row>
    <row r="142" spans="1:25">
      <c r="A142" s="13"/>
      <c r="B142" s="47">
        <v>45147</v>
      </c>
      <c r="C142" s="46">
        <v>303.14999999999998</v>
      </c>
      <c r="D142" s="49">
        <v>2.2499999999999999E-2</v>
      </c>
      <c r="E142" s="13"/>
      <c r="F142" s="13"/>
      <c r="G142" s="13"/>
      <c r="H142" s="47">
        <v>45147</v>
      </c>
      <c r="I142" s="48">
        <v>19819.95</v>
      </c>
      <c r="J142" s="49">
        <v>4.7000000000000002E-3</v>
      </c>
      <c r="K142" s="13"/>
      <c r="L142" s="13"/>
      <c r="M142" s="13"/>
      <c r="N142" s="13"/>
      <c r="O142" s="13"/>
      <c r="P142" s="13"/>
      <c r="Q142" s="13"/>
      <c r="R142" s="13"/>
      <c r="S142" s="13"/>
      <c r="T142" s="13"/>
      <c r="U142" s="13"/>
      <c r="V142" s="13"/>
      <c r="W142" s="13"/>
      <c r="X142" s="13"/>
      <c r="Y142" s="13"/>
    </row>
    <row r="143" spans="1:25">
      <c r="A143" s="13"/>
      <c r="B143" s="47">
        <v>45116</v>
      </c>
      <c r="C143" s="46">
        <v>296.48</v>
      </c>
      <c r="D143" s="49">
        <v>2.5399999999999999E-2</v>
      </c>
      <c r="E143" s="13"/>
      <c r="F143" s="13"/>
      <c r="G143" s="13"/>
      <c r="H143" s="47">
        <v>45116</v>
      </c>
      <c r="I143" s="48">
        <v>19727.05</v>
      </c>
      <c r="J143" s="49">
        <v>5.8999999999999999E-3</v>
      </c>
      <c r="K143" s="13"/>
      <c r="L143" s="13"/>
      <c r="M143" s="13"/>
      <c r="N143" s="13"/>
      <c r="O143" s="13"/>
      <c r="P143" s="13"/>
      <c r="Q143" s="13"/>
      <c r="R143" s="13"/>
      <c r="S143" s="13"/>
      <c r="T143" s="13"/>
      <c r="U143" s="13"/>
      <c r="V143" s="13"/>
      <c r="W143" s="13"/>
      <c r="X143" s="13"/>
      <c r="Y143" s="13"/>
    </row>
    <row r="144" spans="1:25">
      <c r="A144" s="13"/>
      <c r="B144" s="47">
        <v>45086</v>
      </c>
      <c r="C144" s="46">
        <v>289.13</v>
      </c>
      <c r="D144" s="49">
        <v>-1.0699999999999999E-2</v>
      </c>
      <c r="E144" s="13"/>
      <c r="F144" s="13"/>
      <c r="G144" s="13"/>
      <c r="H144" s="47">
        <v>45086</v>
      </c>
      <c r="I144" s="48">
        <v>19611.05</v>
      </c>
      <c r="J144" s="49">
        <v>1.8E-3</v>
      </c>
      <c r="K144" s="13"/>
      <c r="L144" s="13"/>
      <c r="M144" s="13"/>
      <c r="N144" s="13"/>
      <c r="O144" s="13"/>
      <c r="P144" s="13"/>
      <c r="Q144" s="13"/>
      <c r="R144" s="13"/>
      <c r="S144" s="13"/>
      <c r="T144" s="13"/>
      <c r="U144" s="13"/>
      <c r="V144" s="13"/>
      <c r="W144" s="13"/>
      <c r="X144" s="13"/>
      <c r="Y144" s="13"/>
    </row>
    <row r="145" spans="1:25">
      <c r="A145" s="13"/>
      <c r="B145" s="47">
        <v>45055</v>
      </c>
      <c r="C145" s="46">
        <v>292.25</v>
      </c>
      <c r="D145" s="49">
        <v>2.1899999999999999E-2</v>
      </c>
      <c r="E145" s="13"/>
      <c r="F145" s="13"/>
      <c r="G145" s="13"/>
      <c r="H145" s="47">
        <v>45055</v>
      </c>
      <c r="I145" s="48">
        <v>19574.900000000001</v>
      </c>
      <c r="J145" s="49">
        <v>2.3999999999999998E-3</v>
      </c>
      <c r="K145" s="13"/>
      <c r="L145" s="13"/>
      <c r="M145" s="13"/>
      <c r="N145" s="13"/>
      <c r="O145" s="13"/>
      <c r="P145" s="13"/>
      <c r="Q145" s="13"/>
      <c r="R145" s="13"/>
      <c r="S145" s="13"/>
      <c r="T145" s="13"/>
      <c r="U145" s="13"/>
      <c r="V145" s="13"/>
      <c r="W145" s="13"/>
      <c r="X145" s="13"/>
      <c r="Y145" s="13"/>
    </row>
    <row r="146" spans="1:25">
      <c r="A146" s="13"/>
      <c r="B146" s="47">
        <v>45025</v>
      </c>
      <c r="C146" s="46">
        <v>285.99</v>
      </c>
      <c r="D146" s="49">
        <v>1.8499999999999999E-2</v>
      </c>
      <c r="E146" s="13"/>
      <c r="F146" s="13"/>
      <c r="G146" s="13"/>
      <c r="H146" s="47">
        <v>45025</v>
      </c>
      <c r="I146" s="48">
        <v>19528.8</v>
      </c>
      <c r="J146" s="49">
        <v>4.7999999999999996E-3</v>
      </c>
      <c r="K146" s="13"/>
      <c r="L146" s="13"/>
      <c r="M146" s="13"/>
      <c r="N146" s="13"/>
      <c r="O146" s="13"/>
      <c r="P146" s="13"/>
      <c r="Q146" s="13"/>
      <c r="R146" s="13"/>
      <c r="S146" s="13"/>
      <c r="T146" s="13"/>
      <c r="U146" s="13"/>
      <c r="V146" s="13"/>
      <c r="W146" s="13"/>
      <c r="X146" s="13"/>
      <c r="Y146" s="13"/>
    </row>
    <row r="147" spans="1:25">
      <c r="A147" s="13"/>
      <c r="B147" s="47">
        <v>44935</v>
      </c>
      <c r="C147" s="46">
        <v>280.79000000000002</v>
      </c>
      <c r="D147" s="49">
        <v>-1.43E-2</v>
      </c>
      <c r="E147" s="13"/>
      <c r="F147" s="13"/>
      <c r="G147" s="13"/>
      <c r="H147" s="47">
        <v>44935</v>
      </c>
      <c r="I147" s="48">
        <v>19435.3</v>
      </c>
      <c r="J147" s="49">
        <v>9.4000000000000004E-3</v>
      </c>
      <c r="K147" s="13"/>
      <c r="L147" s="13"/>
      <c r="M147" s="13"/>
      <c r="N147" s="13"/>
      <c r="O147" s="13"/>
      <c r="P147" s="13"/>
      <c r="Q147" s="13"/>
      <c r="R147" s="13"/>
      <c r="S147" s="13"/>
      <c r="T147" s="13"/>
      <c r="U147" s="13"/>
      <c r="V147" s="13"/>
      <c r="W147" s="13"/>
      <c r="X147" s="13"/>
      <c r="Y147" s="13"/>
    </row>
    <row r="148" spans="1:25">
      <c r="A148" s="13"/>
      <c r="B148" s="46" t="s">
        <v>462</v>
      </c>
      <c r="C148" s="46">
        <v>284.85000000000002</v>
      </c>
      <c r="D148" s="49">
        <v>1.6500000000000001E-2</v>
      </c>
      <c r="E148" s="13"/>
      <c r="F148" s="13"/>
      <c r="G148" s="13"/>
      <c r="H148" s="46" t="s">
        <v>462</v>
      </c>
      <c r="I148" s="48">
        <v>19253.8</v>
      </c>
      <c r="J148" s="49">
        <v>-4.7999999999999996E-3</v>
      </c>
      <c r="K148" s="13"/>
      <c r="L148" s="13"/>
      <c r="M148" s="13"/>
      <c r="N148" s="13"/>
      <c r="O148" s="13"/>
      <c r="P148" s="13"/>
      <c r="Q148" s="13"/>
      <c r="R148" s="13"/>
      <c r="S148" s="13"/>
      <c r="T148" s="13"/>
      <c r="U148" s="13"/>
      <c r="V148" s="13"/>
      <c r="W148" s="13"/>
      <c r="X148" s="13"/>
      <c r="Y148" s="13"/>
    </row>
    <row r="149" spans="1:25">
      <c r="A149" s="13"/>
      <c r="B149" s="46" t="s">
        <v>463</v>
      </c>
      <c r="C149" s="46">
        <v>280.24</v>
      </c>
      <c r="D149" s="49">
        <v>1.7100000000000001E-2</v>
      </c>
      <c r="E149" s="13"/>
      <c r="F149" s="13"/>
      <c r="G149" s="13"/>
      <c r="H149" s="46" t="s">
        <v>463</v>
      </c>
      <c r="I149" s="48">
        <v>19347.45</v>
      </c>
      <c r="J149" s="49">
        <v>2.0000000000000001E-4</v>
      </c>
      <c r="K149" s="13"/>
      <c r="L149" s="13"/>
      <c r="M149" s="13"/>
      <c r="N149" s="13"/>
      <c r="O149" s="13"/>
      <c r="P149" s="13"/>
      <c r="Q149" s="13"/>
      <c r="R149" s="13"/>
      <c r="S149" s="13"/>
      <c r="T149" s="13"/>
      <c r="U149" s="13"/>
      <c r="V149" s="13"/>
      <c r="W149" s="13"/>
      <c r="X149" s="13"/>
      <c r="Y149" s="13"/>
    </row>
    <row r="150" spans="1:25">
      <c r="A150" s="13"/>
      <c r="B150" s="46" t="s">
        <v>464</v>
      </c>
      <c r="C150" s="46">
        <v>275.52999999999997</v>
      </c>
      <c r="D150" s="49">
        <v>1.1999999999999999E-3</v>
      </c>
      <c r="E150" s="13"/>
      <c r="F150" s="13"/>
      <c r="G150" s="13"/>
      <c r="H150" s="46" t="s">
        <v>464</v>
      </c>
      <c r="I150" s="48">
        <v>19342.650000000001</v>
      </c>
      <c r="J150" s="49">
        <v>1.9E-3</v>
      </c>
      <c r="K150" s="13"/>
      <c r="L150" s="13"/>
      <c r="M150" s="13"/>
      <c r="N150" s="13"/>
      <c r="O150" s="13"/>
      <c r="P150" s="13"/>
      <c r="Q150" s="13"/>
      <c r="R150" s="13"/>
      <c r="S150" s="13"/>
      <c r="T150" s="13"/>
      <c r="U150" s="13"/>
      <c r="V150" s="13"/>
      <c r="W150" s="13"/>
      <c r="X150" s="13"/>
      <c r="Y150" s="13"/>
    </row>
    <row r="151" spans="1:25">
      <c r="A151" s="13"/>
      <c r="B151" s="46" t="s">
        <v>465</v>
      </c>
      <c r="C151" s="46">
        <v>275.20999999999998</v>
      </c>
      <c r="D151" s="49">
        <v>1.1999999999999999E-3</v>
      </c>
      <c r="E151" s="13"/>
      <c r="F151" s="13"/>
      <c r="G151" s="13"/>
      <c r="H151" s="46" t="s">
        <v>465</v>
      </c>
      <c r="I151" s="48">
        <v>19306.05</v>
      </c>
      <c r="J151" s="49">
        <v>2.0999999999999999E-3</v>
      </c>
      <c r="K151" s="13"/>
      <c r="L151" s="13"/>
      <c r="M151" s="13"/>
      <c r="N151" s="13"/>
      <c r="O151" s="13"/>
      <c r="P151" s="13"/>
      <c r="Q151" s="13"/>
      <c r="R151" s="13"/>
      <c r="S151" s="13"/>
      <c r="T151" s="13"/>
      <c r="U151" s="13"/>
      <c r="V151" s="13"/>
      <c r="W151" s="13"/>
      <c r="X151" s="13"/>
      <c r="Y151" s="13"/>
    </row>
    <row r="152" spans="1:25">
      <c r="A152" s="13"/>
      <c r="B152" s="46" t="s">
        <v>466</v>
      </c>
      <c r="C152" s="46">
        <v>274.87</v>
      </c>
      <c r="D152" s="49">
        <v>5.4000000000000003E-3</v>
      </c>
      <c r="E152" s="13"/>
      <c r="F152" s="13"/>
      <c r="G152" s="13"/>
      <c r="H152" s="46" t="s">
        <v>466</v>
      </c>
      <c r="I152" s="48">
        <v>19265.8</v>
      </c>
      <c r="J152" s="49">
        <v>-6.1999999999999998E-3</v>
      </c>
      <c r="K152" s="13"/>
      <c r="L152" s="13"/>
      <c r="M152" s="13"/>
      <c r="N152" s="13"/>
      <c r="O152" s="13"/>
      <c r="P152" s="13"/>
      <c r="Q152" s="13"/>
      <c r="R152" s="13"/>
      <c r="S152" s="13"/>
      <c r="T152" s="13"/>
      <c r="U152" s="13"/>
      <c r="V152" s="13"/>
      <c r="W152" s="13"/>
      <c r="X152" s="13"/>
      <c r="Y152" s="13"/>
    </row>
    <row r="153" spans="1:25">
      <c r="A153" s="13"/>
      <c r="B153" s="46" t="s">
        <v>467</v>
      </c>
      <c r="C153" s="46">
        <v>273.39999999999998</v>
      </c>
      <c r="D153" s="49">
        <v>4.4999999999999997E-3</v>
      </c>
      <c r="E153" s="13"/>
      <c r="F153" s="13"/>
      <c r="G153" s="13"/>
      <c r="H153" s="46" t="s">
        <v>467</v>
      </c>
      <c r="I153" s="48">
        <v>19386.7</v>
      </c>
      <c r="J153" s="49">
        <v>-2.8999999999999998E-3</v>
      </c>
      <c r="K153" s="13"/>
      <c r="L153" s="13"/>
      <c r="M153" s="13"/>
      <c r="N153" s="13"/>
      <c r="O153" s="13"/>
      <c r="P153" s="13"/>
      <c r="Q153" s="13"/>
      <c r="R153" s="13"/>
      <c r="S153" s="13"/>
      <c r="T153" s="13"/>
      <c r="U153" s="13"/>
      <c r="V153" s="13"/>
      <c r="W153" s="13"/>
      <c r="X153" s="13"/>
      <c r="Y153" s="13"/>
    </row>
    <row r="154" spans="1:25">
      <c r="A154" s="13"/>
      <c r="B154" s="46" t="s">
        <v>468</v>
      </c>
      <c r="C154" s="46">
        <v>272.17</v>
      </c>
      <c r="D154" s="49">
        <v>1.8599999999999998E-2</v>
      </c>
      <c r="E154" s="13"/>
      <c r="F154" s="13"/>
      <c r="G154" s="13"/>
      <c r="H154" s="46" t="s">
        <v>468</v>
      </c>
      <c r="I154" s="48">
        <v>19444</v>
      </c>
      <c r="J154" s="49">
        <v>2.5000000000000001E-3</v>
      </c>
      <c r="K154" s="13"/>
      <c r="L154" s="13"/>
      <c r="M154" s="13"/>
      <c r="N154" s="13"/>
      <c r="O154" s="13"/>
      <c r="P154" s="13"/>
      <c r="Q154" s="13"/>
      <c r="R154" s="13"/>
      <c r="S154" s="13"/>
      <c r="T154" s="13"/>
      <c r="U154" s="13"/>
      <c r="V154" s="13"/>
      <c r="W154" s="13"/>
      <c r="X154" s="13"/>
      <c r="Y154" s="13"/>
    </row>
    <row r="155" spans="1:25">
      <c r="A155" s="13"/>
      <c r="B155" s="46" t="s">
        <v>469</v>
      </c>
      <c r="C155" s="46">
        <v>267.19</v>
      </c>
      <c r="D155" s="49">
        <v>-1E-3</v>
      </c>
      <c r="E155" s="13"/>
      <c r="F155" s="13"/>
      <c r="G155" s="13"/>
      <c r="H155" s="46" t="s">
        <v>469</v>
      </c>
      <c r="I155" s="48">
        <v>19396.45</v>
      </c>
      <c r="J155" s="49">
        <v>1E-4</v>
      </c>
      <c r="K155" s="13"/>
      <c r="L155" s="13"/>
      <c r="M155" s="13"/>
      <c r="N155" s="13"/>
      <c r="O155" s="13"/>
      <c r="P155" s="13"/>
      <c r="Q155" s="13"/>
      <c r="R155" s="13"/>
      <c r="S155" s="13"/>
      <c r="T155" s="13"/>
      <c r="U155" s="13"/>
      <c r="V155" s="13"/>
      <c r="W155" s="13"/>
      <c r="X155" s="13"/>
      <c r="Y155" s="13"/>
    </row>
    <row r="156" spans="1:25">
      <c r="A156" s="13"/>
      <c r="B156" s="46" t="s">
        <v>470</v>
      </c>
      <c r="C156" s="46">
        <v>267.45999999999998</v>
      </c>
      <c r="D156" s="49">
        <v>5.0000000000000001E-3</v>
      </c>
      <c r="E156" s="13"/>
      <c r="F156" s="13"/>
      <c r="G156" s="13"/>
      <c r="H156" s="46" t="s">
        <v>470</v>
      </c>
      <c r="I156" s="48">
        <v>19393.599999999999</v>
      </c>
      <c r="J156" s="49">
        <v>4.3E-3</v>
      </c>
      <c r="K156" s="13"/>
      <c r="L156" s="13"/>
      <c r="M156" s="13"/>
      <c r="N156" s="13"/>
      <c r="O156" s="13"/>
      <c r="P156" s="13"/>
      <c r="Q156" s="13"/>
      <c r="R156" s="13"/>
      <c r="S156" s="13"/>
      <c r="T156" s="13"/>
      <c r="U156" s="13"/>
      <c r="V156" s="13"/>
      <c r="W156" s="13"/>
      <c r="X156" s="13"/>
      <c r="Y156" s="13"/>
    </row>
    <row r="157" spans="1:25">
      <c r="A157" s="13"/>
      <c r="B157" s="46" t="s">
        <v>471</v>
      </c>
      <c r="C157" s="46">
        <v>266.14</v>
      </c>
      <c r="D157" s="49">
        <v>3.5000000000000001E-3</v>
      </c>
      <c r="E157" s="13"/>
      <c r="F157" s="13"/>
      <c r="G157" s="13"/>
      <c r="H157" s="46" t="s">
        <v>471</v>
      </c>
      <c r="I157" s="48">
        <v>19310.150000000001</v>
      </c>
      <c r="J157" s="49">
        <v>-2.8E-3</v>
      </c>
      <c r="K157" s="13"/>
      <c r="L157" s="13"/>
      <c r="M157" s="13"/>
      <c r="N157" s="13"/>
      <c r="O157" s="13"/>
      <c r="P157" s="13"/>
      <c r="Q157" s="13"/>
      <c r="R157" s="13"/>
      <c r="S157" s="13"/>
      <c r="T157" s="13"/>
      <c r="U157" s="13"/>
      <c r="V157" s="13"/>
      <c r="W157" s="13"/>
      <c r="X157" s="13"/>
      <c r="Y157" s="13"/>
    </row>
    <row r="158" spans="1:25">
      <c r="A158" s="13"/>
      <c r="B158" s="46" t="s">
        <v>472</v>
      </c>
      <c r="C158" s="46">
        <v>265.20999999999998</v>
      </c>
      <c r="D158" s="49">
        <v>-1.29E-2</v>
      </c>
      <c r="E158" s="13"/>
      <c r="F158" s="13"/>
      <c r="G158" s="13"/>
      <c r="H158" s="46" t="s">
        <v>472</v>
      </c>
      <c r="I158" s="48">
        <v>19365.25</v>
      </c>
      <c r="J158" s="49">
        <v>-5.1000000000000004E-3</v>
      </c>
      <c r="K158" s="13"/>
      <c r="L158" s="13"/>
      <c r="M158" s="13"/>
      <c r="N158" s="13"/>
      <c r="O158" s="13"/>
      <c r="P158" s="13"/>
      <c r="Q158" s="13"/>
      <c r="R158" s="13"/>
      <c r="S158" s="13"/>
      <c r="T158" s="13"/>
      <c r="U158" s="13"/>
      <c r="V158" s="13"/>
      <c r="W158" s="13"/>
      <c r="X158" s="13"/>
      <c r="Y158" s="13"/>
    </row>
    <row r="159" spans="1:25">
      <c r="A159" s="13"/>
      <c r="B159" s="46" t="s">
        <v>473</v>
      </c>
      <c r="C159" s="46">
        <v>268.68</v>
      </c>
      <c r="D159" s="49">
        <v>-6.1999999999999998E-3</v>
      </c>
      <c r="E159" s="13"/>
      <c r="F159" s="13"/>
      <c r="G159" s="13"/>
      <c r="H159" s="46" t="s">
        <v>473</v>
      </c>
      <c r="I159" s="48">
        <v>19465</v>
      </c>
      <c r="J159" s="49">
        <v>1.6000000000000001E-3</v>
      </c>
      <c r="K159" s="13"/>
      <c r="L159" s="13"/>
      <c r="M159" s="13"/>
      <c r="N159" s="13"/>
      <c r="O159" s="13"/>
      <c r="P159" s="13"/>
      <c r="Q159" s="13"/>
      <c r="R159" s="13"/>
      <c r="S159" s="13"/>
      <c r="T159" s="13"/>
      <c r="U159" s="13"/>
      <c r="V159" s="13"/>
      <c r="W159" s="13"/>
      <c r="X159" s="13"/>
      <c r="Y159" s="13"/>
    </row>
    <row r="160" spans="1:25">
      <c r="A160" s="13"/>
      <c r="B160" s="46" t="s">
        <v>474</v>
      </c>
      <c r="C160" s="46">
        <v>270.35000000000002</v>
      </c>
      <c r="D160" s="49">
        <v>-8.0999999999999996E-3</v>
      </c>
      <c r="E160" s="13"/>
      <c r="F160" s="13"/>
      <c r="G160" s="13"/>
      <c r="H160" s="46" t="s">
        <v>474</v>
      </c>
      <c r="I160" s="48">
        <v>19434.55</v>
      </c>
      <c r="J160" s="49">
        <v>2.9999999999999997E-4</v>
      </c>
      <c r="K160" s="13"/>
      <c r="L160" s="13"/>
      <c r="M160" s="13"/>
      <c r="N160" s="13"/>
      <c r="O160" s="13"/>
      <c r="P160" s="13"/>
      <c r="Q160" s="13"/>
      <c r="R160" s="13"/>
      <c r="S160" s="13"/>
      <c r="T160" s="13"/>
      <c r="U160" s="13"/>
      <c r="V160" s="13"/>
      <c r="W160" s="13"/>
      <c r="X160" s="13"/>
      <c r="Y160" s="13"/>
    </row>
    <row r="161" spans="1:25">
      <c r="A161" s="13"/>
      <c r="B161" s="47">
        <v>45238</v>
      </c>
      <c r="C161" s="46">
        <v>272.57</v>
      </c>
      <c r="D161" s="49">
        <v>1E-4</v>
      </c>
      <c r="E161" s="13"/>
      <c r="F161" s="13"/>
      <c r="G161" s="13"/>
      <c r="H161" s="47">
        <v>45238</v>
      </c>
      <c r="I161" s="48">
        <v>19428.3</v>
      </c>
      <c r="J161" s="49">
        <v>-5.8999999999999999E-3</v>
      </c>
      <c r="K161" s="13"/>
      <c r="L161" s="13"/>
      <c r="M161" s="13"/>
      <c r="N161" s="13"/>
      <c r="O161" s="13"/>
      <c r="P161" s="13"/>
      <c r="Q161" s="13"/>
      <c r="R161" s="13"/>
      <c r="S161" s="13"/>
      <c r="T161" s="13"/>
      <c r="U161" s="13"/>
      <c r="V161" s="13"/>
      <c r="W161" s="13"/>
      <c r="X161" s="13"/>
      <c r="Y161" s="13"/>
    </row>
    <row r="162" spans="1:25">
      <c r="A162" s="13"/>
      <c r="B162" s="47">
        <v>45207</v>
      </c>
      <c r="C162" s="46">
        <v>272.54000000000002</v>
      </c>
      <c r="D162" s="49">
        <v>-9.2999999999999992E-3</v>
      </c>
      <c r="E162" s="13"/>
      <c r="F162" s="13"/>
      <c r="G162" s="13"/>
      <c r="H162" s="47">
        <v>45207</v>
      </c>
      <c r="I162" s="48">
        <v>19543.099999999999</v>
      </c>
      <c r="J162" s="49">
        <v>-4.5999999999999999E-3</v>
      </c>
      <c r="K162" s="13"/>
      <c r="L162" s="13"/>
      <c r="M162" s="13"/>
      <c r="N162" s="13"/>
      <c r="O162" s="13"/>
      <c r="P162" s="13"/>
      <c r="Q162" s="13"/>
      <c r="R162" s="13"/>
      <c r="S162" s="13"/>
      <c r="T162" s="13"/>
      <c r="U162" s="13"/>
      <c r="V162" s="13"/>
      <c r="W162" s="13"/>
      <c r="X162" s="13"/>
      <c r="Y162" s="13"/>
    </row>
    <row r="163" spans="1:25">
      <c r="A163" s="13"/>
      <c r="B163" s="47">
        <v>45177</v>
      </c>
      <c r="C163" s="46">
        <v>275.08999999999997</v>
      </c>
      <c r="D163" s="49">
        <v>-8.0000000000000004E-4</v>
      </c>
      <c r="E163" s="13"/>
      <c r="F163" s="13"/>
      <c r="G163" s="13"/>
      <c r="H163" s="47">
        <v>45177</v>
      </c>
      <c r="I163" s="48">
        <v>19632.55</v>
      </c>
      <c r="J163" s="49">
        <v>3.2000000000000002E-3</v>
      </c>
      <c r="K163" s="13"/>
      <c r="L163" s="13"/>
      <c r="M163" s="13"/>
      <c r="N163" s="13"/>
      <c r="O163" s="13"/>
      <c r="P163" s="13"/>
      <c r="Q163" s="13"/>
      <c r="R163" s="13"/>
      <c r="S163" s="13"/>
      <c r="T163" s="13"/>
      <c r="U163" s="13"/>
      <c r="V163" s="13"/>
      <c r="W163" s="13"/>
      <c r="X163" s="13"/>
      <c r="Y163" s="13"/>
    </row>
    <row r="164" spans="1:25">
      <c r="A164" s="13"/>
      <c r="B164" s="47">
        <v>45146</v>
      </c>
      <c r="C164" s="46">
        <v>275.3</v>
      </c>
      <c r="D164" s="49">
        <v>-5.5999999999999999E-3</v>
      </c>
      <c r="E164" s="13"/>
      <c r="F164" s="13"/>
      <c r="G164" s="13"/>
      <c r="H164" s="47">
        <v>45146</v>
      </c>
      <c r="I164" s="48">
        <v>19570.849999999999</v>
      </c>
      <c r="J164" s="49">
        <v>-1.2999999999999999E-3</v>
      </c>
      <c r="K164" s="13"/>
      <c r="L164" s="13"/>
      <c r="M164" s="13"/>
      <c r="N164" s="13"/>
      <c r="O164" s="13"/>
      <c r="P164" s="13"/>
      <c r="Q164" s="13"/>
      <c r="R164" s="13"/>
      <c r="S164" s="13"/>
      <c r="T164" s="13"/>
      <c r="U164" s="13"/>
      <c r="V164" s="13"/>
      <c r="W164" s="13"/>
      <c r="X164" s="13"/>
      <c r="Y164" s="13"/>
    </row>
    <row r="165" spans="1:25">
      <c r="A165" s="13"/>
      <c r="B165" s="47">
        <v>45115</v>
      </c>
      <c r="C165" s="46">
        <v>276.83999999999997</v>
      </c>
      <c r="D165" s="49">
        <v>1.67E-2</v>
      </c>
      <c r="E165" s="13"/>
      <c r="F165" s="13"/>
      <c r="G165" s="13"/>
      <c r="H165" s="47">
        <v>45115</v>
      </c>
      <c r="I165" s="48">
        <v>19597.3</v>
      </c>
      <c r="J165" s="49">
        <v>4.1000000000000003E-3</v>
      </c>
      <c r="K165" s="13"/>
      <c r="L165" s="13"/>
      <c r="M165" s="13"/>
      <c r="N165" s="13"/>
      <c r="O165" s="13"/>
      <c r="P165" s="13"/>
      <c r="Q165" s="13"/>
      <c r="R165" s="13"/>
      <c r="S165" s="13"/>
      <c r="T165" s="13"/>
      <c r="U165" s="13"/>
      <c r="V165" s="13"/>
      <c r="W165" s="13"/>
      <c r="X165" s="13"/>
      <c r="Y165" s="13"/>
    </row>
    <row r="166" spans="1:25">
      <c r="A166" s="13"/>
      <c r="B166" s="47">
        <v>45024</v>
      </c>
      <c r="C166" s="46">
        <v>272.3</v>
      </c>
      <c r="D166" s="49">
        <v>2.0799999999999999E-2</v>
      </c>
      <c r="E166" s="13"/>
      <c r="F166" s="13"/>
      <c r="G166" s="13"/>
      <c r="H166" s="47">
        <v>45024</v>
      </c>
      <c r="I166" s="48">
        <v>19517</v>
      </c>
      <c r="J166" s="49">
        <v>7.0000000000000001E-3</v>
      </c>
      <c r="K166" s="13"/>
      <c r="L166" s="13"/>
      <c r="M166" s="13"/>
      <c r="N166" s="13"/>
      <c r="O166" s="13"/>
      <c r="P166" s="13"/>
      <c r="Q166" s="13"/>
      <c r="R166" s="13"/>
      <c r="S166" s="13"/>
      <c r="T166" s="13"/>
      <c r="U166" s="13"/>
      <c r="V166" s="13"/>
      <c r="W166" s="13"/>
      <c r="X166" s="13"/>
      <c r="Y166" s="13"/>
    </row>
    <row r="167" spans="1:25">
      <c r="A167" s="13"/>
      <c r="B167" s="47">
        <v>44993</v>
      </c>
      <c r="C167" s="46">
        <v>266.76</v>
      </c>
      <c r="D167" s="49">
        <v>-3.3999999999999998E-3</v>
      </c>
      <c r="E167" s="13"/>
      <c r="F167" s="13"/>
      <c r="G167" s="13"/>
      <c r="H167" s="47">
        <v>44993</v>
      </c>
      <c r="I167" s="48">
        <v>19381.650000000001</v>
      </c>
      <c r="J167" s="49">
        <v>-7.4000000000000003E-3</v>
      </c>
      <c r="K167" s="13"/>
      <c r="L167" s="13"/>
      <c r="M167" s="13"/>
      <c r="N167" s="13"/>
      <c r="O167" s="13"/>
      <c r="P167" s="13"/>
      <c r="Q167" s="13"/>
      <c r="R167" s="13"/>
      <c r="S167" s="13"/>
      <c r="T167" s="13"/>
      <c r="U167" s="13"/>
      <c r="V167" s="13"/>
      <c r="W167" s="13"/>
      <c r="X167" s="13"/>
      <c r="Y167" s="13"/>
    </row>
    <row r="168" spans="1:25">
      <c r="A168" s="13"/>
      <c r="B168" s="47">
        <v>44965</v>
      </c>
      <c r="C168" s="46">
        <v>267.66000000000003</v>
      </c>
      <c r="D168" s="49">
        <v>-1.2999999999999999E-2</v>
      </c>
      <c r="E168" s="13"/>
      <c r="F168" s="13"/>
      <c r="G168" s="13"/>
      <c r="H168" s="47">
        <v>44965</v>
      </c>
      <c r="I168" s="48">
        <v>19526.55</v>
      </c>
      <c r="J168" s="49">
        <v>-1.0500000000000001E-2</v>
      </c>
      <c r="K168" s="13"/>
      <c r="L168" s="13"/>
      <c r="M168" s="13"/>
      <c r="N168" s="13"/>
      <c r="O168" s="13"/>
      <c r="P168" s="13"/>
      <c r="Q168" s="13"/>
      <c r="R168" s="13"/>
      <c r="S168" s="13"/>
      <c r="T168" s="13"/>
      <c r="U168" s="13"/>
      <c r="V168" s="13"/>
      <c r="W168" s="13"/>
      <c r="X168" s="13"/>
      <c r="Y168" s="13"/>
    </row>
    <row r="169" spans="1:25">
      <c r="A169" s="13"/>
      <c r="B169" s="47">
        <v>44934</v>
      </c>
      <c r="C169" s="46">
        <v>271.19</v>
      </c>
      <c r="D169" s="49">
        <v>-1.26E-2</v>
      </c>
      <c r="E169" s="13"/>
      <c r="F169" s="13"/>
      <c r="G169" s="13"/>
      <c r="H169" s="47">
        <v>44934</v>
      </c>
      <c r="I169" s="48">
        <v>19733.55</v>
      </c>
      <c r="J169" s="49">
        <v>-1E-3</v>
      </c>
      <c r="K169" s="13"/>
      <c r="L169" s="13"/>
      <c r="M169" s="13"/>
      <c r="N169" s="13"/>
      <c r="O169" s="13"/>
      <c r="P169" s="13"/>
      <c r="Q169" s="13"/>
      <c r="R169" s="13"/>
      <c r="S169" s="13"/>
      <c r="T169" s="13"/>
      <c r="U169" s="13"/>
      <c r="V169" s="13"/>
      <c r="W169" s="13"/>
      <c r="X169" s="13"/>
      <c r="Y169" s="13"/>
    </row>
    <row r="170" spans="1:25">
      <c r="A170" s="13"/>
      <c r="B170" s="46" t="s">
        <v>475</v>
      </c>
      <c r="C170" s="46">
        <v>274.64999999999998</v>
      </c>
      <c r="D170" s="49">
        <v>-1.0999999999999999E-2</v>
      </c>
      <c r="E170" s="13"/>
      <c r="F170" s="13"/>
      <c r="G170" s="13"/>
      <c r="H170" s="46" t="s">
        <v>475</v>
      </c>
      <c r="I170" s="48">
        <v>19753.8</v>
      </c>
      <c r="J170" s="49">
        <v>5.4999999999999997E-3</v>
      </c>
      <c r="K170" s="13"/>
      <c r="L170" s="13"/>
      <c r="M170" s="13"/>
      <c r="N170" s="13"/>
      <c r="O170" s="13"/>
      <c r="P170" s="13"/>
      <c r="Q170" s="13"/>
      <c r="R170" s="13"/>
      <c r="S170" s="13"/>
      <c r="T170" s="13"/>
      <c r="U170" s="13"/>
      <c r="V170" s="13"/>
      <c r="W170" s="13"/>
      <c r="X170" s="13"/>
      <c r="Y170" s="13"/>
    </row>
    <row r="171" spans="1:25">
      <c r="A171" s="13"/>
      <c r="B171" s="46" t="s">
        <v>476</v>
      </c>
      <c r="C171" s="46">
        <v>277.70999999999998</v>
      </c>
      <c r="D171" s="49">
        <v>1.67E-2</v>
      </c>
      <c r="E171" s="13"/>
      <c r="F171" s="13"/>
      <c r="G171" s="13"/>
      <c r="H171" s="46" t="s">
        <v>476</v>
      </c>
      <c r="I171" s="48">
        <v>19646.05</v>
      </c>
      <c r="J171" s="49">
        <v>-6.9999999999999999E-4</v>
      </c>
      <c r="K171" s="13"/>
      <c r="L171" s="13"/>
      <c r="M171" s="13"/>
      <c r="N171" s="13"/>
      <c r="O171" s="13"/>
      <c r="P171" s="13"/>
      <c r="Q171" s="13"/>
      <c r="R171" s="13"/>
      <c r="S171" s="13"/>
      <c r="T171" s="13"/>
      <c r="U171" s="13"/>
      <c r="V171" s="13"/>
      <c r="W171" s="13"/>
      <c r="X171" s="13"/>
      <c r="Y171" s="13"/>
    </row>
    <row r="172" spans="1:25">
      <c r="A172" s="13"/>
      <c r="B172" s="46" t="s">
        <v>477</v>
      </c>
      <c r="C172" s="46">
        <v>273.14999999999998</v>
      </c>
      <c r="D172" s="49">
        <v>-1.3299999999999999E-2</v>
      </c>
      <c r="E172" s="13"/>
      <c r="F172" s="13"/>
      <c r="G172" s="13"/>
      <c r="H172" s="46" t="s">
        <v>477</v>
      </c>
      <c r="I172" s="48">
        <v>19659.900000000001</v>
      </c>
      <c r="J172" s="49">
        <v>-6.0000000000000001E-3</v>
      </c>
      <c r="K172" s="13"/>
      <c r="L172" s="13"/>
      <c r="M172" s="13"/>
      <c r="N172" s="13"/>
      <c r="O172" s="13"/>
      <c r="P172" s="13"/>
      <c r="Q172" s="13"/>
      <c r="R172" s="13"/>
      <c r="S172" s="13"/>
      <c r="T172" s="13"/>
      <c r="U172" s="13"/>
      <c r="V172" s="13"/>
      <c r="W172" s="13"/>
      <c r="X172" s="13"/>
      <c r="Y172" s="13"/>
    </row>
    <row r="173" spans="1:25">
      <c r="A173" s="13"/>
      <c r="B173" s="46" t="s">
        <v>478</v>
      </c>
      <c r="C173" s="46">
        <v>276.83999999999997</v>
      </c>
      <c r="D173" s="49">
        <v>-5.3E-3</v>
      </c>
      <c r="E173" s="13"/>
      <c r="F173" s="13"/>
      <c r="G173" s="13"/>
      <c r="H173" s="46" t="s">
        <v>478</v>
      </c>
      <c r="I173" s="48">
        <v>19778.3</v>
      </c>
      <c r="J173" s="49">
        <v>5.0000000000000001E-3</v>
      </c>
      <c r="K173" s="13"/>
      <c r="L173" s="13"/>
      <c r="M173" s="13"/>
      <c r="N173" s="13"/>
      <c r="O173" s="13"/>
      <c r="P173" s="13"/>
      <c r="Q173" s="13"/>
      <c r="R173" s="13"/>
      <c r="S173" s="13"/>
      <c r="T173" s="13"/>
      <c r="U173" s="13"/>
      <c r="V173" s="13"/>
      <c r="W173" s="13"/>
      <c r="X173" s="13"/>
      <c r="Y173" s="13"/>
    </row>
    <row r="174" spans="1:25">
      <c r="A174" s="13"/>
      <c r="B174" s="46" t="s">
        <v>479</v>
      </c>
      <c r="C174" s="46">
        <v>278.31</v>
      </c>
      <c r="D174" s="49">
        <v>-2.2499999999999999E-2</v>
      </c>
      <c r="E174" s="13"/>
      <c r="F174" s="13"/>
      <c r="G174" s="13"/>
      <c r="H174" s="46" t="s">
        <v>479</v>
      </c>
      <c r="I174" s="48">
        <v>19680.599999999999</v>
      </c>
      <c r="J174" s="49">
        <v>4.0000000000000002E-4</v>
      </c>
      <c r="K174" s="13"/>
      <c r="L174" s="13"/>
      <c r="M174" s="13"/>
      <c r="N174" s="13"/>
      <c r="O174" s="13"/>
      <c r="P174" s="13"/>
      <c r="Q174" s="13"/>
      <c r="R174" s="13"/>
      <c r="S174" s="13"/>
      <c r="T174" s="13"/>
      <c r="U174" s="13"/>
      <c r="V174" s="13"/>
      <c r="W174" s="13"/>
      <c r="X174" s="13"/>
      <c r="Y174" s="13"/>
    </row>
    <row r="175" spans="1:25">
      <c r="A175" s="13"/>
      <c r="B175" s="46" t="s">
        <v>480</v>
      </c>
      <c r="C175" s="46">
        <v>284.73</v>
      </c>
      <c r="D175" s="49">
        <v>1.1999999999999999E-3</v>
      </c>
      <c r="E175" s="13"/>
      <c r="F175" s="13"/>
      <c r="G175" s="13"/>
      <c r="H175" s="46" t="s">
        <v>480</v>
      </c>
      <c r="I175" s="48">
        <v>19672.349999999999</v>
      </c>
      <c r="J175" s="49">
        <v>-3.7000000000000002E-3</v>
      </c>
      <c r="K175" s="13"/>
      <c r="L175" s="13"/>
      <c r="M175" s="13"/>
      <c r="N175" s="13"/>
      <c r="O175" s="13"/>
      <c r="P175" s="13"/>
      <c r="Q175" s="13"/>
      <c r="R175" s="13"/>
      <c r="S175" s="13"/>
      <c r="T175" s="13"/>
      <c r="U175" s="13"/>
      <c r="V175" s="13"/>
      <c r="W175" s="13"/>
      <c r="X175" s="13"/>
      <c r="Y175" s="13"/>
    </row>
    <row r="176" spans="1:25">
      <c r="A176" s="13"/>
      <c r="B176" s="46" t="s">
        <v>481</v>
      </c>
      <c r="C176" s="46">
        <v>284.39999999999998</v>
      </c>
      <c r="D176" s="49">
        <v>-4.4000000000000003E-3</v>
      </c>
      <c r="E176" s="13"/>
      <c r="F176" s="13"/>
      <c r="G176" s="13"/>
      <c r="H176" s="46" t="s">
        <v>481</v>
      </c>
      <c r="I176" s="48">
        <v>19745</v>
      </c>
      <c r="J176" s="49">
        <v>-1.17E-2</v>
      </c>
      <c r="K176" s="13"/>
      <c r="L176" s="13"/>
      <c r="M176" s="13"/>
      <c r="N176" s="13"/>
      <c r="O176" s="13"/>
      <c r="P176" s="13"/>
      <c r="Q176" s="13"/>
      <c r="R176" s="13"/>
      <c r="S176" s="13"/>
      <c r="T176" s="13"/>
      <c r="U176" s="13"/>
      <c r="V176" s="13"/>
      <c r="W176" s="13"/>
      <c r="X176" s="13"/>
      <c r="Y176" s="13"/>
    </row>
    <row r="177" spans="1:25">
      <c r="A177" s="13"/>
      <c r="B177" s="46" t="s">
        <v>482</v>
      </c>
      <c r="C177" s="46">
        <v>285.66000000000003</v>
      </c>
      <c r="D177" s="49">
        <v>2.0999999999999999E-3</v>
      </c>
      <c r="E177" s="13"/>
      <c r="F177" s="13"/>
      <c r="G177" s="13"/>
      <c r="H177" s="46" t="s">
        <v>482</v>
      </c>
      <c r="I177" s="48">
        <v>19979.150000000001</v>
      </c>
      <c r="J177" s="49">
        <v>7.4000000000000003E-3</v>
      </c>
      <c r="K177" s="13"/>
      <c r="L177" s="13"/>
      <c r="M177" s="13"/>
      <c r="N177" s="13"/>
      <c r="O177" s="13"/>
      <c r="P177" s="13"/>
      <c r="Q177" s="13"/>
      <c r="R177" s="13"/>
      <c r="S177" s="13"/>
      <c r="T177" s="13"/>
      <c r="U177" s="13"/>
      <c r="V177" s="13"/>
      <c r="W177" s="13"/>
      <c r="X177" s="13"/>
      <c r="Y177" s="13"/>
    </row>
    <row r="178" spans="1:25">
      <c r="A178" s="13"/>
      <c r="B178" s="46" t="s">
        <v>483</v>
      </c>
      <c r="C178" s="46">
        <v>285.07</v>
      </c>
      <c r="D178" s="49">
        <v>1.66E-2</v>
      </c>
      <c r="E178" s="13"/>
      <c r="F178" s="13"/>
      <c r="G178" s="13"/>
      <c r="H178" s="46" t="s">
        <v>483</v>
      </c>
      <c r="I178" s="48">
        <v>19833.150000000001</v>
      </c>
      <c r="J178" s="49">
        <v>4.1999999999999997E-3</v>
      </c>
      <c r="K178" s="13"/>
      <c r="L178" s="13"/>
      <c r="M178" s="13"/>
      <c r="N178" s="13"/>
      <c r="O178" s="13"/>
      <c r="P178" s="13"/>
      <c r="Q178" s="13"/>
      <c r="R178" s="13"/>
      <c r="S178" s="13"/>
      <c r="T178" s="13"/>
      <c r="U178" s="13"/>
      <c r="V178" s="13"/>
      <c r="W178" s="13"/>
      <c r="X178" s="13"/>
      <c r="Y178" s="13"/>
    </row>
    <row r="179" spans="1:25">
      <c r="A179" s="13"/>
      <c r="B179" s="46" t="s">
        <v>484</v>
      </c>
      <c r="C179" s="46">
        <v>280.41000000000003</v>
      </c>
      <c r="D179" s="49">
        <v>-7.0000000000000001E-3</v>
      </c>
      <c r="E179" s="13"/>
      <c r="F179" s="13"/>
      <c r="G179" s="13"/>
      <c r="H179" s="46" t="s">
        <v>484</v>
      </c>
      <c r="I179" s="48">
        <v>19749.25</v>
      </c>
      <c r="J179" s="49">
        <v>1.9E-3</v>
      </c>
      <c r="K179" s="13"/>
      <c r="L179" s="13"/>
      <c r="M179" s="13"/>
      <c r="N179" s="13"/>
      <c r="O179" s="13"/>
      <c r="P179" s="13"/>
      <c r="Q179" s="13"/>
      <c r="R179" s="13"/>
      <c r="S179" s="13"/>
      <c r="T179" s="13"/>
      <c r="U179" s="13"/>
      <c r="V179" s="13"/>
      <c r="W179" s="13"/>
      <c r="X179" s="13"/>
      <c r="Y179" s="13"/>
    </row>
    <row r="180" spans="1:25">
      <c r="A180" s="13"/>
      <c r="B180" s="46" t="s">
        <v>485</v>
      </c>
      <c r="C180" s="46">
        <v>282.39999999999998</v>
      </c>
      <c r="D180" s="49">
        <v>4.4000000000000003E-3</v>
      </c>
      <c r="E180" s="13"/>
      <c r="F180" s="13"/>
      <c r="G180" s="13"/>
      <c r="H180" s="46" t="s">
        <v>485</v>
      </c>
      <c r="I180" s="48">
        <v>19711.45</v>
      </c>
      <c r="J180" s="49">
        <v>7.4999999999999997E-3</v>
      </c>
      <c r="K180" s="13"/>
      <c r="L180" s="13"/>
      <c r="M180" s="13"/>
      <c r="N180" s="13"/>
      <c r="O180" s="13"/>
      <c r="P180" s="13"/>
      <c r="Q180" s="13"/>
      <c r="R180" s="13"/>
      <c r="S180" s="13"/>
      <c r="T180" s="13"/>
      <c r="U180" s="13"/>
      <c r="V180" s="13"/>
      <c r="W180" s="13"/>
      <c r="X180" s="13"/>
      <c r="Y180" s="13"/>
    </row>
    <row r="181" spans="1:25">
      <c r="A181" s="13"/>
      <c r="B181" s="46" t="s">
        <v>486</v>
      </c>
      <c r="C181" s="46">
        <v>281.16000000000003</v>
      </c>
      <c r="D181" s="49">
        <v>1.7399999999999999E-2</v>
      </c>
      <c r="E181" s="13"/>
      <c r="F181" s="13"/>
      <c r="G181" s="13"/>
      <c r="H181" s="46" t="s">
        <v>486</v>
      </c>
      <c r="I181" s="48">
        <v>19564.5</v>
      </c>
      <c r="J181" s="49">
        <v>7.7999999999999996E-3</v>
      </c>
      <c r="K181" s="13"/>
      <c r="L181" s="13"/>
      <c r="M181" s="13"/>
      <c r="N181" s="13"/>
      <c r="O181" s="13"/>
      <c r="P181" s="13"/>
      <c r="Q181" s="13"/>
      <c r="R181" s="13"/>
      <c r="S181" s="13"/>
      <c r="T181" s="13"/>
      <c r="U181" s="13"/>
      <c r="V181" s="13"/>
      <c r="W181" s="13"/>
      <c r="X181" s="13"/>
      <c r="Y181" s="13"/>
    </row>
    <row r="182" spans="1:25">
      <c r="A182" s="13"/>
      <c r="B182" s="46" t="s">
        <v>487</v>
      </c>
      <c r="C182" s="46">
        <v>276.36</v>
      </c>
      <c r="D182" s="49">
        <v>-6.6E-3</v>
      </c>
      <c r="E182" s="13"/>
      <c r="F182" s="13"/>
      <c r="G182" s="13"/>
      <c r="H182" s="46" t="s">
        <v>487</v>
      </c>
      <c r="I182" s="48">
        <v>19413.75</v>
      </c>
      <c r="J182" s="49">
        <v>1.5E-3</v>
      </c>
      <c r="K182" s="13"/>
      <c r="L182" s="13"/>
      <c r="M182" s="13"/>
      <c r="N182" s="13"/>
      <c r="O182" s="13"/>
      <c r="P182" s="13"/>
      <c r="Q182" s="13"/>
      <c r="R182" s="13"/>
      <c r="S182" s="13"/>
      <c r="T182" s="13"/>
      <c r="U182" s="13"/>
      <c r="V182" s="13"/>
      <c r="W182" s="13"/>
      <c r="X182" s="13"/>
      <c r="Y182" s="13"/>
    </row>
    <row r="183" spans="1:25">
      <c r="A183" s="13"/>
      <c r="B183" s="47">
        <v>45267</v>
      </c>
      <c r="C183" s="46">
        <v>278.19</v>
      </c>
      <c r="D183" s="49">
        <v>8.3000000000000001E-3</v>
      </c>
      <c r="E183" s="13"/>
      <c r="F183" s="13"/>
      <c r="G183" s="13"/>
      <c r="H183" s="47">
        <v>45267</v>
      </c>
      <c r="I183" s="48">
        <v>19384.3</v>
      </c>
      <c r="J183" s="49">
        <v>-2.8E-3</v>
      </c>
      <c r="K183" s="13"/>
      <c r="L183" s="13"/>
      <c r="M183" s="13"/>
      <c r="N183" s="13"/>
      <c r="O183" s="13"/>
      <c r="P183" s="13"/>
      <c r="Q183" s="13"/>
      <c r="R183" s="13"/>
      <c r="S183" s="13"/>
      <c r="T183" s="13"/>
      <c r="U183" s="13"/>
      <c r="V183" s="13"/>
      <c r="W183" s="13"/>
      <c r="X183" s="13"/>
      <c r="Y183" s="13"/>
    </row>
    <row r="184" spans="1:25">
      <c r="A184" s="13"/>
      <c r="B184" s="47">
        <v>45237</v>
      </c>
      <c r="C184" s="46">
        <v>275.89</v>
      </c>
      <c r="D184" s="49">
        <v>-1.3899999999999999E-2</v>
      </c>
      <c r="E184" s="13"/>
      <c r="F184" s="13"/>
      <c r="G184" s="13"/>
      <c r="H184" s="47">
        <v>45237</v>
      </c>
      <c r="I184" s="48">
        <v>19439.400000000001</v>
      </c>
      <c r="J184" s="49">
        <v>4.3E-3</v>
      </c>
      <c r="K184" s="13"/>
      <c r="L184" s="13"/>
      <c r="M184" s="13"/>
      <c r="N184" s="13"/>
      <c r="O184" s="13"/>
      <c r="P184" s="13"/>
      <c r="Q184" s="13"/>
      <c r="R184" s="13"/>
      <c r="S184" s="13"/>
      <c r="T184" s="13"/>
      <c r="U184" s="13"/>
      <c r="V184" s="13"/>
      <c r="W184" s="13"/>
      <c r="X184" s="13"/>
      <c r="Y184" s="13"/>
    </row>
    <row r="185" spans="1:25">
      <c r="A185" s="13"/>
      <c r="B185" s="47">
        <v>45206</v>
      </c>
      <c r="C185" s="46">
        <v>279.77999999999997</v>
      </c>
      <c r="D185" s="49">
        <v>5.4999999999999997E-3</v>
      </c>
      <c r="E185" s="13"/>
      <c r="F185" s="13"/>
      <c r="G185" s="13"/>
      <c r="H185" s="47">
        <v>45206</v>
      </c>
      <c r="I185" s="48">
        <v>19355.900000000001</v>
      </c>
      <c r="J185" s="49">
        <v>1.1999999999999999E-3</v>
      </c>
      <c r="K185" s="13"/>
      <c r="L185" s="13"/>
      <c r="M185" s="13"/>
      <c r="N185" s="13"/>
      <c r="O185" s="13"/>
      <c r="P185" s="13"/>
      <c r="Q185" s="13"/>
      <c r="R185" s="13"/>
      <c r="S185" s="13"/>
      <c r="T185" s="13"/>
      <c r="U185" s="13"/>
      <c r="V185" s="13"/>
      <c r="W185" s="13"/>
      <c r="X185" s="13"/>
      <c r="Y185" s="13"/>
    </row>
    <row r="186" spans="1:25">
      <c r="A186" s="13"/>
      <c r="B186" s="47">
        <v>45114</v>
      </c>
      <c r="C186" s="46">
        <v>278.26</v>
      </c>
      <c r="D186" s="49">
        <v>4.3E-3</v>
      </c>
      <c r="E186" s="13"/>
      <c r="F186" s="13"/>
      <c r="G186" s="13"/>
      <c r="H186" s="47">
        <v>45114</v>
      </c>
      <c r="I186" s="48">
        <v>19331.8</v>
      </c>
      <c r="J186" s="49">
        <v>-8.5000000000000006E-3</v>
      </c>
      <c r="K186" s="13"/>
      <c r="L186" s="13"/>
      <c r="M186" s="13"/>
      <c r="N186" s="13"/>
      <c r="O186" s="13"/>
      <c r="P186" s="13"/>
      <c r="Q186" s="13"/>
      <c r="R186" s="13"/>
      <c r="S186" s="13"/>
      <c r="T186" s="13"/>
      <c r="U186" s="13"/>
      <c r="V186" s="13"/>
      <c r="W186" s="13"/>
      <c r="X186" s="13"/>
      <c r="Y186" s="13"/>
    </row>
    <row r="187" spans="1:25">
      <c r="A187" s="13"/>
      <c r="B187" s="47">
        <v>45084</v>
      </c>
      <c r="C187" s="46">
        <v>277.08</v>
      </c>
      <c r="D187" s="49">
        <v>-1.06E-2</v>
      </c>
      <c r="E187" s="13"/>
      <c r="F187" s="13"/>
      <c r="G187" s="13"/>
      <c r="H187" s="47">
        <v>45084</v>
      </c>
      <c r="I187" s="48">
        <v>19497.3</v>
      </c>
      <c r="J187" s="49">
        <v>5.1000000000000004E-3</v>
      </c>
      <c r="K187" s="13"/>
      <c r="L187" s="13"/>
      <c r="M187" s="13"/>
      <c r="N187" s="13"/>
      <c r="O187" s="13"/>
      <c r="P187" s="13"/>
      <c r="Q187" s="13"/>
      <c r="R187" s="13"/>
      <c r="S187" s="13"/>
      <c r="T187" s="13"/>
      <c r="U187" s="13"/>
      <c r="V187" s="13"/>
      <c r="W187" s="13"/>
      <c r="X187" s="13"/>
      <c r="Y187" s="13"/>
    </row>
    <row r="188" spans="1:25">
      <c r="A188" s="13"/>
      <c r="B188" s="47">
        <v>45053</v>
      </c>
      <c r="C188" s="46">
        <v>280.06</v>
      </c>
      <c r="D188" s="49">
        <v>-2.8999999999999998E-3</v>
      </c>
      <c r="E188" s="13"/>
      <c r="F188" s="13"/>
      <c r="G188" s="13"/>
      <c r="H188" s="47">
        <v>45053</v>
      </c>
      <c r="I188" s="48">
        <v>19398.5</v>
      </c>
      <c r="J188" s="49">
        <v>5.0000000000000001E-4</v>
      </c>
      <c r="K188" s="13"/>
      <c r="L188" s="13"/>
      <c r="M188" s="13"/>
      <c r="N188" s="13"/>
      <c r="O188" s="13"/>
      <c r="P188" s="13"/>
      <c r="Q188" s="13"/>
      <c r="R188" s="13"/>
      <c r="S188" s="13"/>
      <c r="T188" s="13"/>
      <c r="U188" s="13"/>
      <c r="V188" s="13"/>
      <c r="W188" s="13"/>
      <c r="X188" s="13"/>
      <c r="Y188" s="13"/>
    </row>
    <row r="189" spans="1:25">
      <c r="A189" s="13"/>
      <c r="B189" s="47">
        <v>45023</v>
      </c>
      <c r="C189" s="46">
        <v>280.88</v>
      </c>
      <c r="D189" s="49">
        <v>2.5899999999999999E-2</v>
      </c>
      <c r="E189" s="13"/>
      <c r="F189" s="13"/>
      <c r="G189" s="13"/>
      <c r="H189" s="47">
        <v>45023</v>
      </c>
      <c r="I189" s="48">
        <v>19389</v>
      </c>
      <c r="J189" s="49">
        <v>3.3999999999999998E-3</v>
      </c>
      <c r="K189" s="13"/>
      <c r="L189" s="13"/>
      <c r="M189" s="13"/>
      <c r="N189" s="13"/>
      <c r="O189" s="13"/>
      <c r="P189" s="13"/>
      <c r="Q189" s="13"/>
      <c r="R189" s="13"/>
      <c r="S189" s="13"/>
      <c r="T189" s="13"/>
      <c r="U189" s="13"/>
      <c r="V189" s="13"/>
      <c r="W189" s="13"/>
      <c r="X189" s="13"/>
      <c r="Y189" s="13"/>
    </row>
    <row r="190" spans="1:25">
      <c r="A190" s="13"/>
      <c r="B190" s="47">
        <v>44992</v>
      </c>
      <c r="C190" s="46">
        <v>273.79000000000002</v>
      </c>
      <c r="D190" s="49">
        <v>-4.0000000000000001E-3</v>
      </c>
      <c r="E190" s="13"/>
      <c r="F190" s="13"/>
      <c r="G190" s="13"/>
      <c r="H190" s="47">
        <v>44992</v>
      </c>
      <c r="I190" s="48">
        <v>19322.55</v>
      </c>
      <c r="J190" s="49">
        <v>7.0000000000000001E-3</v>
      </c>
      <c r="K190" s="13"/>
      <c r="L190" s="13"/>
      <c r="M190" s="13"/>
      <c r="N190" s="13"/>
      <c r="O190" s="13"/>
      <c r="P190" s="13"/>
      <c r="Q190" s="13"/>
      <c r="R190" s="13"/>
      <c r="S190" s="13"/>
      <c r="T190" s="13"/>
      <c r="U190" s="13"/>
      <c r="V190" s="13"/>
      <c r="W190" s="13"/>
      <c r="X190" s="13"/>
      <c r="Y190" s="13"/>
    </row>
    <row r="191" spans="1:25">
      <c r="A191" s="13"/>
      <c r="B191" s="46" t="s">
        <v>488</v>
      </c>
      <c r="C191" s="46">
        <v>274.88</v>
      </c>
      <c r="D191" s="49">
        <v>-2.8899999999999999E-2</v>
      </c>
      <c r="E191" s="13"/>
      <c r="F191" s="13"/>
      <c r="G191" s="13"/>
      <c r="H191" s="46" t="s">
        <v>488</v>
      </c>
      <c r="I191" s="48">
        <v>19189.05</v>
      </c>
      <c r="J191" s="49">
        <v>1.14E-2</v>
      </c>
      <c r="K191" s="13"/>
      <c r="L191" s="13"/>
      <c r="M191" s="13"/>
      <c r="N191" s="13"/>
      <c r="O191" s="13"/>
      <c r="P191" s="13"/>
      <c r="Q191" s="13"/>
      <c r="R191" s="13"/>
      <c r="S191" s="13"/>
      <c r="T191" s="13"/>
      <c r="U191" s="13"/>
      <c r="V191" s="13"/>
      <c r="W191" s="13"/>
      <c r="X191" s="13"/>
      <c r="Y191" s="13"/>
    </row>
    <row r="192" spans="1:25">
      <c r="A192" s="13"/>
      <c r="B192" s="46" t="s">
        <v>489</v>
      </c>
      <c r="C192" s="46">
        <v>283.06</v>
      </c>
      <c r="D192" s="49">
        <v>4.3E-3</v>
      </c>
      <c r="E192" s="13"/>
      <c r="F192" s="13"/>
      <c r="G192" s="13"/>
      <c r="H192" s="46" t="s">
        <v>489</v>
      </c>
      <c r="I192" s="48">
        <v>18972.099999999999</v>
      </c>
      <c r="J192" s="49">
        <v>8.2000000000000007E-3</v>
      </c>
      <c r="K192" s="13"/>
      <c r="L192" s="13"/>
      <c r="M192" s="13"/>
      <c r="N192" s="13"/>
      <c r="O192" s="13"/>
      <c r="P192" s="13"/>
      <c r="Q192" s="13"/>
      <c r="R192" s="13"/>
      <c r="S192" s="13"/>
      <c r="T192" s="13"/>
      <c r="U192" s="13"/>
      <c r="V192" s="13"/>
      <c r="W192" s="13"/>
      <c r="X192" s="13"/>
      <c r="Y192" s="13"/>
    </row>
    <row r="193" spans="1:25">
      <c r="A193" s="13"/>
      <c r="B193" s="46" t="s">
        <v>490</v>
      </c>
      <c r="C193" s="46">
        <v>281.86</v>
      </c>
      <c r="D193" s="49">
        <v>1.18E-2</v>
      </c>
      <c r="E193" s="13"/>
      <c r="F193" s="13"/>
      <c r="G193" s="13"/>
      <c r="H193" s="46" t="s">
        <v>490</v>
      </c>
      <c r="I193" s="48">
        <v>18817.400000000001</v>
      </c>
      <c r="J193" s="49">
        <v>6.7999999999999996E-3</v>
      </c>
      <c r="K193" s="13"/>
      <c r="L193" s="13"/>
      <c r="M193" s="13"/>
      <c r="N193" s="13"/>
      <c r="O193" s="13"/>
      <c r="P193" s="13"/>
      <c r="Q193" s="13"/>
      <c r="R193" s="13"/>
      <c r="S193" s="13"/>
      <c r="T193" s="13"/>
      <c r="U193" s="13"/>
      <c r="V193" s="13"/>
      <c r="W193" s="13"/>
      <c r="X193" s="13"/>
      <c r="Y193" s="13"/>
    </row>
    <row r="194" spans="1:25">
      <c r="A194" s="13"/>
      <c r="B194" s="46" t="s">
        <v>491</v>
      </c>
      <c r="C194" s="46">
        <v>278.58</v>
      </c>
      <c r="D194" s="49">
        <v>2.76E-2</v>
      </c>
      <c r="E194" s="13"/>
      <c r="F194" s="13"/>
      <c r="G194" s="13"/>
      <c r="H194" s="46" t="s">
        <v>491</v>
      </c>
      <c r="I194" s="48">
        <v>18691.2</v>
      </c>
      <c r="J194" s="49">
        <v>1.4E-3</v>
      </c>
      <c r="K194" s="13"/>
      <c r="L194" s="13"/>
      <c r="M194" s="13"/>
      <c r="N194" s="13"/>
      <c r="O194" s="13"/>
      <c r="P194" s="13"/>
      <c r="Q194" s="13"/>
      <c r="R194" s="13"/>
      <c r="S194" s="13"/>
      <c r="T194" s="13"/>
      <c r="U194" s="13"/>
      <c r="V194" s="13"/>
      <c r="W194" s="13"/>
      <c r="X194" s="13"/>
      <c r="Y194" s="13"/>
    </row>
    <row r="195" spans="1:25">
      <c r="A195" s="13"/>
      <c r="B195" s="46" t="s">
        <v>492</v>
      </c>
      <c r="C195" s="46">
        <v>271.11</v>
      </c>
      <c r="D195" s="49">
        <v>-2.2100000000000002E-2</v>
      </c>
      <c r="E195" s="13"/>
      <c r="F195" s="13"/>
      <c r="G195" s="13"/>
      <c r="H195" s="46" t="s">
        <v>492</v>
      </c>
      <c r="I195" s="48">
        <v>18665.5</v>
      </c>
      <c r="J195" s="49">
        <v>-5.5999999999999999E-3</v>
      </c>
      <c r="K195" s="13"/>
      <c r="L195" s="13"/>
      <c r="M195" s="13"/>
      <c r="N195" s="13"/>
      <c r="O195" s="13"/>
      <c r="P195" s="13"/>
      <c r="Q195" s="13"/>
      <c r="R195" s="13"/>
      <c r="S195" s="13"/>
      <c r="T195" s="13"/>
      <c r="U195" s="13"/>
      <c r="V195" s="13"/>
      <c r="W195" s="13"/>
      <c r="X195" s="13"/>
      <c r="Y195" s="13"/>
    </row>
    <row r="196" spans="1:25">
      <c r="A196" s="13"/>
      <c r="B196" s="46" t="s">
        <v>493</v>
      </c>
      <c r="C196" s="46">
        <v>277.23</v>
      </c>
      <c r="D196" s="49">
        <v>-2.3300000000000001E-2</v>
      </c>
      <c r="E196" s="13"/>
      <c r="F196" s="13"/>
      <c r="G196" s="13"/>
      <c r="H196" s="46" t="s">
        <v>493</v>
      </c>
      <c r="I196" s="48">
        <v>18771.25</v>
      </c>
      <c r="J196" s="49">
        <v>-4.4999999999999997E-3</v>
      </c>
      <c r="K196" s="13"/>
      <c r="L196" s="13"/>
      <c r="M196" s="13"/>
      <c r="N196" s="13"/>
      <c r="O196" s="13"/>
      <c r="P196" s="13"/>
      <c r="Q196" s="13"/>
      <c r="R196" s="13"/>
      <c r="S196" s="13"/>
      <c r="T196" s="13"/>
      <c r="U196" s="13"/>
      <c r="V196" s="13"/>
      <c r="W196" s="13"/>
      <c r="X196" s="13"/>
      <c r="Y196" s="13"/>
    </row>
    <row r="197" spans="1:25">
      <c r="A197" s="13"/>
      <c r="B197" s="46" t="s">
        <v>494</v>
      </c>
      <c r="C197" s="46">
        <v>283.83</v>
      </c>
      <c r="D197" s="49">
        <v>2.5100000000000001E-2</v>
      </c>
      <c r="E197" s="13"/>
      <c r="F197" s="13"/>
      <c r="G197" s="13"/>
      <c r="H197" s="46" t="s">
        <v>494</v>
      </c>
      <c r="I197" s="48">
        <v>18856.849999999999</v>
      </c>
      <c r="J197" s="49">
        <v>2.0999999999999999E-3</v>
      </c>
      <c r="K197" s="13"/>
      <c r="L197" s="13"/>
      <c r="M197" s="13"/>
      <c r="N197" s="13"/>
      <c r="O197" s="13"/>
      <c r="P197" s="13"/>
      <c r="Q197" s="13"/>
      <c r="R197" s="13"/>
      <c r="S197" s="13"/>
      <c r="T197" s="13"/>
      <c r="U197" s="13"/>
      <c r="V197" s="13"/>
      <c r="W197" s="13"/>
      <c r="X197" s="13"/>
      <c r="Y197" s="13"/>
    </row>
    <row r="198" spans="1:25">
      <c r="A198" s="13"/>
      <c r="B198" s="46" t="s">
        <v>495</v>
      </c>
      <c r="C198" s="46">
        <v>276.88</v>
      </c>
      <c r="D198" s="49">
        <v>7.4999999999999997E-3</v>
      </c>
      <c r="E198" s="13"/>
      <c r="F198" s="13"/>
      <c r="G198" s="13"/>
      <c r="H198" s="46" t="s">
        <v>495</v>
      </c>
      <c r="I198" s="48">
        <v>18816.7</v>
      </c>
      <c r="J198" s="49">
        <v>3.3E-3</v>
      </c>
      <c r="K198" s="13"/>
      <c r="L198" s="13"/>
      <c r="M198" s="13"/>
      <c r="N198" s="13"/>
      <c r="O198" s="13"/>
      <c r="P198" s="13"/>
      <c r="Q198" s="13"/>
      <c r="R198" s="13"/>
      <c r="S198" s="13"/>
      <c r="T198" s="13"/>
      <c r="U198" s="13"/>
      <c r="V198" s="13"/>
      <c r="W198" s="13"/>
      <c r="X198" s="13"/>
      <c r="Y198" s="13"/>
    </row>
    <row r="199" spans="1:25">
      <c r="A199" s="13"/>
      <c r="B199" s="46" t="s">
        <v>496</v>
      </c>
      <c r="C199" s="46">
        <v>274.83</v>
      </c>
      <c r="D199" s="49">
        <v>-1.6799999999999999E-2</v>
      </c>
      <c r="E199" s="13"/>
      <c r="F199" s="13"/>
      <c r="G199" s="13"/>
      <c r="H199" s="46" t="s">
        <v>496</v>
      </c>
      <c r="I199" s="48">
        <v>18755.45</v>
      </c>
      <c r="J199" s="49">
        <v>-3.7000000000000002E-3</v>
      </c>
      <c r="K199" s="13"/>
      <c r="L199" s="13"/>
      <c r="M199" s="13"/>
      <c r="N199" s="13"/>
      <c r="O199" s="13"/>
      <c r="P199" s="13"/>
      <c r="Q199" s="13"/>
      <c r="R199" s="13"/>
      <c r="S199" s="13"/>
      <c r="T199" s="13"/>
      <c r="U199" s="13"/>
      <c r="V199" s="13"/>
      <c r="W199" s="13"/>
      <c r="X199" s="13"/>
      <c r="Y199" s="13"/>
    </row>
    <row r="200" spans="1:25">
      <c r="A200" s="13"/>
      <c r="B200" s="46" t="s">
        <v>497</v>
      </c>
      <c r="C200" s="46">
        <v>279.52</v>
      </c>
      <c r="D200" s="49">
        <v>1.0500000000000001E-2</v>
      </c>
      <c r="E200" s="13"/>
      <c r="F200" s="13"/>
      <c r="G200" s="13"/>
      <c r="H200" s="46" t="s">
        <v>497</v>
      </c>
      <c r="I200" s="48">
        <v>18826</v>
      </c>
      <c r="J200" s="49">
        <v>7.4000000000000003E-3</v>
      </c>
      <c r="K200" s="13"/>
      <c r="L200" s="13"/>
      <c r="M200" s="13"/>
      <c r="N200" s="13"/>
      <c r="O200" s="13"/>
      <c r="P200" s="13"/>
      <c r="Q200" s="13"/>
      <c r="R200" s="13"/>
      <c r="S200" s="13"/>
      <c r="T200" s="13"/>
      <c r="U200" s="13"/>
      <c r="V200" s="13"/>
      <c r="W200" s="13"/>
      <c r="X200" s="13"/>
      <c r="Y200" s="13"/>
    </row>
    <row r="201" spans="1:25">
      <c r="A201" s="13"/>
      <c r="B201" s="46" t="s">
        <v>498</v>
      </c>
      <c r="C201" s="46">
        <v>276.62</v>
      </c>
      <c r="D201" s="49">
        <v>-4.3E-3</v>
      </c>
      <c r="E201" s="13"/>
      <c r="F201" s="13"/>
      <c r="G201" s="13"/>
      <c r="H201" s="46" t="s">
        <v>498</v>
      </c>
      <c r="I201" s="48">
        <v>18688.099999999999</v>
      </c>
      <c r="J201" s="49">
        <v>-3.5999999999999999E-3</v>
      </c>
      <c r="K201" s="13"/>
      <c r="L201" s="13"/>
      <c r="M201" s="13"/>
      <c r="N201" s="13"/>
      <c r="O201" s="13"/>
      <c r="P201" s="13"/>
      <c r="Q201" s="13"/>
      <c r="R201" s="13"/>
      <c r="S201" s="13"/>
      <c r="T201" s="13"/>
      <c r="U201" s="13"/>
      <c r="V201" s="13"/>
      <c r="W201" s="13"/>
      <c r="X201" s="13"/>
      <c r="Y201" s="13"/>
    </row>
    <row r="202" spans="1:25">
      <c r="A202" s="13"/>
      <c r="B202" s="46" t="s">
        <v>499</v>
      </c>
      <c r="C202" s="46">
        <v>277.81</v>
      </c>
      <c r="D202" s="49">
        <v>-1.04E-2</v>
      </c>
      <c r="E202" s="13"/>
      <c r="F202" s="13"/>
      <c r="G202" s="13"/>
      <c r="H202" s="46" t="s">
        <v>499</v>
      </c>
      <c r="I202" s="48">
        <v>18755.900000000001</v>
      </c>
      <c r="J202" s="49">
        <v>2.0999999999999999E-3</v>
      </c>
      <c r="K202" s="13"/>
      <c r="L202" s="13"/>
      <c r="M202" s="13"/>
      <c r="N202" s="13"/>
      <c r="O202" s="13"/>
      <c r="P202" s="13"/>
      <c r="Q202" s="13"/>
      <c r="R202" s="13"/>
      <c r="S202" s="13"/>
      <c r="T202" s="13"/>
      <c r="U202" s="13"/>
      <c r="V202" s="13"/>
      <c r="W202" s="13"/>
      <c r="X202" s="13"/>
      <c r="Y202" s="13"/>
    </row>
    <row r="203" spans="1:25">
      <c r="A203" s="13"/>
      <c r="B203" s="46" t="s">
        <v>500</v>
      </c>
      <c r="C203" s="46">
        <v>280.72000000000003</v>
      </c>
      <c r="D203" s="49">
        <v>4.41E-2</v>
      </c>
      <c r="E203" s="13"/>
      <c r="F203" s="13"/>
      <c r="G203" s="13"/>
      <c r="H203" s="46" t="s">
        <v>500</v>
      </c>
      <c r="I203" s="48">
        <v>18716.150000000001</v>
      </c>
      <c r="J203" s="49">
        <v>6.1999999999999998E-3</v>
      </c>
      <c r="K203" s="13"/>
      <c r="L203" s="13"/>
      <c r="M203" s="13"/>
      <c r="N203" s="13"/>
      <c r="O203" s="13"/>
      <c r="P203" s="13"/>
      <c r="Q203" s="13"/>
      <c r="R203" s="13"/>
      <c r="S203" s="13"/>
      <c r="T203" s="13"/>
      <c r="U203" s="13"/>
      <c r="V203" s="13"/>
      <c r="W203" s="13"/>
      <c r="X203" s="13"/>
      <c r="Y203" s="13"/>
    </row>
    <row r="204" spans="1:25">
      <c r="A204" s="13"/>
      <c r="B204" s="47">
        <v>45266</v>
      </c>
      <c r="C204" s="46">
        <v>268.87</v>
      </c>
      <c r="D204" s="49">
        <v>-1.72E-2</v>
      </c>
      <c r="E204" s="13"/>
      <c r="F204" s="13"/>
      <c r="G204" s="13"/>
      <c r="H204" s="47">
        <v>45266</v>
      </c>
      <c r="I204" s="48">
        <v>18601.5</v>
      </c>
      <c r="J204" s="49">
        <v>2.0999999999999999E-3</v>
      </c>
      <c r="K204" s="13"/>
      <c r="L204" s="13"/>
      <c r="M204" s="13"/>
      <c r="N204" s="13"/>
      <c r="O204" s="13"/>
      <c r="P204" s="13"/>
      <c r="Q204" s="13"/>
      <c r="R204" s="13"/>
      <c r="S204" s="13"/>
      <c r="T204" s="13"/>
      <c r="U204" s="13"/>
      <c r="V204" s="13"/>
      <c r="W204" s="13"/>
      <c r="X204" s="13"/>
      <c r="Y204" s="13"/>
    </row>
    <row r="205" spans="1:25">
      <c r="A205" s="13"/>
      <c r="B205" s="47">
        <v>45175</v>
      </c>
      <c r="C205" s="46">
        <v>273.57</v>
      </c>
      <c r="D205" s="49">
        <v>-2.1999999999999999E-2</v>
      </c>
      <c r="E205" s="13"/>
      <c r="F205" s="13"/>
      <c r="G205" s="13"/>
      <c r="H205" s="47">
        <v>45175</v>
      </c>
      <c r="I205" s="48">
        <v>18563.400000000001</v>
      </c>
      <c r="J205" s="49">
        <v>-3.8E-3</v>
      </c>
      <c r="K205" s="13"/>
      <c r="L205" s="13"/>
      <c r="M205" s="13"/>
      <c r="N205" s="13"/>
      <c r="O205" s="13"/>
      <c r="P205" s="13"/>
      <c r="Q205" s="13"/>
      <c r="R205" s="13"/>
      <c r="S205" s="13"/>
      <c r="T205" s="13"/>
      <c r="U205" s="13"/>
      <c r="V205" s="13"/>
      <c r="W205" s="13"/>
      <c r="X205" s="13"/>
      <c r="Y205" s="13"/>
    </row>
    <row r="206" spans="1:25">
      <c r="A206" s="13"/>
      <c r="B206" s="47">
        <v>45144</v>
      </c>
      <c r="C206" s="46">
        <v>279.72000000000003</v>
      </c>
      <c r="D206" s="49">
        <v>-2.6200000000000001E-2</v>
      </c>
      <c r="E206" s="13"/>
      <c r="F206" s="13"/>
      <c r="G206" s="13"/>
      <c r="H206" s="47">
        <v>45144</v>
      </c>
      <c r="I206" s="48">
        <v>18634.55</v>
      </c>
      <c r="J206" s="49">
        <v>-4.8999999999999998E-3</v>
      </c>
      <c r="K206" s="13"/>
      <c r="L206" s="13"/>
      <c r="M206" s="13"/>
      <c r="N206" s="13"/>
      <c r="O206" s="13"/>
      <c r="P206" s="13"/>
      <c r="Q206" s="13"/>
      <c r="R206" s="13"/>
      <c r="S206" s="13"/>
      <c r="T206" s="13"/>
      <c r="U206" s="13"/>
      <c r="V206" s="13"/>
      <c r="W206" s="13"/>
      <c r="X206" s="13"/>
      <c r="Y206" s="13"/>
    </row>
    <row r="207" spans="1:25">
      <c r="A207" s="13"/>
      <c r="B207" s="47">
        <v>45113</v>
      </c>
      <c r="C207" s="46">
        <v>287.26</v>
      </c>
      <c r="D207" s="49">
        <v>-2.3999999999999998E-3</v>
      </c>
      <c r="E207" s="13"/>
      <c r="F207" s="13"/>
      <c r="G207" s="13"/>
      <c r="H207" s="47">
        <v>45113</v>
      </c>
      <c r="I207" s="48">
        <v>18726.400000000001</v>
      </c>
      <c r="J207" s="49">
        <v>6.7999999999999996E-3</v>
      </c>
      <c r="K207" s="13"/>
      <c r="L207" s="13"/>
      <c r="M207" s="13"/>
      <c r="N207" s="13"/>
      <c r="O207" s="13"/>
      <c r="P207" s="13"/>
      <c r="Q207" s="13"/>
      <c r="R207" s="13"/>
      <c r="S207" s="13"/>
      <c r="T207" s="13"/>
      <c r="U207" s="13"/>
      <c r="V207" s="13"/>
      <c r="W207" s="13"/>
      <c r="X207" s="13"/>
      <c r="Y207" s="13"/>
    </row>
    <row r="208" spans="1:25">
      <c r="A208" s="13"/>
      <c r="B208" s="47">
        <v>45083</v>
      </c>
      <c r="C208" s="46">
        <v>287.95</v>
      </c>
      <c r="D208" s="49">
        <v>-3.0000000000000001E-3</v>
      </c>
      <c r="E208" s="13"/>
      <c r="F208" s="13"/>
      <c r="G208" s="13"/>
      <c r="H208" s="47">
        <v>45083</v>
      </c>
      <c r="I208" s="48">
        <v>18599</v>
      </c>
      <c r="J208" s="49">
        <v>2.9999999999999997E-4</v>
      </c>
      <c r="K208" s="13"/>
      <c r="L208" s="13"/>
      <c r="M208" s="13"/>
      <c r="N208" s="13"/>
      <c r="O208" s="13"/>
      <c r="P208" s="13"/>
      <c r="Q208" s="13"/>
      <c r="R208" s="13"/>
      <c r="S208" s="13"/>
      <c r="T208" s="13"/>
      <c r="U208" s="13"/>
      <c r="V208" s="13"/>
      <c r="W208" s="13"/>
      <c r="X208" s="13"/>
      <c r="Y208" s="13"/>
    </row>
    <row r="209" spans="1:25">
      <c r="A209" s="13"/>
      <c r="B209" s="47">
        <v>45052</v>
      </c>
      <c r="C209" s="46">
        <v>288.82</v>
      </c>
      <c r="D209" s="49">
        <v>9.9000000000000008E-3</v>
      </c>
      <c r="E209" s="13"/>
      <c r="F209" s="13"/>
      <c r="G209" s="13"/>
      <c r="H209" s="47">
        <v>45052</v>
      </c>
      <c r="I209" s="48">
        <v>18593.849999999999</v>
      </c>
      <c r="J209" s="49">
        <v>3.2000000000000002E-3</v>
      </c>
      <c r="K209" s="13"/>
      <c r="L209" s="13"/>
      <c r="M209" s="13"/>
      <c r="N209" s="13"/>
      <c r="O209" s="13"/>
      <c r="P209" s="13"/>
      <c r="Q209" s="13"/>
      <c r="R209" s="13"/>
      <c r="S209" s="13"/>
      <c r="T209" s="13"/>
      <c r="U209" s="13"/>
      <c r="V209" s="13"/>
      <c r="W209" s="13"/>
      <c r="X209" s="13"/>
      <c r="Y209" s="13"/>
    </row>
    <row r="210" spans="1:25">
      <c r="A210" s="13"/>
      <c r="B210" s="47">
        <v>44963</v>
      </c>
      <c r="C210" s="46">
        <v>285.98</v>
      </c>
      <c r="D210" s="49">
        <v>-5.4000000000000003E-3</v>
      </c>
      <c r="E210" s="13"/>
      <c r="F210" s="13"/>
      <c r="G210" s="13"/>
      <c r="H210" s="47">
        <v>44963</v>
      </c>
      <c r="I210" s="48">
        <v>18534.099999999999</v>
      </c>
      <c r="J210" s="49">
        <v>2.5000000000000001E-3</v>
      </c>
      <c r="K210" s="13"/>
      <c r="L210" s="13"/>
      <c r="M210" s="13"/>
      <c r="N210" s="13"/>
      <c r="O210" s="13"/>
      <c r="P210" s="13"/>
      <c r="Q210" s="13"/>
      <c r="R210" s="13"/>
      <c r="S210" s="13"/>
      <c r="T210" s="13"/>
      <c r="U210" s="13"/>
      <c r="V210" s="13"/>
      <c r="W210" s="13"/>
      <c r="X210" s="13"/>
      <c r="Y210" s="13"/>
    </row>
    <row r="211" spans="1:25">
      <c r="A211" s="13"/>
      <c r="B211" s="47">
        <v>44932</v>
      </c>
      <c r="C211" s="46">
        <v>287.52999999999997</v>
      </c>
      <c r="D211" s="49">
        <v>-1.37E-2</v>
      </c>
      <c r="E211" s="13"/>
      <c r="F211" s="13"/>
      <c r="G211" s="13"/>
      <c r="H211" s="47">
        <v>44932</v>
      </c>
      <c r="I211" s="48">
        <v>18487.75</v>
      </c>
      <c r="J211" s="49">
        <v>-2.5000000000000001E-3</v>
      </c>
      <c r="K211" s="13"/>
      <c r="L211" s="13"/>
      <c r="M211" s="13"/>
      <c r="N211" s="13"/>
      <c r="O211" s="13"/>
      <c r="P211" s="13"/>
      <c r="Q211" s="13"/>
      <c r="R211" s="13"/>
      <c r="S211" s="13"/>
      <c r="T211" s="13"/>
      <c r="U211" s="13"/>
      <c r="V211" s="13"/>
      <c r="W211" s="13"/>
      <c r="X211" s="13"/>
      <c r="Y211" s="13"/>
    </row>
    <row r="212" spans="1:25">
      <c r="A212" s="13"/>
      <c r="B212" s="46" t="s">
        <v>501</v>
      </c>
      <c r="C212" s="46">
        <v>291.51</v>
      </c>
      <c r="D212" s="49">
        <v>4.9399999999999999E-2</v>
      </c>
      <c r="E212" s="13"/>
      <c r="F212" s="13"/>
      <c r="G212" s="13"/>
      <c r="H212" s="46" t="s">
        <v>501</v>
      </c>
      <c r="I212" s="48">
        <v>18534.400000000001</v>
      </c>
      <c r="J212" s="49">
        <v>-5.3E-3</v>
      </c>
      <c r="K212" s="13"/>
      <c r="L212" s="13"/>
      <c r="M212" s="13"/>
      <c r="N212" s="13"/>
      <c r="O212" s="13"/>
      <c r="P212" s="13"/>
      <c r="Q212" s="13"/>
      <c r="R212" s="13"/>
      <c r="S212" s="13"/>
      <c r="T212" s="13"/>
      <c r="U212" s="13"/>
      <c r="V212" s="13"/>
      <c r="W212" s="13"/>
      <c r="X212" s="13"/>
      <c r="Y212" s="13"/>
    </row>
    <row r="213" spans="1:25">
      <c r="A213" s="13"/>
      <c r="B213" s="46" t="s">
        <v>502</v>
      </c>
      <c r="C213" s="46">
        <v>277.79000000000002</v>
      </c>
      <c r="D213" s="49">
        <v>5.5E-2</v>
      </c>
      <c r="E213" s="13"/>
      <c r="F213" s="13"/>
      <c r="G213" s="13"/>
      <c r="H213" s="46" t="s">
        <v>502</v>
      </c>
      <c r="I213" s="48">
        <v>18633.849999999999</v>
      </c>
      <c r="J213" s="49">
        <v>1.9E-3</v>
      </c>
      <c r="K213" s="13"/>
      <c r="L213" s="13"/>
      <c r="M213" s="13"/>
      <c r="N213" s="13"/>
      <c r="O213" s="13"/>
      <c r="P213" s="13"/>
      <c r="Q213" s="13"/>
      <c r="R213" s="13"/>
      <c r="S213" s="13"/>
      <c r="T213" s="13"/>
      <c r="U213" s="13"/>
      <c r="V213" s="13"/>
      <c r="W213" s="13"/>
      <c r="X213" s="13"/>
      <c r="Y213" s="13"/>
    </row>
    <row r="214" spans="1:25">
      <c r="A214" s="13"/>
      <c r="B214" s="46" t="s">
        <v>503</v>
      </c>
      <c r="C214" s="46">
        <v>263.31</v>
      </c>
      <c r="D214" s="49">
        <v>-9.7999999999999997E-3</v>
      </c>
      <c r="E214" s="13"/>
      <c r="F214" s="13"/>
      <c r="G214" s="13"/>
      <c r="H214" s="46" t="s">
        <v>503</v>
      </c>
      <c r="I214" s="48">
        <v>18598.650000000001</v>
      </c>
      <c r="J214" s="49">
        <v>5.4000000000000003E-3</v>
      </c>
      <c r="K214" s="13"/>
      <c r="L214" s="13"/>
      <c r="M214" s="13"/>
      <c r="N214" s="13"/>
      <c r="O214" s="13"/>
      <c r="P214" s="13"/>
      <c r="Q214" s="13"/>
      <c r="R214" s="13"/>
      <c r="S214" s="13"/>
      <c r="T214" s="13"/>
      <c r="U214" s="13"/>
      <c r="V214" s="13"/>
      <c r="W214" s="13"/>
      <c r="X214" s="13"/>
      <c r="Y214" s="13"/>
    </row>
    <row r="215" spans="1:25">
      <c r="A215" s="13"/>
      <c r="B215" s="46" t="s">
        <v>504</v>
      </c>
      <c r="C215" s="46">
        <v>265.91000000000003</v>
      </c>
      <c r="D215" s="49">
        <v>-1.47E-2</v>
      </c>
      <c r="E215" s="13"/>
      <c r="F215" s="13"/>
      <c r="G215" s="13"/>
      <c r="H215" s="46" t="s">
        <v>504</v>
      </c>
      <c r="I215" s="48">
        <v>18499.349999999999</v>
      </c>
      <c r="J215" s="49">
        <v>9.7000000000000003E-3</v>
      </c>
      <c r="K215" s="13"/>
      <c r="L215" s="13"/>
      <c r="M215" s="13"/>
      <c r="N215" s="13"/>
      <c r="O215" s="13"/>
      <c r="P215" s="13"/>
      <c r="Q215" s="13"/>
      <c r="R215" s="13"/>
      <c r="S215" s="13"/>
      <c r="T215" s="13"/>
      <c r="U215" s="13"/>
      <c r="V215" s="13"/>
      <c r="W215" s="13"/>
      <c r="X215" s="13"/>
      <c r="Y215" s="13"/>
    </row>
    <row r="216" spans="1:25">
      <c r="A216" s="13"/>
      <c r="B216" s="46" t="s">
        <v>505</v>
      </c>
      <c r="C216" s="46">
        <v>269.89</v>
      </c>
      <c r="D216" s="49">
        <v>1.03E-2</v>
      </c>
      <c r="E216" s="13"/>
      <c r="F216" s="13"/>
      <c r="G216" s="13"/>
      <c r="H216" s="46" t="s">
        <v>505</v>
      </c>
      <c r="I216" s="48">
        <v>18321.150000000001</v>
      </c>
      <c r="J216" s="49">
        <v>2E-3</v>
      </c>
      <c r="K216" s="13"/>
      <c r="L216" s="13"/>
      <c r="M216" s="13"/>
      <c r="N216" s="13"/>
      <c r="O216" s="13"/>
      <c r="P216" s="13"/>
      <c r="Q216" s="13"/>
      <c r="R216" s="13"/>
      <c r="S216" s="13"/>
      <c r="T216" s="13"/>
      <c r="U216" s="13"/>
      <c r="V216" s="13"/>
      <c r="W216" s="13"/>
      <c r="X216" s="13"/>
      <c r="Y216" s="13"/>
    </row>
    <row r="217" spans="1:25">
      <c r="A217" s="13"/>
      <c r="B217" s="46" t="s">
        <v>506</v>
      </c>
      <c r="C217" s="46">
        <v>267.14999999999998</v>
      </c>
      <c r="D217" s="49">
        <v>1.2500000000000001E-2</v>
      </c>
      <c r="E217" s="13"/>
      <c r="F217" s="13"/>
      <c r="G217" s="13"/>
      <c r="H217" s="46" t="s">
        <v>506</v>
      </c>
      <c r="I217" s="48">
        <v>18285.400000000001</v>
      </c>
      <c r="J217" s="49">
        <v>-3.3999999999999998E-3</v>
      </c>
      <c r="K217" s="13"/>
      <c r="L217" s="13"/>
      <c r="M217" s="13"/>
      <c r="N217" s="13"/>
      <c r="O217" s="13"/>
      <c r="P217" s="13"/>
      <c r="Q217" s="13"/>
      <c r="R217" s="13"/>
      <c r="S217" s="13"/>
      <c r="T217" s="13"/>
      <c r="U217" s="13"/>
      <c r="V217" s="13"/>
      <c r="W217" s="13"/>
      <c r="X217" s="13"/>
      <c r="Y217" s="13"/>
    </row>
    <row r="218" spans="1:25">
      <c r="A218" s="13"/>
      <c r="B218" s="46" t="s">
        <v>507</v>
      </c>
      <c r="C218" s="46">
        <v>263.86</v>
      </c>
      <c r="D218" s="49">
        <v>2.3099999999999999E-2</v>
      </c>
      <c r="E218" s="13"/>
      <c r="F218" s="13"/>
      <c r="G218" s="13"/>
      <c r="H218" s="46" t="s">
        <v>507</v>
      </c>
      <c r="I218" s="48">
        <v>18348</v>
      </c>
      <c r="J218" s="49">
        <v>1.8E-3</v>
      </c>
      <c r="K218" s="13"/>
      <c r="L218" s="13"/>
      <c r="M218" s="13"/>
      <c r="N218" s="13"/>
      <c r="O218" s="13"/>
      <c r="P218" s="13"/>
      <c r="Q218" s="13"/>
      <c r="R218" s="13"/>
      <c r="S218" s="13"/>
      <c r="T218" s="13"/>
      <c r="U218" s="13"/>
      <c r="V218" s="13"/>
      <c r="W218" s="13"/>
      <c r="X218" s="13"/>
      <c r="Y218" s="13"/>
    </row>
    <row r="219" spans="1:25">
      <c r="A219" s="13"/>
      <c r="B219" s="46" t="s">
        <v>508</v>
      </c>
      <c r="C219" s="46">
        <v>257.89999999999998</v>
      </c>
      <c r="D219" s="49">
        <v>-5.8999999999999999E-3</v>
      </c>
      <c r="E219" s="13"/>
      <c r="F219" s="13"/>
      <c r="G219" s="13"/>
      <c r="H219" s="46" t="s">
        <v>508</v>
      </c>
      <c r="I219" s="48">
        <v>18314.400000000001</v>
      </c>
      <c r="J219" s="49">
        <v>6.1000000000000004E-3</v>
      </c>
      <c r="K219" s="13"/>
      <c r="L219" s="13"/>
      <c r="M219" s="13"/>
      <c r="N219" s="13"/>
      <c r="O219" s="13"/>
      <c r="P219" s="13"/>
      <c r="Q219" s="13"/>
      <c r="R219" s="13"/>
      <c r="S219" s="13"/>
      <c r="T219" s="13"/>
      <c r="U219" s="13"/>
      <c r="V219" s="13"/>
      <c r="W219" s="13"/>
      <c r="X219" s="13"/>
      <c r="Y219" s="13"/>
    </row>
    <row r="220" spans="1:25">
      <c r="A220" s="13"/>
      <c r="B220" s="46" t="s">
        <v>509</v>
      </c>
      <c r="C220" s="46">
        <v>259.44</v>
      </c>
      <c r="D220" s="49">
        <v>-1.49E-2</v>
      </c>
      <c r="E220" s="13"/>
      <c r="F220" s="13"/>
      <c r="G220" s="13"/>
      <c r="H220" s="46" t="s">
        <v>509</v>
      </c>
      <c r="I220" s="48">
        <v>18203.400000000001</v>
      </c>
      <c r="J220" s="49">
        <v>4.1000000000000003E-3</v>
      </c>
      <c r="K220" s="13"/>
      <c r="L220" s="13"/>
      <c r="M220" s="13"/>
      <c r="N220" s="13"/>
      <c r="O220" s="13"/>
      <c r="P220" s="13"/>
      <c r="Q220" s="13"/>
      <c r="R220" s="13"/>
      <c r="S220" s="13"/>
      <c r="T220" s="13"/>
      <c r="U220" s="13"/>
      <c r="V220" s="13"/>
      <c r="W220" s="13"/>
      <c r="X220" s="13"/>
      <c r="Y220" s="13"/>
    </row>
    <row r="221" spans="1:25">
      <c r="A221" s="13"/>
      <c r="B221" s="46" t="s">
        <v>510</v>
      </c>
      <c r="C221" s="46">
        <v>263.36</v>
      </c>
      <c r="D221" s="49">
        <v>1.41E-2</v>
      </c>
      <c r="E221" s="13"/>
      <c r="F221" s="13"/>
      <c r="G221" s="13"/>
      <c r="H221" s="46" t="s">
        <v>510</v>
      </c>
      <c r="I221" s="48">
        <v>18129.95</v>
      </c>
      <c r="J221" s="49">
        <v>-2.8E-3</v>
      </c>
      <c r="K221" s="13"/>
      <c r="L221" s="13"/>
      <c r="M221" s="13"/>
      <c r="N221" s="13"/>
      <c r="O221" s="13"/>
      <c r="P221" s="13"/>
      <c r="Q221" s="13"/>
      <c r="R221" s="13"/>
      <c r="S221" s="13"/>
      <c r="T221" s="13"/>
      <c r="U221" s="13"/>
      <c r="V221" s="13"/>
      <c r="W221" s="13"/>
      <c r="X221" s="13"/>
      <c r="Y221" s="13"/>
    </row>
    <row r="222" spans="1:25">
      <c r="A222" s="13"/>
      <c r="B222" s="46" t="s">
        <v>511</v>
      </c>
      <c r="C222" s="46">
        <v>259.69</v>
      </c>
      <c r="D222" s="49">
        <v>1.9E-3</v>
      </c>
      <c r="E222" s="13"/>
      <c r="F222" s="13"/>
      <c r="G222" s="13"/>
      <c r="H222" s="46" t="s">
        <v>511</v>
      </c>
      <c r="I222" s="48">
        <v>18181.75</v>
      </c>
      <c r="J222" s="49">
        <v>-5.7000000000000002E-3</v>
      </c>
      <c r="K222" s="13"/>
      <c r="L222" s="13"/>
      <c r="M222" s="13"/>
      <c r="N222" s="13"/>
      <c r="O222" s="13"/>
      <c r="P222" s="13"/>
      <c r="Q222" s="13"/>
      <c r="R222" s="13"/>
      <c r="S222" s="13"/>
      <c r="T222" s="13"/>
      <c r="U222" s="13"/>
      <c r="V222" s="13"/>
      <c r="W222" s="13"/>
      <c r="X222" s="13"/>
      <c r="Y222" s="13"/>
    </row>
    <row r="223" spans="1:25">
      <c r="A223" s="13"/>
      <c r="B223" s="46" t="s">
        <v>512</v>
      </c>
      <c r="C223" s="46">
        <v>259.2</v>
      </c>
      <c r="D223" s="49">
        <v>1.3100000000000001E-2</v>
      </c>
      <c r="E223" s="13"/>
      <c r="F223" s="13"/>
      <c r="G223" s="13"/>
      <c r="H223" s="46" t="s">
        <v>512</v>
      </c>
      <c r="I223" s="48">
        <v>18286.5</v>
      </c>
      <c r="J223" s="49">
        <v>-6.1000000000000004E-3</v>
      </c>
      <c r="K223" s="13"/>
      <c r="L223" s="13"/>
      <c r="M223" s="13"/>
      <c r="N223" s="13"/>
      <c r="O223" s="13"/>
      <c r="P223" s="13"/>
      <c r="Q223" s="13"/>
      <c r="R223" s="13"/>
      <c r="S223" s="13"/>
      <c r="T223" s="13"/>
      <c r="U223" s="13"/>
      <c r="V223" s="13"/>
      <c r="W223" s="13"/>
      <c r="X223" s="13"/>
      <c r="Y223" s="13"/>
    </row>
    <row r="224" spans="1:25">
      <c r="A224" s="13"/>
      <c r="B224" s="46" t="s">
        <v>513</v>
      </c>
      <c r="C224" s="46">
        <v>255.85</v>
      </c>
      <c r="D224" s="49">
        <v>1.5E-3</v>
      </c>
      <c r="E224" s="13"/>
      <c r="F224" s="13"/>
      <c r="G224" s="13"/>
      <c r="H224" s="46" t="s">
        <v>513</v>
      </c>
      <c r="I224" s="48">
        <v>18398.849999999999</v>
      </c>
      <c r="J224" s="49">
        <v>4.5999999999999999E-3</v>
      </c>
      <c r="K224" s="13"/>
      <c r="L224" s="13"/>
      <c r="M224" s="13"/>
      <c r="N224" s="13"/>
      <c r="O224" s="13"/>
      <c r="P224" s="13"/>
      <c r="Q224" s="13"/>
      <c r="R224" s="13"/>
      <c r="S224" s="13"/>
      <c r="T224" s="13"/>
      <c r="U224" s="13"/>
      <c r="V224" s="13"/>
      <c r="W224" s="13"/>
      <c r="X224" s="13"/>
      <c r="Y224" s="13"/>
    </row>
    <row r="225" spans="1:25">
      <c r="A225" s="13"/>
      <c r="B225" s="47">
        <v>45265</v>
      </c>
      <c r="C225" s="46">
        <v>255.46</v>
      </c>
      <c r="D225" s="49">
        <v>-1.89E-2</v>
      </c>
      <c r="E225" s="13"/>
      <c r="F225" s="13"/>
      <c r="G225" s="13"/>
      <c r="H225" s="47">
        <v>45265</v>
      </c>
      <c r="I225" s="48">
        <v>18314.8</v>
      </c>
      <c r="J225" s="49">
        <v>1E-3</v>
      </c>
      <c r="K225" s="13"/>
      <c r="L225" s="13"/>
      <c r="M225" s="13"/>
      <c r="N225" s="13"/>
      <c r="O225" s="13"/>
      <c r="P225" s="13"/>
      <c r="Q225" s="13"/>
      <c r="R225" s="13"/>
      <c r="S225" s="13"/>
      <c r="T225" s="13"/>
      <c r="U225" s="13"/>
      <c r="V225" s="13"/>
      <c r="W225" s="13"/>
      <c r="X225" s="13"/>
      <c r="Y225" s="13"/>
    </row>
    <row r="226" spans="1:25">
      <c r="A226" s="13"/>
      <c r="B226" s="47">
        <v>45235</v>
      </c>
      <c r="C226" s="46">
        <v>260.37</v>
      </c>
      <c r="D226" s="49">
        <v>-2.8E-3</v>
      </c>
      <c r="E226" s="13"/>
      <c r="F226" s="13"/>
      <c r="G226" s="13"/>
      <c r="H226" s="47">
        <v>45235</v>
      </c>
      <c r="I226" s="48">
        <v>18297</v>
      </c>
      <c r="J226" s="49">
        <v>-1E-3</v>
      </c>
      <c r="K226" s="13"/>
      <c r="L226" s="13"/>
      <c r="M226" s="13"/>
      <c r="N226" s="13"/>
      <c r="O226" s="13"/>
      <c r="P226" s="13"/>
      <c r="Q226" s="13"/>
      <c r="R226" s="13"/>
      <c r="S226" s="13"/>
      <c r="T226" s="13"/>
      <c r="U226" s="13"/>
      <c r="V226" s="13"/>
      <c r="W226" s="13"/>
      <c r="X226" s="13"/>
      <c r="Y226" s="13"/>
    </row>
    <row r="227" spans="1:25">
      <c r="A227" s="13"/>
      <c r="B227" s="47">
        <v>45204</v>
      </c>
      <c r="C227" s="46">
        <v>261.11</v>
      </c>
      <c r="D227" s="49">
        <v>1.0699999999999999E-2</v>
      </c>
      <c r="E227" s="13"/>
      <c r="F227" s="13"/>
      <c r="G227" s="13"/>
      <c r="H227" s="47">
        <v>45204</v>
      </c>
      <c r="I227" s="48">
        <v>18315.099999999999</v>
      </c>
      <c r="J227" s="49">
        <v>2.7000000000000001E-3</v>
      </c>
      <c r="K227" s="13"/>
      <c r="L227" s="13"/>
      <c r="M227" s="13"/>
      <c r="N227" s="13"/>
      <c r="O227" s="13"/>
      <c r="P227" s="13"/>
      <c r="Q227" s="13"/>
      <c r="R227" s="13"/>
      <c r="S227" s="13"/>
      <c r="T227" s="13"/>
      <c r="U227" s="13"/>
      <c r="V227" s="13"/>
      <c r="W227" s="13"/>
      <c r="X227" s="13"/>
      <c r="Y227" s="13"/>
    </row>
    <row r="228" spans="1:25">
      <c r="A228" s="13"/>
      <c r="B228" s="47">
        <v>45174</v>
      </c>
      <c r="C228" s="46">
        <v>258.33999999999997</v>
      </c>
      <c r="D228" s="49">
        <v>-2.0500000000000001E-2</v>
      </c>
      <c r="E228" s="13"/>
      <c r="F228" s="13"/>
      <c r="G228" s="13"/>
      <c r="H228" s="47">
        <v>45174</v>
      </c>
      <c r="I228" s="48">
        <v>18265.95</v>
      </c>
      <c r="J228" s="49">
        <v>1E-4</v>
      </c>
      <c r="K228" s="13"/>
      <c r="L228" s="13"/>
      <c r="M228" s="13"/>
      <c r="N228" s="13"/>
      <c r="O228" s="13"/>
      <c r="P228" s="13"/>
      <c r="Q228" s="13"/>
      <c r="R228" s="13"/>
      <c r="S228" s="13"/>
      <c r="T228" s="13"/>
      <c r="U228" s="13"/>
      <c r="V228" s="13"/>
      <c r="W228" s="13"/>
      <c r="X228" s="13"/>
      <c r="Y228" s="13"/>
    </row>
    <row r="229" spans="1:25">
      <c r="A229" s="13"/>
      <c r="B229" s="47">
        <v>45143</v>
      </c>
      <c r="C229" s="46">
        <v>263.75</v>
      </c>
      <c r="D229" s="49">
        <v>1.34E-2</v>
      </c>
      <c r="E229" s="13"/>
      <c r="F229" s="13"/>
      <c r="G229" s="13"/>
      <c r="H229" s="47">
        <v>45143</v>
      </c>
      <c r="I229" s="48">
        <v>18264.400000000001</v>
      </c>
      <c r="J229" s="49">
        <v>1.0800000000000001E-2</v>
      </c>
      <c r="K229" s="13"/>
      <c r="L229" s="13"/>
      <c r="M229" s="13"/>
      <c r="N229" s="13"/>
      <c r="O229" s="13"/>
      <c r="P229" s="13"/>
      <c r="Q229" s="13"/>
      <c r="R229" s="13"/>
      <c r="S229" s="13"/>
      <c r="T229" s="13"/>
      <c r="U229" s="13"/>
      <c r="V229" s="13"/>
      <c r="W229" s="13"/>
      <c r="X229" s="13"/>
      <c r="Y229" s="13"/>
    </row>
    <row r="230" spans="1:25">
      <c r="A230" s="13"/>
      <c r="B230" s="47">
        <v>45051</v>
      </c>
      <c r="C230" s="46">
        <v>260.25</v>
      </c>
      <c r="D230" s="49">
        <v>-9.2999999999999992E-3</v>
      </c>
      <c r="E230" s="13"/>
      <c r="F230" s="13"/>
      <c r="G230" s="13"/>
      <c r="H230" s="47">
        <v>45051</v>
      </c>
      <c r="I230" s="48">
        <v>18069</v>
      </c>
      <c r="J230" s="49">
        <v>-1.0200000000000001E-2</v>
      </c>
      <c r="K230" s="13"/>
      <c r="L230" s="13"/>
      <c r="M230" s="13"/>
      <c r="N230" s="13"/>
      <c r="O230" s="13"/>
      <c r="P230" s="13"/>
      <c r="Q230" s="13"/>
      <c r="R230" s="13"/>
      <c r="S230" s="13"/>
      <c r="T230" s="13"/>
      <c r="U230" s="13"/>
      <c r="V230" s="13"/>
      <c r="W230" s="13"/>
      <c r="X230" s="13"/>
      <c r="Y230" s="13"/>
    </row>
    <row r="231" spans="1:25">
      <c r="A231" s="13"/>
      <c r="B231" s="47">
        <v>45021</v>
      </c>
      <c r="C231" s="46">
        <v>262.69</v>
      </c>
      <c r="D231" s="49">
        <v>4.1999999999999997E-3</v>
      </c>
      <c r="E231" s="13"/>
      <c r="F231" s="13"/>
      <c r="G231" s="13"/>
      <c r="H231" s="47">
        <v>45021</v>
      </c>
      <c r="I231" s="48">
        <v>18255.8</v>
      </c>
      <c r="J231" s="49">
        <v>9.1999999999999998E-3</v>
      </c>
      <c r="K231" s="13"/>
      <c r="L231" s="13"/>
      <c r="M231" s="13"/>
      <c r="N231" s="13"/>
      <c r="O231" s="13"/>
      <c r="P231" s="13"/>
      <c r="Q231" s="13"/>
      <c r="R231" s="13"/>
      <c r="S231" s="13"/>
      <c r="T231" s="13"/>
      <c r="U231" s="13"/>
      <c r="V231" s="13"/>
      <c r="W231" s="13"/>
      <c r="X231" s="13"/>
      <c r="Y231" s="13"/>
    </row>
    <row r="232" spans="1:25">
      <c r="A232" s="13"/>
      <c r="B232" s="47">
        <v>44990</v>
      </c>
      <c r="C232" s="46">
        <v>261.58999999999997</v>
      </c>
      <c r="D232" s="49">
        <v>5.2600000000000001E-2</v>
      </c>
      <c r="E232" s="13"/>
      <c r="F232" s="13"/>
      <c r="G232" s="13"/>
      <c r="H232" s="47">
        <v>44990</v>
      </c>
      <c r="I232" s="48">
        <v>18089.849999999999</v>
      </c>
      <c r="J232" s="49">
        <v>-3.2000000000000002E-3</v>
      </c>
      <c r="K232" s="13"/>
      <c r="L232" s="13"/>
      <c r="M232" s="13"/>
      <c r="N232" s="13"/>
      <c r="O232" s="13"/>
      <c r="P232" s="13"/>
      <c r="Q232" s="13"/>
      <c r="R232" s="13"/>
      <c r="S232" s="13"/>
      <c r="T232" s="13"/>
      <c r="U232" s="13"/>
      <c r="V232" s="13"/>
      <c r="W232" s="13"/>
      <c r="X232" s="13"/>
      <c r="Y232" s="13"/>
    </row>
    <row r="233" spans="1:25">
      <c r="A233" s="13"/>
      <c r="B233" s="47">
        <v>44962</v>
      </c>
      <c r="C233" s="46">
        <v>248.51</v>
      </c>
      <c r="D233" s="49">
        <v>4.1200000000000001E-2</v>
      </c>
      <c r="E233" s="13"/>
      <c r="F233" s="13"/>
      <c r="G233" s="13"/>
      <c r="H233" s="47">
        <v>44962</v>
      </c>
      <c r="I233" s="48">
        <v>18147.650000000001</v>
      </c>
      <c r="J233" s="49">
        <v>4.5999999999999999E-3</v>
      </c>
      <c r="K233" s="13"/>
      <c r="L233" s="13"/>
      <c r="M233" s="13"/>
      <c r="N233" s="13"/>
      <c r="O233" s="13"/>
      <c r="P233" s="13"/>
      <c r="Q233" s="13"/>
      <c r="R233" s="13"/>
      <c r="S233" s="13"/>
      <c r="T233" s="13"/>
      <c r="U233" s="13"/>
      <c r="V233" s="13"/>
      <c r="W233" s="13"/>
      <c r="X233" s="13"/>
      <c r="Y233" s="13"/>
    </row>
    <row r="234" spans="1:25">
      <c r="A234" s="13"/>
      <c r="B234" s="46" t="s">
        <v>514</v>
      </c>
      <c r="C234" s="46">
        <v>238.68</v>
      </c>
      <c r="D234" s="49">
        <v>1.38E-2</v>
      </c>
      <c r="E234" s="13"/>
      <c r="F234" s="13"/>
      <c r="G234" s="13"/>
      <c r="H234" s="46" t="s">
        <v>514</v>
      </c>
      <c r="I234" s="48">
        <v>18065</v>
      </c>
      <c r="J234" s="49">
        <v>8.3999999999999995E-3</v>
      </c>
      <c r="K234" s="13"/>
      <c r="L234" s="13"/>
      <c r="M234" s="13"/>
      <c r="N234" s="13"/>
      <c r="O234" s="13"/>
      <c r="P234" s="13"/>
      <c r="Q234" s="13"/>
      <c r="R234" s="13"/>
      <c r="S234" s="13"/>
      <c r="T234" s="13"/>
      <c r="U234" s="13"/>
      <c r="V234" s="13"/>
      <c r="W234" s="13"/>
      <c r="X234" s="13"/>
      <c r="Y234" s="13"/>
    </row>
    <row r="235" spans="1:25">
      <c r="A235" s="13"/>
      <c r="B235" s="46" t="s">
        <v>515</v>
      </c>
      <c r="C235" s="46">
        <v>235.44</v>
      </c>
      <c r="D235" s="49">
        <v>8.9999999999999998E-4</v>
      </c>
      <c r="E235" s="13"/>
      <c r="F235" s="13"/>
      <c r="G235" s="13"/>
      <c r="H235" s="46" t="s">
        <v>515</v>
      </c>
      <c r="I235" s="48">
        <v>17915.05</v>
      </c>
      <c r="J235" s="49">
        <v>5.7000000000000002E-3</v>
      </c>
      <c r="K235" s="13"/>
      <c r="L235" s="13"/>
      <c r="M235" s="13"/>
      <c r="N235" s="13"/>
      <c r="O235" s="13"/>
      <c r="P235" s="13"/>
      <c r="Q235" s="13"/>
      <c r="R235" s="13"/>
      <c r="S235" s="13"/>
      <c r="T235" s="13"/>
      <c r="U235" s="13"/>
      <c r="V235" s="13"/>
      <c r="W235" s="13"/>
      <c r="X235" s="13"/>
      <c r="Y235" s="13"/>
    </row>
    <row r="236" spans="1:25">
      <c r="A236" s="13"/>
      <c r="B236" s="46" t="s">
        <v>516</v>
      </c>
      <c r="C236" s="46">
        <v>235.24</v>
      </c>
      <c r="D236" s="49">
        <v>-1.12E-2</v>
      </c>
      <c r="E236" s="13"/>
      <c r="F236" s="13"/>
      <c r="G236" s="13"/>
      <c r="H236" s="46" t="s">
        <v>516</v>
      </c>
      <c r="I236" s="48">
        <v>17813.599999999999</v>
      </c>
      <c r="J236" s="49">
        <v>2.5000000000000001E-3</v>
      </c>
      <c r="K236" s="13"/>
      <c r="L236" s="13"/>
      <c r="M236" s="13"/>
      <c r="N236" s="13"/>
      <c r="O236" s="13"/>
      <c r="P236" s="13"/>
      <c r="Q236" s="13"/>
      <c r="R236" s="13"/>
      <c r="S236" s="13"/>
      <c r="T236" s="13"/>
      <c r="U236" s="13"/>
      <c r="V236" s="13"/>
      <c r="W236" s="13"/>
      <c r="X236" s="13"/>
      <c r="Y236" s="13"/>
    </row>
    <row r="237" spans="1:25">
      <c r="A237" s="13"/>
      <c r="B237" s="46" t="s">
        <v>517</v>
      </c>
      <c r="C237" s="46">
        <v>237.91</v>
      </c>
      <c r="D237" s="49">
        <v>-3.0000000000000001E-3</v>
      </c>
      <c r="E237" s="13"/>
      <c r="F237" s="13"/>
      <c r="G237" s="13"/>
      <c r="H237" s="46" t="s">
        <v>517</v>
      </c>
      <c r="I237" s="48">
        <v>17769.25</v>
      </c>
      <c r="J237" s="49">
        <v>1.5E-3</v>
      </c>
      <c r="K237" s="13"/>
      <c r="L237" s="13"/>
      <c r="M237" s="13"/>
      <c r="N237" s="13"/>
      <c r="O237" s="13"/>
      <c r="P237" s="13"/>
      <c r="Q237" s="13"/>
      <c r="R237" s="13"/>
      <c r="S237" s="13"/>
      <c r="T237" s="13"/>
      <c r="U237" s="13"/>
      <c r="V237" s="13"/>
      <c r="W237" s="13"/>
      <c r="X237" s="13"/>
      <c r="Y237" s="13"/>
    </row>
    <row r="238" spans="1:25">
      <c r="A238" s="13"/>
      <c r="B238" s="46" t="s">
        <v>518</v>
      </c>
      <c r="C238" s="46">
        <v>238.63</v>
      </c>
      <c r="D238" s="49">
        <v>-4.8999999999999998E-3</v>
      </c>
      <c r="E238" s="13"/>
      <c r="F238" s="13"/>
      <c r="G238" s="13"/>
      <c r="H238" s="46" t="s">
        <v>518</v>
      </c>
      <c r="I238" s="48">
        <v>17743.400000000001</v>
      </c>
      <c r="J238" s="49">
        <v>6.7999999999999996E-3</v>
      </c>
      <c r="K238" s="13"/>
      <c r="L238" s="13"/>
      <c r="M238" s="13"/>
      <c r="N238" s="13"/>
      <c r="O238" s="13"/>
      <c r="P238" s="13"/>
      <c r="Q238" s="13"/>
      <c r="R238" s="13"/>
      <c r="S238" s="13"/>
      <c r="T238" s="13"/>
      <c r="U238" s="13"/>
      <c r="V238" s="13"/>
      <c r="W238" s="13"/>
      <c r="X238" s="13"/>
      <c r="Y238" s="13"/>
    </row>
    <row r="239" spans="1:25">
      <c r="A239" s="13"/>
      <c r="B239" s="46" t="s">
        <v>519</v>
      </c>
      <c r="C239" s="46">
        <v>239.81</v>
      </c>
      <c r="D239" s="49">
        <v>4.4000000000000003E-3</v>
      </c>
      <c r="E239" s="13"/>
      <c r="F239" s="13"/>
      <c r="G239" s="13"/>
      <c r="H239" s="46" t="s">
        <v>519</v>
      </c>
      <c r="I239" s="48">
        <v>17624.05</v>
      </c>
      <c r="J239" s="49">
        <v>0</v>
      </c>
      <c r="K239" s="13"/>
      <c r="L239" s="13"/>
      <c r="M239" s="13"/>
      <c r="N239" s="13"/>
      <c r="O239" s="13"/>
      <c r="P239" s="13"/>
      <c r="Q239" s="13"/>
      <c r="R239" s="13"/>
      <c r="S239" s="13"/>
      <c r="T239" s="13"/>
      <c r="U239" s="13"/>
      <c r="V239" s="13"/>
      <c r="W239" s="13"/>
      <c r="X239" s="13"/>
      <c r="Y239" s="13"/>
    </row>
    <row r="240" spans="1:25">
      <c r="A240" s="13"/>
      <c r="B240" s="46" t="s">
        <v>520</v>
      </c>
      <c r="C240" s="46">
        <v>238.76</v>
      </c>
      <c r="D240" s="49">
        <v>2.1999999999999999E-2</v>
      </c>
      <c r="E240" s="13"/>
      <c r="F240" s="13"/>
      <c r="G240" s="13"/>
      <c r="H240" s="46" t="s">
        <v>520</v>
      </c>
      <c r="I240" s="48">
        <v>17624.45</v>
      </c>
      <c r="J240" s="49">
        <v>2.9999999999999997E-4</v>
      </c>
      <c r="K240" s="13"/>
      <c r="L240" s="13"/>
      <c r="M240" s="13"/>
      <c r="N240" s="13"/>
      <c r="O240" s="13"/>
      <c r="P240" s="13"/>
      <c r="Q240" s="13"/>
      <c r="R240" s="13"/>
      <c r="S240" s="13"/>
      <c r="T240" s="13"/>
      <c r="U240" s="13"/>
      <c r="V240" s="13"/>
      <c r="W240" s="13"/>
      <c r="X240" s="13"/>
      <c r="Y240" s="13"/>
    </row>
    <row r="241" spans="1:25">
      <c r="A241" s="13"/>
      <c r="B241" s="46" t="s">
        <v>521</v>
      </c>
      <c r="C241" s="46">
        <v>233.62</v>
      </c>
      <c r="D241" s="49">
        <v>-1.26E-2</v>
      </c>
      <c r="E241" s="13"/>
      <c r="F241" s="13"/>
      <c r="G241" s="13"/>
      <c r="H241" s="46" t="s">
        <v>521</v>
      </c>
      <c r="I241" s="48">
        <v>17618.75</v>
      </c>
      <c r="J241" s="49">
        <v>-2.3E-3</v>
      </c>
      <c r="K241" s="13"/>
      <c r="L241" s="13"/>
      <c r="M241" s="13"/>
      <c r="N241" s="13"/>
      <c r="O241" s="13"/>
      <c r="P241" s="13"/>
      <c r="Q241" s="13"/>
      <c r="R241" s="13"/>
      <c r="S241" s="13"/>
      <c r="T241" s="13"/>
      <c r="U241" s="13"/>
      <c r="V241" s="13"/>
      <c r="W241" s="13"/>
      <c r="X241" s="13"/>
      <c r="Y241" s="13"/>
    </row>
    <row r="242" spans="1:25">
      <c r="A242" s="13"/>
      <c r="B242" s="46" t="s">
        <v>522</v>
      </c>
      <c r="C242" s="46">
        <v>236.59</v>
      </c>
      <c r="D242" s="49">
        <v>-1.6999999999999999E-3</v>
      </c>
      <c r="E242" s="13"/>
      <c r="F242" s="13"/>
      <c r="G242" s="13"/>
      <c r="H242" s="46" t="s">
        <v>522</v>
      </c>
      <c r="I242" s="48">
        <v>17660.150000000001</v>
      </c>
      <c r="J242" s="49">
        <v>-2.5999999999999999E-3</v>
      </c>
      <c r="K242" s="13"/>
      <c r="L242" s="13"/>
      <c r="M242" s="13"/>
      <c r="N242" s="13"/>
      <c r="O242" s="13"/>
      <c r="P242" s="13"/>
      <c r="Q242" s="13"/>
      <c r="R242" s="13"/>
      <c r="S242" s="13"/>
      <c r="T242" s="13"/>
      <c r="U242" s="13"/>
      <c r="V242" s="13"/>
      <c r="W242" s="13"/>
      <c r="X242" s="13"/>
      <c r="Y242" s="13"/>
    </row>
    <row r="243" spans="1:25">
      <c r="A243" s="13"/>
      <c r="B243" s="46" t="s">
        <v>523</v>
      </c>
      <c r="C243" s="46">
        <v>236.99</v>
      </c>
      <c r="D243" s="49">
        <v>-6.1000000000000004E-3</v>
      </c>
      <c r="E243" s="13"/>
      <c r="F243" s="13"/>
      <c r="G243" s="13"/>
      <c r="H243" s="46" t="s">
        <v>523</v>
      </c>
      <c r="I243" s="48">
        <v>17706.849999999999</v>
      </c>
      <c r="J243" s="49">
        <v>-6.7999999999999996E-3</v>
      </c>
      <c r="K243" s="13"/>
      <c r="L243" s="13"/>
      <c r="M243" s="13"/>
      <c r="N243" s="13"/>
      <c r="O243" s="13"/>
      <c r="P243" s="13"/>
      <c r="Q243" s="13"/>
      <c r="R243" s="13"/>
      <c r="S243" s="13"/>
      <c r="T243" s="13"/>
      <c r="U243" s="13"/>
      <c r="V243" s="13"/>
      <c r="W243" s="13"/>
      <c r="X243" s="13"/>
      <c r="Y243" s="13"/>
    </row>
    <row r="244" spans="1:25">
      <c r="A244" s="13"/>
      <c r="B244" s="46" t="s">
        <v>524</v>
      </c>
      <c r="C244" s="46">
        <v>238.44</v>
      </c>
      <c r="D244" s="49">
        <v>4.4999999999999997E-3</v>
      </c>
      <c r="E244" s="13"/>
      <c r="F244" s="13"/>
      <c r="G244" s="13"/>
      <c r="H244" s="46" t="s">
        <v>524</v>
      </c>
      <c r="I244" s="48">
        <v>17828</v>
      </c>
      <c r="J244" s="49">
        <v>8.9999999999999998E-4</v>
      </c>
      <c r="K244" s="13"/>
      <c r="L244" s="13"/>
      <c r="M244" s="13"/>
      <c r="N244" s="13"/>
      <c r="O244" s="13"/>
      <c r="P244" s="13"/>
      <c r="Q244" s="13"/>
      <c r="R244" s="13"/>
      <c r="S244" s="13"/>
      <c r="T244" s="13"/>
      <c r="U244" s="13"/>
      <c r="V244" s="13"/>
      <c r="W244" s="13"/>
      <c r="X244" s="13"/>
      <c r="Y244" s="13"/>
    </row>
    <row r="245" spans="1:25">
      <c r="A245" s="13"/>
      <c r="B245" s="47">
        <v>45264</v>
      </c>
      <c r="C245" s="46">
        <v>237.38</v>
      </c>
      <c r="D245" s="49">
        <v>-1.0800000000000001E-2</v>
      </c>
      <c r="E245" s="13"/>
      <c r="F245" s="13"/>
      <c r="G245" s="13"/>
      <c r="H245" s="47">
        <v>45264</v>
      </c>
      <c r="I245" s="48">
        <v>17812.400000000001</v>
      </c>
      <c r="J245" s="49">
        <v>5.1000000000000004E-3</v>
      </c>
      <c r="K245" s="13"/>
      <c r="L245" s="13"/>
      <c r="M245" s="13"/>
      <c r="N245" s="13"/>
      <c r="O245" s="13"/>
      <c r="P245" s="13"/>
      <c r="Q245" s="13"/>
      <c r="R245" s="13"/>
      <c r="S245" s="13"/>
      <c r="T245" s="13"/>
      <c r="U245" s="13"/>
      <c r="V245" s="13"/>
      <c r="W245" s="13"/>
      <c r="X245" s="13"/>
      <c r="Y245" s="13"/>
    </row>
    <row r="246" spans="1:25">
      <c r="A246" s="13"/>
      <c r="B246" s="47">
        <v>45234</v>
      </c>
      <c r="C246" s="46">
        <v>239.96</v>
      </c>
      <c r="D246" s="49">
        <v>4.5999999999999999E-3</v>
      </c>
      <c r="E246" s="13"/>
      <c r="F246" s="13"/>
      <c r="G246" s="13"/>
      <c r="H246" s="47">
        <v>45234</v>
      </c>
      <c r="I246" s="48">
        <v>17722.3</v>
      </c>
      <c r="J246" s="49">
        <v>5.5999999999999999E-3</v>
      </c>
      <c r="K246" s="13"/>
      <c r="L246" s="13"/>
      <c r="M246" s="13"/>
      <c r="N246" s="13"/>
      <c r="O246" s="13"/>
      <c r="P246" s="13"/>
      <c r="Q246" s="13"/>
      <c r="R246" s="13"/>
      <c r="S246" s="13"/>
      <c r="T246" s="13"/>
      <c r="U246" s="13"/>
      <c r="V246" s="13"/>
      <c r="W246" s="13"/>
      <c r="X246" s="13"/>
      <c r="Y246" s="13"/>
    </row>
    <row r="247" spans="1:25">
      <c r="A247" s="13"/>
      <c r="B247" s="47">
        <v>45203</v>
      </c>
      <c r="C247" s="46">
        <v>238.87</v>
      </c>
      <c r="D247" s="49">
        <v>-1.8599999999999998E-2</v>
      </c>
      <c r="E247" s="13"/>
      <c r="F247" s="13"/>
      <c r="G247" s="13"/>
      <c r="H247" s="47">
        <v>45203</v>
      </c>
      <c r="I247" s="48">
        <v>17624.05</v>
      </c>
      <c r="J247" s="49">
        <v>1.4E-3</v>
      </c>
      <c r="K247" s="13"/>
      <c r="L247" s="13"/>
      <c r="M247" s="13"/>
      <c r="N247" s="13"/>
      <c r="O247" s="13"/>
      <c r="P247" s="13"/>
      <c r="Q247" s="13"/>
      <c r="R247" s="13"/>
      <c r="S247" s="13"/>
      <c r="T247" s="13"/>
      <c r="U247" s="13"/>
      <c r="V247" s="13"/>
      <c r="W247" s="13"/>
      <c r="X247" s="13"/>
      <c r="Y247" s="13"/>
    </row>
    <row r="248" spans="1:25">
      <c r="A248" s="13"/>
      <c r="B248" s="47">
        <v>45081</v>
      </c>
      <c r="C248" s="46">
        <v>243.39</v>
      </c>
      <c r="D248" s="49">
        <v>1.32E-2</v>
      </c>
      <c r="E248" s="13"/>
      <c r="F248" s="13"/>
      <c r="G248" s="13"/>
      <c r="H248" s="47">
        <v>45081</v>
      </c>
      <c r="I248" s="48">
        <v>17599.150000000001</v>
      </c>
      <c r="J248" s="49">
        <v>2.3999999999999998E-3</v>
      </c>
      <c r="K248" s="13"/>
      <c r="L248" s="13"/>
      <c r="M248" s="13"/>
      <c r="N248" s="13"/>
      <c r="O248" s="13"/>
      <c r="P248" s="13"/>
      <c r="Q248" s="13"/>
      <c r="R248" s="13"/>
      <c r="S248" s="13"/>
      <c r="T248" s="13"/>
      <c r="U248" s="13"/>
      <c r="V248" s="13"/>
      <c r="W248" s="13"/>
      <c r="X248" s="13"/>
      <c r="Y248" s="13"/>
    </row>
    <row r="249" spans="1:25">
      <c r="A249" s="13"/>
      <c r="B249" s="47">
        <v>45050</v>
      </c>
      <c r="C249" s="46">
        <v>240.22</v>
      </c>
      <c r="D249" s="49">
        <v>-2.3E-3</v>
      </c>
      <c r="E249" s="13"/>
      <c r="F249" s="13"/>
      <c r="G249" s="13"/>
      <c r="H249" s="47">
        <v>45050</v>
      </c>
      <c r="I249" s="48">
        <v>17557.05</v>
      </c>
      <c r="J249" s="49">
        <v>9.1000000000000004E-3</v>
      </c>
      <c r="K249" s="13"/>
      <c r="L249" s="13"/>
      <c r="M249" s="13"/>
      <c r="N249" s="13"/>
      <c r="O249" s="13"/>
      <c r="P249" s="13"/>
      <c r="Q249" s="13"/>
      <c r="R249" s="13"/>
      <c r="S249" s="13"/>
      <c r="T249" s="13"/>
      <c r="U249" s="13"/>
      <c r="V249" s="13"/>
      <c r="W249" s="13"/>
      <c r="X249" s="13"/>
      <c r="Y249" s="13"/>
    </row>
    <row r="250" spans="1:25">
      <c r="A250" s="13"/>
      <c r="B250" s="47">
        <v>44989</v>
      </c>
      <c r="C250" s="46">
        <v>240.78</v>
      </c>
      <c r="D250" s="49">
        <v>-1.17E-2</v>
      </c>
      <c r="E250" s="13"/>
      <c r="F250" s="13"/>
      <c r="G250" s="13"/>
      <c r="H250" s="47">
        <v>44989</v>
      </c>
      <c r="I250" s="48">
        <v>17398.05</v>
      </c>
      <c r="J250" s="49">
        <v>2.2000000000000001E-3</v>
      </c>
      <c r="K250" s="13"/>
      <c r="L250" s="13"/>
      <c r="M250" s="13"/>
      <c r="N250" s="13"/>
      <c r="O250" s="13"/>
      <c r="P250" s="13"/>
      <c r="Q250" s="13"/>
      <c r="R250" s="13"/>
      <c r="S250" s="13"/>
      <c r="T250" s="13"/>
      <c r="U250" s="13"/>
      <c r="V250" s="13"/>
      <c r="W250" s="13"/>
      <c r="X250" s="13"/>
      <c r="Y250" s="13"/>
    </row>
    <row r="251" spans="1:25">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row>
    <row r="252" spans="1:25">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row>
    <row r="253" spans="1:25">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row>
    <row r="254" spans="1:25">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row>
    <row r="255" spans="1:25">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row>
    <row r="256" spans="1:25">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row>
    <row r="257" spans="1:25">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row>
    <row r="258" spans="1:25">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row>
    <row r="259" spans="1:25">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row>
    <row r="260" spans="1:25">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row>
    <row r="261" spans="1:25">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row>
    <row r="262" spans="1:25">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row>
    <row r="263" spans="1:25">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row>
    <row r="264" spans="1:25">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row>
    <row r="265" spans="1:25">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row>
    <row r="266" spans="1:25">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row>
    <row r="267" spans="1:25">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row>
    <row r="268" spans="1:25">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row>
  </sheetData>
  <mergeCells count="3">
    <mergeCell ref="B3:D3"/>
    <mergeCell ref="Z3:AB3"/>
    <mergeCell ref="AX3:AZ3"/>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135C87-7000-4395-8975-CD9464003C4A}">
  <dimension ref="A1:BQ253"/>
  <sheetViews>
    <sheetView topLeftCell="AV1" workbookViewId="0">
      <selection activeCell="BI24" sqref="BI24"/>
    </sheetView>
  </sheetViews>
  <sheetFormatPr defaultRowHeight="15"/>
  <cols>
    <col min="2" max="2" width="12.7109375" customWidth="1"/>
    <col min="8" max="8" width="14.5703125" customWidth="1"/>
    <col min="9" max="9" width="12.5703125" customWidth="1"/>
    <col min="15" max="15" width="11.5703125" customWidth="1"/>
    <col min="16" max="16" width="12" customWidth="1"/>
    <col min="26" max="26" width="11.140625" customWidth="1"/>
    <col min="32" max="32" width="12.85546875" customWidth="1"/>
    <col min="49" max="49" width="13" customWidth="1"/>
    <col min="55" max="55" width="12.42578125" customWidth="1"/>
  </cols>
  <sheetData>
    <row r="1" spans="1:69">
      <c r="A1" s="13"/>
      <c r="B1" s="13"/>
      <c r="C1" s="13"/>
      <c r="D1" s="13"/>
      <c r="E1" s="13"/>
      <c r="F1" s="13"/>
      <c r="G1" s="13"/>
      <c r="H1" s="13"/>
      <c r="I1" s="13"/>
      <c r="J1" s="13"/>
      <c r="K1" s="13"/>
      <c r="L1" s="13"/>
      <c r="M1" s="13"/>
      <c r="N1" s="13"/>
      <c r="O1" s="13"/>
      <c r="P1" s="13"/>
      <c r="Q1" s="13"/>
      <c r="R1" s="13"/>
      <c r="S1" s="13"/>
      <c r="T1" s="13"/>
      <c r="U1" s="13"/>
    </row>
    <row r="2" spans="1:69">
      <c r="A2" s="58" t="s">
        <v>125</v>
      </c>
      <c r="B2" s="51" t="s">
        <v>344</v>
      </c>
      <c r="C2" s="13"/>
      <c r="D2" s="13"/>
      <c r="E2" s="13"/>
      <c r="F2" s="13"/>
      <c r="G2" s="13"/>
      <c r="H2" s="13"/>
      <c r="I2" s="13"/>
      <c r="J2" s="13"/>
      <c r="K2" s="13"/>
      <c r="L2" s="13"/>
      <c r="M2" s="13"/>
      <c r="N2" s="13"/>
      <c r="O2" s="13"/>
      <c r="P2" s="13"/>
      <c r="Q2" s="13"/>
      <c r="R2" s="13"/>
      <c r="S2" s="13"/>
      <c r="T2" s="13"/>
      <c r="U2" s="13"/>
      <c r="Y2" s="59" t="s">
        <v>127</v>
      </c>
      <c r="Z2" s="60" t="s">
        <v>345</v>
      </c>
      <c r="AV2" s="59" t="s">
        <v>129</v>
      </c>
      <c r="AW2" s="60" t="s">
        <v>130</v>
      </c>
    </row>
    <row r="3" spans="1:69" ht="18.75">
      <c r="A3" s="13"/>
      <c r="B3" s="111" t="s">
        <v>131</v>
      </c>
      <c r="C3" s="111"/>
      <c r="D3" s="111"/>
      <c r="E3" s="13"/>
      <c r="F3" s="13"/>
      <c r="G3" s="13"/>
      <c r="H3" s="13"/>
      <c r="I3" s="96" t="s">
        <v>132</v>
      </c>
      <c r="J3" s="40"/>
      <c r="K3" s="13"/>
      <c r="L3" s="13"/>
      <c r="M3" s="13"/>
      <c r="N3" s="13"/>
      <c r="O3" s="13"/>
      <c r="P3" s="13"/>
      <c r="Q3" s="13"/>
      <c r="R3" s="13"/>
      <c r="S3" s="13"/>
      <c r="T3" s="13"/>
      <c r="U3" s="13"/>
      <c r="Z3" s="110" t="s">
        <v>131</v>
      </c>
      <c r="AA3" s="110"/>
      <c r="AB3" s="110"/>
      <c r="AC3" s="13"/>
      <c r="AD3" s="13"/>
      <c r="AE3" s="13"/>
      <c r="AF3" s="13"/>
      <c r="AG3" s="96" t="s">
        <v>132</v>
      </c>
      <c r="AH3" s="40"/>
      <c r="AI3" s="13"/>
      <c r="AJ3" s="13"/>
      <c r="AK3" s="13"/>
      <c r="AL3" s="13"/>
      <c r="AM3" s="13"/>
      <c r="AN3" s="13"/>
      <c r="AO3" s="13"/>
      <c r="AP3" s="13"/>
      <c r="AQ3" s="13"/>
      <c r="AR3" s="13"/>
      <c r="AS3" s="13"/>
      <c r="AW3" s="111" t="s">
        <v>131</v>
      </c>
      <c r="AX3" s="111"/>
      <c r="AY3" s="111"/>
      <c r="AZ3" s="13"/>
      <c r="BA3" s="13"/>
      <c r="BB3" s="13"/>
      <c r="BC3" s="13"/>
      <c r="BD3" s="96" t="s">
        <v>132</v>
      </c>
      <c r="BE3" s="40"/>
      <c r="BF3" s="13"/>
      <c r="BG3" s="13"/>
      <c r="BH3" s="13"/>
      <c r="BI3" s="13"/>
      <c r="BJ3" s="13"/>
      <c r="BK3" s="13"/>
      <c r="BL3" s="13"/>
      <c r="BM3" s="13"/>
      <c r="BN3" s="13"/>
      <c r="BO3" s="13"/>
      <c r="BP3" s="13"/>
      <c r="BQ3" s="13"/>
    </row>
    <row r="4" spans="1:69" ht="15.75">
      <c r="A4" s="13"/>
      <c r="B4" s="41" t="s">
        <v>133</v>
      </c>
      <c r="C4" s="41" t="s">
        <v>134</v>
      </c>
      <c r="D4" s="41" t="s">
        <v>135</v>
      </c>
      <c r="E4" s="13"/>
      <c r="F4" s="13"/>
      <c r="G4" s="13"/>
      <c r="H4" s="41" t="s">
        <v>133</v>
      </c>
      <c r="I4" s="41" t="s">
        <v>134</v>
      </c>
      <c r="J4" s="41" t="s">
        <v>136</v>
      </c>
      <c r="K4" s="13"/>
      <c r="L4" s="13"/>
      <c r="M4" s="13"/>
      <c r="N4" s="13"/>
      <c r="O4" s="13"/>
      <c r="P4" s="13"/>
      <c r="Q4" s="13"/>
      <c r="R4" s="13"/>
      <c r="S4" s="13"/>
      <c r="T4" s="13"/>
      <c r="U4" s="13"/>
      <c r="Z4" s="50" t="s">
        <v>133</v>
      </c>
      <c r="AA4" s="50" t="s">
        <v>134</v>
      </c>
      <c r="AB4" s="50" t="s">
        <v>135</v>
      </c>
      <c r="AC4" s="13"/>
      <c r="AD4" s="13"/>
      <c r="AE4" s="13"/>
      <c r="AF4" s="50" t="s">
        <v>133</v>
      </c>
      <c r="AG4" s="50" t="s">
        <v>134</v>
      </c>
      <c r="AH4" s="50" t="s">
        <v>136</v>
      </c>
      <c r="AI4" s="13"/>
      <c r="AJ4" s="13"/>
      <c r="AK4" s="13"/>
      <c r="AL4" s="13"/>
      <c r="AM4" s="13"/>
      <c r="AN4" s="13"/>
      <c r="AO4" s="13"/>
      <c r="AP4" s="13"/>
      <c r="AQ4" s="13"/>
      <c r="AR4" s="13"/>
      <c r="AS4" s="13"/>
      <c r="AW4" s="50" t="s">
        <v>133</v>
      </c>
      <c r="AX4" s="50" t="s">
        <v>134</v>
      </c>
      <c r="AY4" s="50" t="s">
        <v>135</v>
      </c>
      <c r="AZ4" s="13"/>
      <c r="BA4" s="13"/>
      <c r="BB4" s="13"/>
      <c r="BC4" s="50" t="s">
        <v>133</v>
      </c>
      <c r="BD4" s="50" t="s">
        <v>134</v>
      </c>
      <c r="BE4" s="50" t="s">
        <v>136</v>
      </c>
      <c r="BF4" s="13"/>
      <c r="BG4" s="13"/>
      <c r="BH4" s="13"/>
      <c r="BI4" s="13"/>
      <c r="BJ4" s="13"/>
      <c r="BK4" s="13"/>
      <c r="BL4" s="13"/>
      <c r="BM4" s="13"/>
      <c r="BN4" s="13"/>
      <c r="BO4" s="13"/>
      <c r="BP4" s="13"/>
      <c r="BQ4" s="13"/>
    </row>
    <row r="5" spans="1:69">
      <c r="A5" s="13"/>
      <c r="B5" s="46" t="s">
        <v>525</v>
      </c>
      <c r="C5" s="46">
        <v>243.62</v>
      </c>
      <c r="D5" s="49">
        <v>-8.9999999999999998E-4</v>
      </c>
      <c r="E5" s="13"/>
      <c r="F5" s="13"/>
      <c r="G5" s="13"/>
      <c r="H5" s="46" t="s">
        <v>525</v>
      </c>
      <c r="I5" s="48">
        <v>17359.75</v>
      </c>
      <c r="J5" s="49">
        <v>1.6299999999999999E-2</v>
      </c>
      <c r="K5" s="13"/>
      <c r="L5" s="13"/>
      <c r="M5" s="51" t="s">
        <v>137</v>
      </c>
      <c r="N5" s="42"/>
      <c r="O5" s="13"/>
      <c r="P5" s="13"/>
      <c r="Q5" s="13"/>
      <c r="R5" s="13"/>
      <c r="S5" s="13"/>
      <c r="T5" s="13"/>
      <c r="U5" s="13"/>
      <c r="Z5" s="46" t="s">
        <v>526</v>
      </c>
      <c r="AA5" s="46">
        <v>243.62</v>
      </c>
      <c r="AB5" s="49">
        <v>3.44E-2</v>
      </c>
      <c r="AC5" s="13"/>
      <c r="AD5" s="13"/>
      <c r="AE5" s="13"/>
      <c r="AF5" s="46" t="s">
        <v>526</v>
      </c>
      <c r="AG5" s="48">
        <v>17359.75</v>
      </c>
      <c r="AH5" s="49">
        <v>2.4500000000000001E-2</v>
      </c>
      <c r="AI5" s="13"/>
      <c r="AJ5" s="13"/>
      <c r="AK5" s="13" t="s">
        <v>137</v>
      </c>
      <c r="AL5" s="42"/>
      <c r="AM5" s="13"/>
      <c r="AN5" s="13"/>
      <c r="AO5" s="13"/>
      <c r="AP5" s="13"/>
      <c r="AQ5" s="13"/>
      <c r="AR5" s="13"/>
      <c r="AS5" s="13"/>
      <c r="AW5" s="47">
        <v>44930</v>
      </c>
      <c r="AX5" s="46">
        <v>238.68</v>
      </c>
      <c r="AY5" s="49">
        <v>-2.0299999999999999E-2</v>
      </c>
      <c r="AZ5" s="13"/>
      <c r="BA5" s="13"/>
      <c r="BB5" s="13"/>
      <c r="BC5" s="47">
        <v>44930</v>
      </c>
      <c r="BD5" s="48">
        <v>18065</v>
      </c>
      <c r="BE5" s="49">
        <v>4.0599999999999997E-2</v>
      </c>
      <c r="BF5" s="13"/>
      <c r="BG5" s="13"/>
      <c r="BH5" s="13" t="s">
        <v>137</v>
      </c>
      <c r="BI5" s="42"/>
      <c r="BJ5" s="13"/>
      <c r="BK5" s="13"/>
      <c r="BL5" s="13"/>
      <c r="BM5" s="13"/>
      <c r="BN5" s="13"/>
      <c r="BO5" s="13"/>
      <c r="BP5" s="13"/>
      <c r="BQ5" s="13"/>
    </row>
    <row r="6" spans="1:69">
      <c r="A6" s="13"/>
      <c r="B6" s="46" t="s">
        <v>527</v>
      </c>
      <c r="C6" s="46">
        <v>243.84</v>
      </c>
      <c r="D6" s="49">
        <v>5.0900000000000001E-2</v>
      </c>
      <c r="E6" s="13"/>
      <c r="F6" s="13"/>
      <c r="G6" s="13"/>
      <c r="H6" s="46" t="s">
        <v>527</v>
      </c>
      <c r="I6" s="48">
        <v>17080.7</v>
      </c>
      <c r="J6" s="49">
        <v>7.6E-3</v>
      </c>
      <c r="K6" s="13"/>
      <c r="L6" s="13"/>
      <c r="M6" s="13"/>
      <c r="N6" s="13"/>
      <c r="O6" s="13"/>
      <c r="P6" s="13"/>
      <c r="Q6" s="13"/>
      <c r="R6" s="13"/>
      <c r="S6" s="13"/>
      <c r="T6" s="13"/>
      <c r="U6" s="13"/>
      <c r="Z6" s="46" t="s">
        <v>528</v>
      </c>
      <c r="AA6" s="46">
        <v>235.52</v>
      </c>
      <c r="AB6" s="49">
        <v>-7.6E-3</v>
      </c>
      <c r="AC6" s="13"/>
      <c r="AD6" s="13"/>
      <c r="AE6" s="13"/>
      <c r="AF6" s="46" t="s">
        <v>528</v>
      </c>
      <c r="AG6" s="48">
        <v>16945.05</v>
      </c>
      <c r="AH6" s="49">
        <v>-9.1000000000000004E-3</v>
      </c>
      <c r="AI6" s="13"/>
      <c r="AJ6" s="13"/>
      <c r="AK6" s="13"/>
      <c r="AL6" s="13"/>
      <c r="AM6" s="13"/>
      <c r="AN6" s="13"/>
      <c r="AO6" s="13"/>
      <c r="AP6" s="13"/>
      <c r="AQ6" s="13"/>
      <c r="AR6" s="13"/>
      <c r="AS6" s="13"/>
      <c r="AW6" s="47">
        <v>44929</v>
      </c>
      <c r="AX6" s="46">
        <v>243.62</v>
      </c>
      <c r="AY6" s="49">
        <v>-1.46E-2</v>
      </c>
      <c r="AZ6" s="13"/>
      <c r="BA6" s="13"/>
      <c r="BB6" s="13"/>
      <c r="BC6" s="47">
        <v>44929</v>
      </c>
      <c r="BD6" s="48">
        <v>17359.75</v>
      </c>
      <c r="BE6" s="49">
        <v>3.2000000000000002E-3</v>
      </c>
      <c r="BF6" s="13"/>
      <c r="BG6" s="13"/>
      <c r="BH6" s="13"/>
      <c r="BI6" s="13"/>
      <c r="BJ6" s="13"/>
      <c r="BK6" s="13"/>
      <c r="BL6" s="13"/>
      <c r="BM6" s="13"/>
      <c r="BN6" s="13"/>
      <c r="BO6" s="13"/>
      <c r="BP6" s="13"/>
      <c r="BQ6" s="13"/>
    </row>
    <row r="7" spans="1:69">
      <c r="A7" s="13"/>
      <c r="B7" s="46" t="s">
        <v>529</v>
      </c>
      <c r="C7" s="46">
        <v>232.04</v>
      </c>
      <c r="D7" s="49">
        <v>-4.8999999999999998E-3</v>
      </c>
      <c r="E7" s="13"/>
      <c r="F7" s="13"/>
      <c r="G7" s="13"/>
      <c r="H7" s="46" t="s">
        <v>529</v>
      </c>
      <c r="I7" s="48">
        <v>16951.7</v>
      </c>
      <c r="J7" s="49">
        <v>-2E-3</v>
      </c>
      <c r="K7" s="13"/>
      <c r="L7" s="13"/>
      <c r="M7" s="43" t="s">
        <v>142</v>
      </c>
      <c r="N7" s="44"/>
      <c r="O7" s="13"/>
      <c r="P7" s="13"/>
      <c r="Q7" s="13"/>
      <c r="R7" s="13"/>
      <c r="S7" s="13"/>
      <c r="T7" s="13"/>
      <c r="U7" s="13"/>
      <c r="Z7" s="47">
        <v>45263</v>
      </c>
      <c r="AA7" s="46">
        <v>237.32</v>
      </c>
      <c r="AB7" s="49">
        <v>-2.2499999999999999E-2</v>
      </c>
      <c r="AC7" s="13"/>
      <c r="AD7" s="13"/>
      <c r="AE7" s="13"/>
      <c r="AF7" s="47">
        <v>45263</v>
      </c>
      <c r="AG7" s="48">
        <v>17100.05</v>
      </c>
      <c r="AH7" s="49">
        <v>-1.7999999999999999E-2</v>
      </c>
      <c r="AI7" s="13"/>
      <c r="AJ7" s="13"/>
      <c r="AK7" s="43" t="s">
        <v>142</v>
      </c>
      <c r="AL7" s="44"/>
      <c r="AM7" s="13"/>
      <c r="AN7" s="13"/>
      <c r="AO7" s="13"/>
      <c r="AP7" s="13"/>
      <c r="AQ7" s="13"/>
      <c r="AR7" s="13"/>
      <c r="AS7" s="13"/>
      <c r="AW7" s="47">
        <v>44928</v>
      </c>
      <c r="AX7" s="46">
        <v>247.24</v>
      </c>
      <c r="AY7" s="49">
        <v>-4.7100000000000003E-2</v>
      </c>
      <c r="AZ7" s="13"/>
      <c r="BA7" s="13"/>
      <c r="BB7" s="13"/>
      <c r="BC7" s="47">
        <v>44928</v>
      </c>
      <c r="BD7" s="48">
        <v>17303.95</v>
      </c>
      <c r="BE7" s="49">
        <v>-2.0299999999999999E-2</v>
      </c>
      <c r="BF7" s="13"/>
      <c r="BG7" s="13"/>
      <c r="BH7" s="43" t="s">
        <v>142</v>
      </c>
      <c r="BI7" s="44"/>
      <c r="BJ7" s="13"/>
      <c r="BK7" s="13"/>
      <c r="BL7" s="13"/>
      <c r="BM7" s="13"/>
      <c r="BN7" s="13"/>
      <c r="BO7" s="13"/>
      <c r="BP7" s="13"/>
      <c r="BQ7" s="13"/>
    </row>
    <row r="8" spans="1:69">
      <c r="A8" s="13"/>
      <c r="B8" s="46" t="s">
        <v>530</v>
      </c>
      <c r="C8" s="46">
        <v>233.18</v>
      </c>
      <c r="D8" s="49">
        <v>-9.9000000000000008E-3</v>
      </c>
      <c r="E8" s="13"/>
      <c r="F8" s="13"/>
      <c r="G8" s="13"/>
      <c r="H8" s="46" t="s">
        <v>530</v>
      </c>
      <c r="I8" s="48">
        <v>16985.7</v>
      </c>
      <c r="J8" s="49">
        <v>2.3999999999999998E-3</v>
      </c>
      <c r="K8" s="13"/>
      <c r="L8" s="13"/>
      <c r="M8" s="13" t="s">
        <v>145</v>
      </c>
      <c r="N8" s="13">
        <v>0.29918</v>
      </c>
      <c r="O8" s="13"/>
      <c r="P8" s="13"/>
      <c r="Q8" s="13"/>
      <c r="R8" s="13"/>
      <c r="S8" s="13"/>
      <c r="T8" s="13"/>
      <c r="U8" s="13"/>
      <c r="Z8" s="47">
        <v>45049</v>
      </c>
      <c r="AA8" s="46">
        <v>242.79</v>
      </c>
      <c r="AB8" s="49">
        <v>-2.6700000000000002E-2</v>
      </c>
      <c r="AC8" s="13"/>
      <c r="AD8" s="13"/>
      <c r="AE8" s="13"/>
      <c r="AF8" s="47">
        <v>45049</v>
      </c>
      <c r="AG8" s="48">
        <v>17412.900000000001</v>
      </c>
      <c r="AH8" s="49">
        <v>-1.03E-2</v>
      </c>
      <c r="AI8" s="13"/>
      <c r="AJ8" s="13"/>
      <c r="AK8" s="13" t="s">
        <v>145</v>
      </c>
      <c r="AL8" s="13">
        <v>0.452152</v>
      </c>
      <c r="AM8" s="13"/>
      <c r="AN8" s="13"/>
      <c r="AO8" s="13"/>
      <c r="AP8" s="13"/>
      <c r="AQ8" s="13"/>
      <c r="AR8" s="13"/>
      <c r="AS8" s="13"/>
      <c r="AW8" s="47">
        <v>44927</v>
      </c>
      <c r="AX8" s="46">
        <v>259.45999999999998</v>
      </c>
      <c r="AY8" s="49">
        <v>-2.69E-2</v>
      </c>
      <c r="AZ8" s="13"/>
      <c r="BA8" s="13"/>
      <c r="BB8" s="13"/>
      <c r="BC8" s="47">
        <v>44927</v>
      </c>
      <c r="BD8" s="48">
        <v>17662.150000000001</v>
      </c>
      <c r="BE8" s="49">
        <v>-2.4500000000000001E-2</v>
      </c>
      <c r="BF8" s="13"/>
      <c r="BG8" s="13"/>
      <c r="BH8" s="13" t="s">
        <v>145</v>
      </c>
      <c r="BI8" s="13">
        <v>0.242447</v>
      </c>
      <c r="BJ8" s="13"/>
      <c r="BK8" s="13"/>
      <c r="BL8" s="13"/>
      <c r="BM8" s="13"/>
      <c r="BN8" s="13"/>
      <c r="BO8" s="13"/>
      <c r="BP8" s="13"/>
      <c r="BQ8" s="13"/>
    </row>
    <row r="9" spans="1:69">
      <c r="A9" s="13"/>
      <c r="B9" s="46" t="s">
        <v>531</v>
      </c>
      <c r="C9" s="46">
        <v>235.52</v>
      </c>
      <c r="D9" s="49">
        <v>-8.8000000000000005E-3</v>
      </c>
      <c r="E9" s="13"/>
      <c r="F9" s="13"/>
      <c r="G9" s="13"/>
      <c r="H9" s="46" t="s">
        <v>531</v>
      </c>
      <c r="I9" s="48">
        <v>16945.05</v>
      </c>
      <c r="J9" s="49">
        <v>-7.7000000000000002E-3</v>
      </c>
      <c r="K9" s="13"/>
      <c r="L9" s="13"/>
      <c r="M9" s="13" t="s">
        <v>147</v>
      </c>
      <c r="N9" s="13">
        <v>8.9509000000000005E-2</v>
      </c>
      <c r="O9" s="13"/>
      <c r="P9" s="13"/>
      <c r="Q9" s="13"/>
      <c r="R9" s="13"/>
      <c r="S9" s="13"/>
      <c r="T9" s="13"/>
      <c r="U9" s="13"/>
      <c r="Z9" s="46" t="s">
        <v>532</v>
      </c>
      <c r="AA9" s="46">
        <v>249.44</v>
      </c>
      <c r="AB9" s="49">
        <v>4.5699999999999998E-2</v>
      </c>
      <c r="AC9" s="13"/>
      <c r="AD9" s="13"/>
      <c r="AE9" s="13"/>
      <c r="AF9" s="46" t="s">
        <v>532</v>
      </c>
      <c r="AG9" s="48">
        <v>17594.349999999999</v>
      </c>
      <c r="AH9" s="49">
        <v>7.4000000000000003E-3</v>
      </c>
      <c r="AI9" s="13"/>
      <c r="AJ9" s="13"/>
      <c r="AK9" s="13" t="s">
        <v>147</v>
      </c>
      <c r="AL9" s="13">
        <v>0.20444200000000001</v>
      </c>
      <c r="AM9" s="13"/>
      <c r="AN9" s="13"/>
      <c r="AO9" s="13"/>
      <c r="AP9" s="13"/>
      <c r="AQ9" s="13"/>
      <c r="AR9" s="13"/>
      <c r="AS9" s="13"/>
      <c r="AW9" s="47">
        <v>44573</v>
      </c>
      <c r="AX9" s="46">
        <v>266.64</v>
      </c>
      <c r="AY9" s="49">
        <v>-1.3899999999999999E-2</v>
      </c>
      <c r="AZ9" s="13"/>
      <c r="BA9" s="13"/>
      <c r="BB9" s="13"/>
      <c r="BC9" s="47">
        <v>44573</v>
      </c>
      <c r="BD9" s="48">
        <v>18105.3</v>
      </c>
      <c r="BE9" s="49">
        <v>-3.4799999999999998E-2</v>
      </c>
      <c r="BF9" s="13"/>
      <c r="BG9" s="13"/>
      <c r="BH9" s="13" t="s">
        <v>147</v>
      </c>
      <c r="BI9" s="13">
        <v>5.8781E-2</v>
      </c>
      <c r="BJ9" s="13"/>
      <c r="BK9" s="13"/>
      <c r="BL9" s="13"/>
      <c r="BM9" s="13"/>
      <c r="BN9" s="13"/>
      <c r="BO9" s="13"/>
      <c r="BP9" s="13"/>
      <c r="BQ9" s="13"/>
    </row>
    <row r="10" spans="1:69">
      <c r="A10" s="13"/>
      <c r="B10" s="46" t="s">
        <v>533</v>
      </c>
      <c r="C10" s="46">
        <v>237.62</v>
      </c>
      <c r="D10" s="49">
        <v>-3.5999999999999999E-3</v>
      </c>
      <c r="E10" s="13"/>
      <c r="F10" s="13"/>
      <c r="G10" s="13"/>
      <c r="H10" s="46" t="s">
        <v>533</v>
      </c>
      <c r="I10" s="48">
        <v>17076.900000000001</v>
      </c>
      <c r="J10" s="49">
        <v>-4.4000000000000003E-3</v>
      </c>
      <c r="K10" s="13"/>
      <c r="L10" s="13"/>
      <c r="M10" s="13" t="s">
        <v>149</v>
      </c>
      <c r="N10" s="13">
        <v>8.5821999999999996E-2</v>
      </c>
      <c r="O10" s="13"/>
      <c r="P10" s="13"/>
      <c r="Q10" s="13"/>
      <c r="R10" s="13"/>
      <c r="S10" s="13"/>
      <c r="T10" s="13"/>
      <c r="U10" s="13"/>
      <c r="Z10" s="46" t="s">
        <v>534</v>
      </c>
      <c r="AA10" s="46">
        <v>238.55</v>
      </c>
      <c r="AB10" s="49">
        <v>1.8599999999999998E-2</v>
      </c>
      <c r="AC10" s="13"/>
      <c r="AD10" s="13"/>
      <c r="AE10" s="13"/>
      <c r="AF10" s="46" t="s">
        <v>534</v>
      </c>
      <c r="AG10" s="48">
        <v>17465.8</v>
      </c>
      <c r="AH10" s="49">
        <v>-2.6700000000000002E-2</v>
      </c>
      <c r="AI10" s="13"/>
      <c r="AJ10" s="13"/>
      <c r="AK10" s="13" t="s">
        <v>149</v>
      </c>
      <c r="AL10" s="13">
        <v>0.188531</v>
      </c>
      <c r="AM10" s="13"/>
      <c r="AN10" s="13"/>
      <c r="AO10" s="13"/>
      <c r="AP10" s="13"/>
      <c r="AQ10" s="13"/>
      <c r="AR10" s="13"/>
      <c r="AS10" s="13"/>
      <c r="AW10" s="47">
        <v>44572</v>
      </c>
      <c r="AX10" s="46">
        <v>270.39999999999998</v>
      </c>
      <c r="AY10" s="49">
        <v>-6.4799999999999996E-2</v>
      </c>
      <c r="AZ10" s="13"/>
      <c r="BA10" s="13"/>
      <c r="BB10" s="13"/>
      <c r="BC10" s="47">
        <v>44572</v>
      </c>
      <c r="BD10" s="48">
        <v>18758.349999999999</v>
      </c>
      <c r="BE10" s="49">
        <v>4.1399999999999999E-2</v>
      </c>
      <c r="BF10" s="13"/>
      <c r="BG10" s="13"/>
      <c r="BH10" s="13" t="s">
        <v>149</v>
      </c>
      <c r="BI10" s="13">
        <v>-2.6780000000000002E-2</v>
      </c>
      <c r="BJ10" s="13"/>
      <c r="BK10" s="13"/>
      <c r="BL10" s="13"/>
      <c r="BM10" s="13"/>
      <c r="BN10" s="13"/>
      <c r="BO10" s="13"/>
      <c r="BP10" s="13"/>
      <c r="BQ10" s="13"/>
    </row>
    <row r="11" spans="1:69">
      <c r="A11" s="54"/>
      <c r="B11" s="46" t="s">
        <v>535</v>
      </c>
      <c r="C11" s="46">
        <v>238.47</v>
      </c>
      <c r="D11" s="49">
        <v>-2.29E-2</v>
      </c>
      <c r="E11" s="54"/>
      <c r="F11" s="54"/>
      <c r="G11" s="13"/>
      <c r="H11" s="46" t="s">
        <v>535</v>
      </c>
      <c r="I11" s="48">
        <v>17151.900000000001</v>
      </c>
      <c r="J11" s="49">
        <v>2.5999999999999999E-3</v>
      </c>
      <c r="K11" s="13"/>
      <c r="L11" s="13"/>
      <c r="M11" s="13" t="s">
        <v>152</v>
      </c>
      <c r="N11" s="13">
        <v>2.1706E-2</v>
      </c>
      <c r="O11" s="13"/>
      <c r="P11" s="13"/>
      <c r="Q11" s="13"/>
      <c r="R11" s="13"/>
      <c r="S11" s="13"/>
      <c r="T11" s="13"/>
      <c r="U11" s="13"/>
      <c r="Z11" s="47">
        <v>45262</v>
      </c>
      <c r="AA11" s="46">
        <v>234.2</v>
      </c>
      <c r="AB11" s="49">
        <v>-3.0700000000000002E-2</v>
      </c>
      <c r="AC11" s="13"/>
      <c r="AD11" s="13"/>
      <c r="AE11" s="13"/>
      <c r="AF11" s="47">
        <v>45262</v>
      </c>
      <c r="AG11" s="48">
        <v>17944.2</v>
      </c>
      <c r="AH11" s="49">
        <v>4.8999999999999998E-3</v>
      </c>
      <c r="AI11" s="13"/>
      <c r="AJ11" s="13"/>
      <c r="AK11" s="13" t="s">
        <v>152</v>
      </c>
      <c r="AL11" s="13">
        <v>4.3728000000000003E-2</v>
      </c>
      <c r="AM11" s="13"/>
      <c r="AN11" s="13"/>
      <c r="AO11" s="13"/>
      <c r="AP11" s="13"/>
      <c r="AQ11" s="13"/>
      <c r="AR11" s="13"/>
      <c r="AS11" s="13"/>
      <c r="AW11" s="47">
        <v>44571</v>
      </c>
      <c r="AX11" s="46">
        <v>289.14</v>
      </c>
      <c r="AY11" s="49">
        <v>-3.3799999999999997E-2</v>
      </c>
      <c r="AZ11" s="13"/>
      <c r="BA11" s="13"/>
      <c r="BB11" s="13"/>
      <c r="BC11" s="47">
        <v>44571</v>
      </c>
      <c r="BD11" s="48">
        <v>18012.2</v>
      </c>
      <c r="BE11" s="49">
        <v>5.3699999999999998E-2</v>
      </c>
      <c r="BF11" s="13"/>
      <c r="BG11" s="13"/>
      <c r="BH11" s="13" t="s">
        <v>152</v>
      </c>
      <c r="BI11" s="13">
        <v>9.3382000000000007E-2</v>
      </c>
      <c r="BJ11" s="13"/>
      <c r="BK11" s="13"/>
      <c r="BL11" s="13"/>
      <c r="BM11" s="13"/>
      <c r="BN11" s="13"/>
      <c r="BO11" s="13"/>
      <c r="BP11" s="13"/>
      <c r="BQ11" s="13"/>
    </row>
    <row r="12" spans="1:69">
      <c r="A12" s="13"/>
      <c r="B12" s="46" t="s">
        <v>536</v>
      </c>
      <c r="C12" s="46">
        <v>244.05</v>
      </c>
      <c r="D12" s="49">
        <v>3.6700000000000003E-2</v>
      </c>
      <c r="E12" s="13"/>
      <c r="F12" s="13"/>
      <c r="G12" s="13"/>
      <c r="H12" s="46" t="s">
        <v>536</v>
      </c>
      <c r="I12" s="48">
        <v>17107.5</v>
      </c>
      <c r="J12" s="49">
        <v>7.0000000000000001E-3</v>
      </c>
      <c r="K12" s="13"/>
      <c r="L12" s="13"/>
      <c r="M12" s="45" t="s">
        <v>155</v>
      </c>
      <c r="N12" s="45">
        <v>249</v>
      </c>
      <c r="O12" s="13"/>
      <c r="P12" s="13"/>
      <c r="Q12" s="13"/>
      <c r="R12" s="13"/>
      <c r="S12" s="13"/>
      <c r="T12" s="13"/>
      <c r="U12" s="13"/>
      <c r="Z12" s="47">
        <v>45048</v>
      </c>
      <c r="AA12" s="46">
        <v>241.62</v>
      </c>
      <c r="AB12" s="49">
        <v>4.3799999999999999E-2</v>
      </c>
      <c r="AC12" s="13"/>
      <c r="AD12" s="13"/>
      <c r="AE12" s="13"/>
      <c r="AF12" s="47">
        <v>45048</v>
      </c>
      <c r="AG12" s="48">
        <v>17856.5</v>
      </c>
      <c r="AH12" s="49">
        <v>1E-4</v>
      </c>
      <c r="AI12" s="13"/>
      <c r="AJ12" s="13"/>
      <c r="AK12" s="45" t="s">
        <v>155</v>
      </c>
      <c r="AL12" s="45">
        <v>52</v>
      </c>
      <c r="AM12" s="13"/>
      <c r="AN12" s="13"/>
      <c r="AO12" s="13"/>
      <c r="AP12" s="13"/>
      <c r="AQ12" s="13"/>
      <c r="AR12" s="13"/>
      <c r="AS12" s="13"/>
      <c r="AW12" s="47">
        <v>44570</v>
      </c>
      <c r="AX12" s="46">
        <v>299.25</v>
      </c>
      <c r="AY12" s="49">
        <v>0.1099</v>
      </c>
      <c r="AZ12" s="13"/>
      <c r="BA12" s="13"/>
      <c r="BB12" s="13"/>
      <c r="BC12" s="47">
        <v>44570</v>
      </c>
      <c r="BD12" s="48">
        <v>17094.349999999999</v>
      </c>
      <c r="BE12" s="49">
        <v>-3.7400000000000003E-2</v>
      </c>
      <c r="BF12" s="13"/>
      <c r="BG12" s="13"/>
      <c r="BH12" s="45" t="s">
        <v>155</v>
      </c>
      <c r="BI12" s="45">
        <v>13</v>
      </c>
      <c r="BJ12" s="13"/>
      <c r="BK12" s="13"/>
      <c r="BL12" s="13"/>
      <c r="BM12" s="13"/>
      <c r="BN12" s="13"/>
      <c r="BO12" s="13"/>
      <c r="BP12" s="13"/>
      <c r="BQ12" s="13"/>
    </row>
    <row r="13" spans="1:69">
      <c r="A13" s="13"/>
      <c r="B13" s="46" t="s">
        <v>537</v>
      </c>
      <c r="C13" s="46">
        <v>235.42</v>
      </c>
      <c r="D13" s="49">
        <v>-8.0000000000000002E-3</v>
      </c>
      <c r="E13" s="13"/>
      <c r="F13" s="13"/>
      <c r="G13" s="13"/>
      <c r="H13" s="46" t="s">
        <v>537</v>
      </c>
      <c r="I13" s="48">
        <v>16988.400000000001</v>
      </c>
      <c r="J13" s="49">
        <v>-6.4999999999999997E-3</v>
      </c>
      <c r="K13" s="13"/>
      <c r="L13" s="13"/>
      <c r="M13" s="13"/>
      <c r="N13" s="13"/>
      <c r="O13" s="13"/>
      <c r="P13" s="13"/>
      <c r="Q13" s="13"/>
      <c r="R13" s="13"/>
      <c r="S13" s="13"/>
      <c r="T13" s="13"/>
      <c r="U13" s="13"/>
      <c r="Z13" s="46" t="s">
        <v>538</v>
      </c>
      <c r="AA13" s="46">
        <v>231.49</v>
      </c>
      <c r="AB13" s="49">
        <v>-0.1024</v>
      </c>
      <c r="AC13" s="13"/>
      <c r="AD13" s="13"/>
      <c r="AE13" s="13"/>
      <c r="AF13" s="46" t="s">
        <v>538</v>
      </c>
      <c r="AG13" s="48">
        <v>17854.05</v>
      </c>
      <c r="AH13" s="49">
        <v>1.4200000000000001E-2</v>
      </c>
      <c r="AI13" s="13"/>
      <c r="AJ13" s="13"/>
      <c r="AK13" s="13"/>
      <c r="AL13" s="13"/>
      <c r="AM13" s="13"/>
      <c r="AN13" s="13"/>
      <c r="AO13" s="13"/>
      <c r="AP13" s="13"/>
      <c r="AQ13" s="13"/>
      <c r="AR13" s="13"/>
      <c r="AS13" s="13"/>
      <c r="AW13" s="47">
        <v>44569</v>
      </c>
      <c r="AX13" s="46">
        <v>269.61</v>
      </c>
      <c r="AY13" s="49">
        <v>0.17169999999999999</v>
      </c>
      <c r="AZ13" s="13"/>
      <c r="BA13" s="13"/>
      <c r="BB13" s="13"/>
      <c r="BC13" s="47">
        <v>44569</v>
      </c>
      <c r="BD13" s="48">
        <v>17759.3</v>
      </c>
      <c r="BE13" s="49">
        <v>3.5000000000000003E-2</v>
      </c>
      <c r="BF13" s="13"/>
      <c r="BG13" s="13"/>
      <c r="BH13" s="13"/>
      <c r="BI13" s="13"/>
      <c r="BJ13" s="13"/>
      <c r="BK13" s="13"/>
      <c r="BL13" s="13"/>
      <c r="BM13" s="13"/>
      <c r="BN13" s="13"/>
      <c r="BO13" s="13"/>
      <c r="BP13" s="13"/>
      <c r="BQ13" s="13"/>
    </row>
    <row r="14" spans="1:69">
      <c r="A14" s="13"/>
      <c r="B14" s="46" t="s">
        <v>539</v>
      </c>
      <c r="C14" s="46">
        <v>237.32</v>
      </c>
      <c r="D14" s="49">
        <v>3.3799999999999997E-2</v>
      </c>
      <c r="E14" s="13"/>
      <c r="F14" s="13"/>
      <c r="G14" s="13"/>
      <c r="H14" s="46" t="s">
        <v>539</v>
      </c>
      <c r="I14" s="48">
        <v>17100.05</v>
      </c>
      <c r="J14" s="49">
        <v>6.7000000000000002E-3</v>
      </c>
      <c r="K14" s="13"/>
      <c r="L14" s="13"/>
      <c r="M14" s="13" t="s">
        <v>158</v>
      </c>
      <c r="N14" s="13"/>
      <c r="O14" s="13"/>
      <c r="P14" s="13"/>
      <c r="Q14" s="13"/>
      <c r="R14" s="13"/>
      <c r="S14" s="13"/>
      <c r="T14" s="13"/>
      <c r="U14" s="13"/>
      <c r="Z14" s="46" t="s">
        <v>540</v>
      </c>
      <c r="AA14" s="46">
        <v>257.89</v>
      </c>
      <c r="AB14" s="49">
        <v>-4.5999999999999999E-3</v>
      </c>
      <c r="AC14" s="13"/>
      <c r="AD14" s="13"/>
      <c r="AE14" s="13"/>
      <c r="AF14" s="46" t="s">
        <v>540</v>
      </c>
      <c r="AG14" s="48">
        <v>17604.349999999999</v>
      </c>
      <c r="AH14" s="49">
        <v>-2.35E-2</v>
      </c>
      <c r="AI14" s="13"/>
      <c r="AJ14" s="13"/>
      <c r="AK14" s="13" t="s">
        <v>158</v>
      </c>
      <c r="AL14" s="13"/>
      <c r="AM14" s="13"/>
      <c r="AN14" s="13"/>
      <c r="AO14" s="13"/>
      <c r="AP14" s="13"/>
      <c r="AQ14" s="13"/>
      <c r="AR14" s="13"/>
      <c r="AS14" s="13"/>
      <c r="AW14" s="47">
        <v>44568</v>
      </c>
      <c r="AX14" s="46">
        <v>230.1</v>
      </c>
      <c r="AY14" s="49">
        <v>5.9799999999999999E-2</v>
      </c>
      <c r="AZ14" s="13"/>
      <c r="BA14" s="13"/>
      <c r="BB14" s="13"/>
      <c r="BC14" s="47">
        <v>44568</v>
      </c>
      <c r="BD14" s="48">
        <v>17158.25</v>
      </c>
      <c r="BE14" s="49">
        <v>8.7300000000000003E-2</v>
      </c>
      <c r="BF14" s="13"/>
      <c r="BG14" s="13"/>
      <c r="BH14" s="13" t="s">
        <v>158</v>
      </c>
      <c r="BI14" s="13"/>
      <c r="BJ14" s="13"/>
      <c r="BK14" s="13"/>
      <c r="BL14" s="13"/>
      <c r="BM14" s="13"/>
      <c r="BN14" s="13"/>
      <c r="BO14" s="13"/>
      <c r="BP14" s="13"/>
      <c r="BQ14" s="13"/>
    </row>
    <row r="15" spans="1:69">
      <c r="A15" s="13"/>
      <c r="B15" s="46" t="s">
        <v>541</v>
      </c>
      <c r="C15" s="46">
        <v>229.56</v>
      </c>
      <c r="D15" s="49">
        <v>-2.8899999999999999E-2</v>
      </c>
      <c r="E15" s="13"/>
      <c r="F15" s="13"/>
      <c r="G15" s="13"/>
      <c r="H15" s="46" t="s">
        <v>541</v>
      </c>
      <c r="I15" s="48">
        <v>16985.599999999999</v>
      </c>
      <c r="J15" s="49">
        <v>8.0000000000000004E-4</v>
      </c>
      <c r="K15" s="13"/>
      <c r="L15" s="13"/>
      <c r="M15" s="43" t="s">
        <v>161</v>
      </c>
      <c r="N15" s="43" t="s">
        <v>162</v>
      </c>
      <c r="O15" s="43" t="s">
        <v>163</v>
      </c>
      <c r="P15" s="43" t="s">
        <v>164</v>
      </c>
      <c r="Q15" s="43" t="s">
        <v>165</v>
      </c>
      <c r="R15" s="43" t="s">
        <v>166</v>
      </c>
      <c r="S15" s="13"/>
      <c r="T15" s="13"/>
      <c r="U15" s="13"/>
      <c r="Z15" s="46" t="s">
        <v>542</v>
      </c>
      <c r="AA15" s="46">
        <v>259.07</v>
      </c>
      <c r="AB15" s="49">
        <v>-6.0000000000000001E-3</v>
      </c>
      <c r="AC15" s="13"/>
      <c r="AD15" s="13"/>
      <c r="AE15" s="13"/>
      <c r="AF15" s="46" t="s">
        <v>542</v>
      </c>
      <c r="AG15" s="48">
        <v>18027.650000000001</v>
      </c>
      <c r="AH15" s="49">
        <v>4.0000000000000001E-3</v>
      </c>
      <c r="AI15" s="13"/>
      <c r="AJ15" s="13"/>
      <c r="AK15" s="43" t="s">
        <v>161</v>
      </c>
      <c r="AL15" s="43" t="s">
        <v>162</v>
      </c>
      <c r="AM15" s="43" t="s">
        <v>163</v>
      </c>
      <c r="AN15" s="43" t="s">
        <v>164</v>
      </c>
      <c r="AO15" s="43" t="s">
        <v>165</v>
      </c>
      <c r="AP15" s="43" t="s">
        <v>166</v>
      </c>
      <c r="AQ15" s="13"/>
      <c r="AR15" s="13"/>
      <c r="AS15" s="13"/>
      <c r="AW15" s="47">
        <v>44567</v>
      </c>
      <c r="AX15" s="46">
        <v>217.11</v>
      </c>
      <c r="AY15" s="49">
        <v>1.9199999999999998E-2</v>
      </c>
      <c r="AZ15" s="13"/>
      <c r="BA15" s="13"/>
      <c r="BB15" s="13"/>
      <c r="BC15" s="47">
        <v>44567</v>
      </c>
      <c r="BD15" s="48">
        <v>15780.25</v>
      </c>
      <c r="BE15" s="49">
        <v>-4.8500000000000001E-2</v>
      </c>
      <c r="BF15" s="13"/>
      <c r="BG15" s="13"/>
      <c r="BH15" s="43" t="s">
        <v>161</v>
      </c>
      <c r="BI15" s="43" t="s">
        <v>162</v>
      </c>
      <c r="BJ15" s="43" t="s">
        <v>163</v>
      </c>
      <c r="BK15" s="43" t="s">
        <v>164</v>
      </c>
      <c r="BL15" s="43" t="s">
        <v>165</v>
      </c>
      <c r="BM15" s="43" t="s">
        <v>166</v>
      </c>
      <c r="BN15" s="13"/>
      <c r="BO15" s="13"/>
      <c r="BP15" s="13"/>
      <c r="BQ15" s="13"/>
    </row>
    <row r="16" spans="1:69">
      <c r="A16" s="54"/>
      <c r="B16" s="46" t="s">
        <v>543</v>
      </c>
      <c r="C16" s="46">
        <v>236.38</v>
      </c>
      <c r="D16" s="49">
        <v>-2.0500000000000001E-2</v>
      </c>
      <c r="E16" s="54"/>
      <c r="F16" s="54"/>
      <c r="G16" s="54"/>
      <c r="H16" s="46" t="s">
        <v>543</v>
      </c>
      <c r="I16" s="48">
        <v>16972.150000000001</v>
      </c>
      <c r="J16" s="49">
        <v>-4.1999999999999997E-3</v>
      </c>
      <c r="K16" s="13"/>
      <c r="L16" s="13"/>
      <c r="M16" s="13" t="s">
        <v>169</v>
      </c>
      <c r="N16" s="13">
        <v>1</v>
      </c>
      <c r="O16" s="13">
        <v>1.1441E-2</v>
      </c>
      <c r="P16" s="13">
        <v>1.1441E-2</v>
      </c>
      <c r="Q16" s="13">
        <v>24.282080000000001</v>
      </c>
      <c r="R16" s="55">
        <v>1.53E-6</v>
      </c>
      <c r="S16" s="13"/>
      <c r="T16" s="13"/>
      <c r="U16" s="13"/>
      <c r="Z16" s="47">
        <v>45139</v>
      </c>
      <c r="AA16" s="46">
        <v>260.63</v>
      </c>
      <c r="AB16" s="49">
        <v>-1.5699999999999999E-2</v>
      </c>
      <c r="AC16" s="13"/>
      <c r="AD16" s="13"/>
      <c r="AE16" s="13"/>
      <c r="AF16" s="47">
        <v>45139</v>
      </c>
      <c r="AG16" s="48">
        <v>17956.599999999999</v>
      </c>
      <c r="AH16" s="49">
        <v>5.4000000000000003E-3</v>
      </c>
      <c r="AI16" s="13"/>
      <c r="AJ16" s="13"/>
      <c r="AK16" s="13" t="s">
        <v>169</v>
      </c>
      <c r="AL16" s="13">
        <v>1</v>
      </c>
      <c r="AM16" s="13">
        <v>2.4569000000000001E-2</v>
      </c>
      <c r="AN16" s="13">
        <v>2.4569000000000001E-2</v>
      </c>
      <c r="AO16" s="13">
        <v>12.84895</v>
      </c>
      <c r="AP16" s="13">
        <v>7.6499999999999995E-4</v>
      </c>
      <c r="AQ16" s="13"/>
      <c r="AR16" s="13"/>
      <c r="AS16" s="13"/>
      <c r="AW16" s="47">
        <v>44566</v>
      </c>
      <c r="AX16" s="46">
        <v>213.03</v>
      </c>
      <c r="AY16" s="49">
        <v>-0.19739999999999999</v>
      </c>
      <c r="AZ16" s="13"/>
      <c r="BA16" s="13"/>
      <c r="BB16" s="13"/>
      <c r="BC16" s="47">
        <v>44566</v>
      </c>
      <c r="BD16" s="48">
        <v>16584.55</v>
      </c>
      <c r="BE16" s="49">
        <v>-3.0300000000000001E-2</v>
      </c>
      <c r="BF16" s="13"/>
      <c r="BG16" s="13"/>
      <c r="BH16" s="13" t="s">
        <v>169</v>
      </c>
      <c r="BI16" s="13">
        <v>1</v>
      </c>
      <c r="BJ16" s="13">
        <v>5.9899999999999997E-3</v>
      </c>
      <c r="BK16" s="13">
        <v>5.9899999999999997E-3</v>
      </c>
      <c r="BL16" s="13">
        <v>0.68696599999999997</v>
      </c>
      <c r="BM16" s="13">
        <v>0.42481799999999997</v>
      </c>
      <c r="BN16" s="13"/>
      <c r="BO16" s="13"/>
      <c r="BP16" s="13"/>
      <c r="BQ16" s="13"/>
    </row>
    <row r="17" spans="1:69">
      <c r="A17" s="13"/>
      <c r="B17" s="46" t="s">
        <v>544</v>
      </c>
      <c r="C17" s="46">
        <v>241.32</v>
      </c>
      <c r="D17" s="49">
        <v>9.5999999999999992E-3</v>
      </c>
      <c r="E17" s="13"/>
      <c r="F17" s="13"/>
      <c r="G17" s="13"/>
      <c r="H17" s="46" t="s">
        <v>544</v>
      </c>
      <c r="I17" s="48">
        <v>17043.3</v>
      </c>
      <c r="J17" s="49">
        <v>-6.4999999999999997E-3</v>
      </c>
      <c r="K17" s="13"/>
      <c r="L17" s="13"/>
      <c r="M17" s="13" t="s">
        <v>170</v>
      </c>
      <c r="N17" s="13">
        <v>247</v>
      </c>
      <c r="O17" s="13">
        <v>0.11637400000000001</v>
      </c>
      <c r="P17" s="13">
        <v>4.7100000000000001E-4</v>
      </c>
      <c r="Q17" s="13"/>
      <c r="R17" s="13"/>
      <c r="S17" s="13"/>
      <c r="T17" s="13"/>
      <c r="U17" s="13"/>
      <c r="Z17" s="47">
        <v>44927</v>
      </c>
      <c r="AA17" s="46">
        <v>264.79000000000002</v>
      </c>
      <c r="AB17" s="49">
        <v>-6.8999999999999999E-3</v>
      </c>
      <c r="AC17" s="13"/>
      <c r="AD17" s="13"/>
      <c r="AE17" s="13"/>
      <c r="AF17" s="47">
        <v>44927</v>
      </c>
      <c r="AG17" s="48">
        <v>17859.45</v>
      </c>
      <c r="AH17" s="49">
        <v>-1.3599999999999999E-2</v>
      </c>
      <c r="AI17" s="13"/>
      <c r="AJ17" s="13"/>
      <c r="AK17" s="13" t="s">
        <v>170</v>
      </c>
      <c r="AL17" s="13">
        <v>50</v>
      </c>
      <c r="AM17" s="13">
        <v>9.5605999999999997E-2</v>
      </c>
      <c r="AN17" s="13">
        <v>1.9120000000000001E-3</v>
      </c>
      <c r="AO17" s="13"/>
      <c r="AP17" s="13"/>
      <c r="AQ17" s="13"/>
      <c r="AR17" s="13"/>
      <c r="AS17" s="13"/>
      <c r="AW17" s="47">
        <v>44565</v>
      </c>
      <c r="AX17" s="46">
        <v>265.42</v>
      </c>
      <c r="AY17" s="49">
        <v>-0.10150000000000001</v>
      </c>
      <c r="AZ17" s="13"/>
      <c r="BA17" s="13"/>
      <c r="BB17" s="13"/>
      <c r="BC17" s="47">
        <v>44565</v>
      </c>
      <c r="BD17" s="48">
        <v>17102.55</v>
      </c>
      <c r="BE17" s="49">
        <v>-2.07E-2</v>
      </c>
      <c r="BF17" s="13"/>
      <c r="BG17" s="13"/>
      <c r="BH17" s="13" t="s">
        <v>170</v>
      </c>
      <c r="BI17" s="13">
        <v>11</v>
      </c>
      <c r="BJ17" s="13">
        <v>9.5921999999999993E-2</v>
      </c>
      <c r="BK17" s="13">
        <v>8.7200000000000003E-3</v>
      </c>
      <c r="BL17" s="13"/>
      <c r="BM17" s="13"/>
      <c r="BN17" s="13"/>
      <c r="BO17" s="13"/>
      <c r="BP17" s="13"/>
      <c r="BQ17" s="13"/>
    </row>
    <row r="18" spans="1:69">
      <c r="A18" s="13"/>
      <c r="B18" s="46" t="s">
        <v>545</v>
      </c>
      <c r="C18" s="46">
        <v>239.02</v>
      </c>
      <c r="D18" s="49">
        <v>-1.55E-2</v>
      </c>
      <c r="E18" s="13"/>
      <c r="F18" s="13"/>
      <c r="G18" s="13"/>
      <c r="H18" s="46" t="s">
        <v>545</v>
      </c>
      <c r="I18" s="48">
        <v>17154.3</v>
      </c>
      <c r="J18" s="49">
        <v>-1.49E-2</v>
      </c>
      <c r="K18" s="13"/>
      <c r="L18" s="13"/>
      <c r="M18" s="45" t="s">
        <v>171</v>
      </c>
      <c r="N18" s="45">
        <v>248</v>
      </c>
      <c r="O18" s="45">
        <v>0.12781500000000001</v>
      </c>
      <c r="P18" s="45" t="s">
        <v>161</v>
      </c>
      <c r="Q18" s="45" t="s">
        <v>161</v>
      </c>
      <c r="R18" s="45" t="s">
        <v>161</v>
      </c>
      <c r="S18" s="13"/>
      <c r="T18" s="13"/>
      <c r="U18" s="13"/>
      <c r="Z18" s="46" t="s">
        <v>546</v>
      </c>
      <c r="AA18" s="46">
        <v>266.64</v>
      </c>
      <c r="AB18" s="49">
        <v>3.3E-3</v>
      </c>
      <c r="AC18" s="13"/>
      <c r="AD18" s="13"/>
      <c r="AE18" s="13"/>
      <c r="AF18" s="46" t="s">
        <v>546</v>
      </c>
      <c r="AG18" s="48">
        <v>18105.3</v>
      </c>
      <c r="AH18" s="49">
        <v>1.6799999999999999E-2</v>
      </c>
      <c r="AI18" s="13"/>
      <c r="AJ18" s="13"/>
      <c r="AK18" s="45" t="s">
        <v>171</v>
      </c>
      <c r="AL18" s="45">
        <v>51</v>
      </c>
      <c r="AM18" s="45">
        <v>0.120175</v>
      </c>
      <c r="AN18" s="45" t="s">
        <v>161</v>
      </c>
      <c r="AO18" s="45" t="s">
        <v>161</v>
      </c>
      <c r="AP18" s="45" t="s">
        <v>161</v>
      </c>
      <c r="AQ18" s="13"/>
      <c r="AR18" s="13"/>
      <c r="AS18" s="13"/>
      <c r="AW18" s="13"/>
      <c r="AX18" s="13"/>
      <c r="AY18" s="13"/>
      <c r="AZ18" s="13"/>
      <c r="BA18" s="13"/>
      <c r="BB18" s="13"/>
      <c r="BC18" s="13"/>
      <c r="BD18" s="13"/>
      <c r="BE18" s="13"/>
      <c r="BF18" s="13"/>
      <c r="BG18" s="13"/>
      <c r="BH18" s="45" t="s">
        <v>171</v>
      </c>
      <c r="BI18" s="45">
        <v>12</v>
      </c>
      <c r="BJ18" s="45">
        <v>0.101913</v>
      </c>
      <c r="BK18" s="45" t="s">
        <v>161</v>
      </c>
      <c r="BL18" s="45" t="s">
        <v>161</v>
      </c>
      <c r="BM18" s="45" t="s">
        <v>161</v>
      </c>
      <c r="BN18" s="13"/>
      <c r="BO18" s="13"/>
      <c r="BP18" s="13"/>
      <c r="BQ18" s="13"/>
    </row>
    <row r="19" spans="1:69">
      <c r="A19" s="13"/>
      <c r="B19" s="47">
        <v>45202</v>
      </c>
      <c r="C19" s="46">
        <v>242.79</v>
      </c>
      <c r="D19" s="49">
        <v>-9.1000000000000004E-3</v>
      </c>
      <c r="E19" s="13"/>
      <c r="F19" s="13"/>
      <c r="G19" s="13"/>
      <c r="H19" s="47">
        <v>45202</v>
      </c>
      <c r="I19" s="48">
        <v>17412.900000000001</v>
      </c>
      <c r="J19" s="49">
        <v>-0.01</v>
      </c>
      <c r="K19" s="13"/>
      <c r="L19" s="13"/>
      <c r="M19" s="13"/>
      <c r="N19" s="13"/>
      <c r="O19" s="13"/>
      <c r="P19" s="13"/>
      <c r="Q19" s="13"/>
      <c r="R19" s="13"/>
      <c r="S19" s="13"/>
      <c r="T19" s="13"/>
      <c r="U19" s="13"/>
      <c r="Z19" s="46" t="s">
        <v>547</v>
      </c>
      <c r="AA19" s="46">
        <v>265.75</v>
      </c>
      <c r="AB19" s="49">
        <v>-3.2099999999999997E-2</v>
      </c>
      <c r="AC19" s="13"/>
      <c r="AD19" s="13"/>
      <c r="AE19" s="13"/>
      <c r="AF19" s="46" t="s">
        <v>547</v>
      </c>
      <c r="AG19" s="48">
        <v>17806.8</v>
      </c>
      <c r="AH19" s="49">
        <v>-2.53E-2</v>
      </c>
      <c r="AI19" s="13"/>
      <c r="AJ19" s="13"/>
      <c r="AK19" s="13"/>
      <c r="AL19" s="13"/>
      <c r="AM19" s="13"/>
      <c r="AN19" s="13"/>
      <c r="AO19" s="13"/>
      <c r="AP19" s="13"/>
      <c r="AQ19" s="13"/>
      <c r="AR19" s="13"/>
      <c r="AS19" s="13"/>
      <c r="AW19" s="13"/>
      <c r="AX19" s="13"/>
      <c r="AY19" s="13"/>
      <c r="AZ19" s="13"/>
      <c r="BA19" s="13"/>
      <c r="BB19" s="13"/>
      <c r="BC19" s="13"/>
      <c r="BD19" s="13"/>
      <c r="BE19" s="13"/>
      <c r="BF19" s="13"/>
      <c r="BG19" s="13"/>
      <c r="BH19" s="13"/>
      <c r="BI19" s="13"/>
      <c r="BJ19" s="13"/>
      <c r="BK19" s="13"/>
      <c r="BL19" s="13"/>
      <c r="BM19" s="13"/>
      <c r="BN19" s="13"/>
      <c r="BO19" s="13"/>
      <c r="BP19" s="13"/>
      <c r="BQ19" s="13"/>
    </row>
    <row r="20" spans="1:69">
      <c r="A20" s="13"/>
      <c r="B20" s="47">
        <v>45172</v>
      </c>
      <c r="C20" s="46">
        <v>245.02</v>
      </c>
      <c r="D20" s="49">
        <v>-9.5999999999999992E-3</v>
      </c>
      <c r="E20" s="13"/>
      <c r="F20" s="13"/>
      <c r="G20" s="13"/>
      <c r="H20" s="47">
        <v>45172</v>
      </c>
      <c r="I20" s="48">
        <v>17589.599999999999</v>
      </c>
      <c r="J20" s="49">
        <v>-9.2999999999999992E-3</v>
      </c>
      <c r="K20" s="13"/>
      <c r="L20" s="13"/>
      <c r="M20" s="43" t="s">
        <v>161</v>
      </c>
      <c r="N20" s="43" t="s">
        <v>174</v>
      </c>
      <c r="O20" s="43" t="s">
        <v>152</v>
      </c>
      <c r="P20" s="43" t="s">
        <v>175</v>
      </c>
      <c r="Q20" s="43" t="s">
        <v>176</v>
      </c>
      <c r="R20" s="43" t="s">
        <v>177</v>
      </c>
      <c r="S20" s="43" t="s">
        <v>178</v>
      </c>
      <c r="T20" s="43" t="s">
        <v>179</v>
      </c>
      <c r="U20" s="43" t="s">
        <v>180</v>
      </c>
      <c r="Z20" s="47">
        <v>44877</v>
      </c>
      <c r="AA20" s="46">
        <v>274.57</v>
      </c>
      <c r="AB20" s="49">
        <v>-9.1000000000000004E-3</v>
      </c>
      <c r="AC20" s="13"/>
      <c r="AD20" s="13"/>
      <c r="AE20" s="13"/>
      <c r="AF20" s="47">
        <v>44877</v>
      </c>
      <c r="AG20" s="48">
        <v>18269</v>
      </c>
      <c r="AH20" s="49">
        <v>-1.23E-2</v>
      </c>
      <c r="AI20" s="13"/>
      <c r="AJ20" s="13"/>
      <c r="AK20" s="43" t="s">
        <v>161</v>
      </c>
      <c r="AL20" s="43" t="s">
        <v>174</v>
      </c>
      <c r="AM20" s="43" t="s">
        <v>152</v>
      </c>
      <c r="AN20" s="43" t="s">
        <v>175</v>
      </c>
      <c r="AO20" s="43" t="s">
        <v>176</v>
      </c>
      <c r="AP20" s="43" t="s">
        <v>177</v>
      </c>
      <c r="AQ20" s="43" t="s">
        <v>178</v>
      </c>
      <c r="AR20" s="43" t="s">
        <v>179</v>
      </c>
      <c r="AS20" s="43" t="s">
        <v>180</v>
      </c>
      <c r="AW20" s="13"/>
      <c r="AX20" s="13"/>
      <c r="AY20" s="13"/>
      <c r="AZ20" s="13"/>
      <c r="BA20" s="13"/>
      <c r="BB20" s="13"/>
      <c r="BC20" s="13"/>
      <c r="BD20" s="13"/>
      <c r="BE20" s="13"/>
      <c r="BF20" s="13"/>
      <c r="BG20" s="13"/>
      <c r="BH20" s="43" t="s">
        <v>161</v>
      </c>
      <c r="BI20" s="43" t="s">
        <v>174</v>
      </c>
      <c r="BJ20" s="43" t="s">
        <v>152</v>
      </c>
      <c r="BK20" s="43" t="s">
        <v>175</v>
      </c>
      <c r="BL20" s="43" t="s">
        <v>176</v>
      </c>
      <c r="BM20" s="43" t="s">
        <v>177</v>
      </c>
      <c r="BN20" s="43" t="s">
        <v>178</v>
      </c>
      <c r="BO20" s="43" t="s">
        <v>179</v>
      </c>
      <c r="BP20" s="43" t="s">
        <v>180</v>
      </c>
      <c r="BQ20" s="13"/>
    </row>
    <row r="21" spans="1:69">
      <c r="A21" s="13"/>
      <c r="B21" s="47">
        <v>45141</v>
      </c>
      <c r="C21" s="46">
        <v>247.4</v>
      </c>
      <c r="D21" s="49">
        <v>-1.18E-2</v>
      </c>
      <c r="E21" s="13"/>
      <c r="F21" s="13"/>
      <c r="G21" s="13"/>
      <c r="H21" s="47">
        <v>45141</v>
      </c>
      <c r="I21" s="48">
        <v>17754.400000000001</v>
      </c>
      <c r="J21" s="49">
        <v>2.3999999999999998E-3</v>
      </c>
      <c r="K21" s="13"/>
      <c r="L21" s="13"/>
      <c r="M21" s="13" t="s">
        <v>182</v>
      </c>
      <c r="N21" s="13">
        <v>-5.2999999999999998E-4</v>
      </c>
      <c r="O21" s="13">
        <v>1.3760000000000001E-3</v>
      </c>
      <c r="P21" s="13">
        <v>-0.38879999999999998</v>
      </c>
      <c r="Q21" s="13">
        <v>0.69775900000000002</v>
      </c>
      <c r="R21" s="13">
        <v>-3.2399999999999998E-3</v>
      </c>
      <c r="S21" s="13">
        <v>2.1749999999999999E-3</v>
      </c>
      <c r="T21" s="13">
        <v>-3.2399999999999998E-3</v>
      </c>
      <c r="U21" s="13">
        <v>2.1749999999999999E-3</v>
      </c>
      <c r="Z21" s="47">
        <v>44663</v>
      </c>
      <c r="AA21" s="46">
        <v>277.10000000000002</v>
      </c>
      <c r="AB21" s="49">
        <v>2.1600000000000001E-2</v>
      </c>
      <c r="AC21" s="13"/>
      <c r="AD21" s="13"/>
      <c r="AE21" s="13"/>
      <c r="AF21" s="47">
        <v>44663</v>
      </c>
      <c r="AG21" s="48">
        <v>18496.599999999999</v>
      </c>
      <c r="AH21" s="49">
        <v>-1.0699999999999999E-2</v>
      </c>
      <c r="AI21" s="13"/>
      <c r="AJ21" s="13"/>
      <c r="AK21" s="13" t="s">
        <v>182</v>
      </c>
      <c r="AL21" s="13">
        <v>-1.9400000000000001E-3</v>
      </c>
      <c r="AM21" s="13">
        <v>6.0639999999999999E-3</v>
      </c>
      <c r="AN21" s="13">
        <v>-0.31918000000000002</v>
      </c>
      <c r="AO21" s="13">
        <v>0.75092199999999998</v>
      </c>
      <c r="AP21" s="13">
        <v>-1.4120000000000001E-2</v>
      </c>
      <c r="AQ21" s="13">
        <v>1.0245000000000001E-2</v>
      </c>
      <c r="AR21" s="13">
        <v>-1.4120000000000001E-2</v>
      </c>
      <c r="AS21" s="13">
        <v>1.0245000000000001E-2</v>
      </c>
      <c r="AW21" s="13"/>
      <c r="AX21" s="13"/>
      <c r="AY21" s="13"/>
      <c r="AZ21" s="13"/>
      <c r="BA21" s="13"/>
      <c r="BB21" s="13"/>
      <c r="BC21" s="13"/>
      <c r="BD21" s="13"/>
      <c r="BE21" s="13"/>
      <c r="BF21" s="13"/>
      <c r="BG21" s="13"/>
      <c r="BH21" s="13" t="s">
        <v>182</v>
      </c>
      <c r="BI21" s="13">
        <v>-1.4069999999999999E-2</v>
      </c>
      <c r="BJ21" s="13">
        <v>2.5989000000000002E-2</v>
      </c>
      <c r="BK21" s="13">
        <v>-0.54130999999999996</v>
      </c>
      <c r="BL21" s="13">
        <v>0.59908499999999998</v>
      </c>
      <c r="BM21" s="13">
        <v>-7.127E-2</v>
      </c>
      <c r="BN21" s="13">
        <v>4.3132999999999998E-2</v>
      </c>
      <c r="BO21" s="13">
        <v>-7.127E-2</v>
      </c>
      <c r="BP21" s="13">
        <v>4.3132999999999998E-2</v>
      </c>
      <c r="BQ21" s="13"/>
    </row>
    <row r="22" spans="1:69">
      <c r="A22" s="13"/>
      <c r="B22" s="47">
        <v>45080</v>
      </c>
      <c r="C22" s="46">
        <v>250.35</v>
      </c>
      <c r="D22" s="49">
        <v>3.5999999999999999E-3</v>
      </c>
      <c r="E22" s="13"/>
      <c r="F22" s="13"/>
      <c r="G22" s="13"/>
      <c r="H22" s="47">
        <v>45080</v>
      </c>
      <c r="I22" s="48">
        <v>17711.45</v>
      </c>
      <c r="J22" s="49">
        <v>6.7000000000000002E-3</v>
      </c>
      <c r="K22" s="13"/>
      <c r="L22" s="13"/>
      <c r="M22" s="45" t="s">
        <v>183</v>
      </c>
      <c r="N22" s="45">
        <v>0.73098300000000005</v>
      </c>
      <c r="O22" s="45">
        <v>0.148342</v>
      </c>
      <c r="P22" s="45">
        <v>4.9276850000000003</v>
      </c>
      <c r="Q22" s="56">
        <v>1.53E-6</v>
      </c>
      <c r="R22" s="45">
        <v>0.43880599999999997</v>
      </c>
      <c r="S22" s="45">
        <v>1.0231600000000001</v>
      </c>
      <c r="T22" s="45">
        <v>0.43880599999999997</v>
      </c>
      <c r="U22" s="45">
        <v>1.0231600000000001</v>
      </c>
      <c r="Z22" s="46" t="s">
        <v>548</v>
      </c>
      <c r="AA22" s="46">
        <v>271.23</v>
      </c>
      <c r="AB22" s="49">
        <v>2.1999999999999999E-2</v>
      </c>
      <c r="AC22" s="13"/>
      <c r="AD22" s="13"/>
      <c r="AE22" s="13"/>
      <c r="AF22" s="46" t="s">
        <v>548</v>
      </c>
      <c r="AG22" s="48">
        <v>18696.099999999999</v>
      </c>
      <c r="AH22" s="49">
        <v>9.9000000000000008E-3</v>
      </c>
      <c r="AI22" s="13"/>
      <c r="AJ22" s="13"/>
      <c r="AK22" s="45" t="s">
        <v>183</v>
      </c>
      <c r="AL22" s="45">
        <v>1.1092569999999999</v>
      </c>
      <c r="AM22" s="45">
        <v>0.30945600000000001</v>
      </c>
      <c r="AN22" s="45">
        <v>3.584543</v>
      </c>
      <c r="AO22" s="45">
        <v>7.6499999999999995E-4</v>
      </c>
      <c r="AP22" s="45">
        <v>0.48769699999999999</v>
      </c>
      <c r="AQ22" s="45">
        <v>1.730817</v>
      </c>
      <c r="AR22" s="45">
        <v>0.48769699999999999</v>
      </c>
      <c r="AS22" s="45">
        <v>1.730817</v>
      </c>
      <c r="AW22" s="13"/>
      <c r="AX22" s="13"/>
      <c r="AY22" s="13"/>
      <c r="AZ22" s="13"/>
      <c r="BA22" s="13"/>
      <c r="BB22" s="13"/>
      <c r="BC22" s="13"/>
      <c r="BD22" s="13"/>
      <c r="BE22" s="13"/>
      <c r="BF22" s="13"/>
      <c r="BG22" s="13"/>
      <c r="BH22" s="45" t="s">
        <v>183</v>
      </c>
      <c r="BI22" s="45">
        <v>0.518648</v>
      </c>
      <c r="BJ22" s="45">
        <v>0.62575599999999998</v>
      </c>
      <c r="BK22" s="45">
        <v>0.82883399999999996</v>
      </c>
      <c r="BL22" s="45">
        <v>0.42481799999999997</v>
      </c>
      <c r="BM22" s="45">
        <v>-0.85863</v>
      </c>
      <c r="BN22" s="45">
        <v>1.8959280000000001</v>
      </c>
      <c r="BO22" s="45">
        <v>-0.85863</v>
      </c>
      <c r="BP22" s="45">
        <v>1.8959280000000001</v>
      </c>
      <c r="BQ22" s="13"/>
    </row>
    <row r="23" spans="1:69">
      <c r="A23" s="13"/>
      <c r="B23" s="47">
        <v>44988</v>
      </c>
      <c r="C23" s="46">
        <v>249.44</v>
      </c>
      <c r="D23" s="49">
        <v>4.1000000000000003E-3</v>
      </c>
      <c r="E23" s="13"/>
      <c r="F23" s="13"/>
      <c r="G23" s="13"/>
      <c r="H23" s="47">
        <v>44988</v>
      </c>
      <c r="I23" s="48">
        <v>17594.349999999999</v>
      </c>
      <c r="J23" s="49">
        <v>1.5699999999999999E-2</v>
      </c>
      <c r="K23" s="13"/>
      <c r="L23" s="13"/>
      <c r="M23" s="13"/>
      <c r="N23" s="13"/>
      <c r="O23" s="13"/>
      <c r="P23" s="13"/>
      <c r="Q23" s="13"/>
      <c r="R23" s="13"/>
      <c r="S23" s="13"/>
      <c r="T23" s="13"/>
      <c r="U23" s="13"/>
      <c r="Z23" s="46" t="s">
        <v>549</v>
      </c>
      <c r="AA23" s="46">
        <v>265.38</v>
      </c>
      <c r="AB23" s="49">
        <v>-1.24E-2</v>
      </c>
      <c r="AC23" s="13"/>
      <c r="AD23" s="13"/>
      <c r="AE23" s="13"/>
      <c r="AF23" s="46" t="s">
        <v>549</v>
      </c>
      <c r="AG23" s="48">
        <v>18512.75</v>
      </c>
      <c r="AH23" s="49">
        <v>1.12E-2</v>
      </c>
      <c r="AI23" s="13"/>
      <c r="AJ23" s="13"/>
      <c r="AK23" s="13"/>
      <c r="AL23" s="13"/>
      <c r="AM23" s="13"/>
      <c r="AN23" s="13"/>
      <c r="AO23" s="13"/>
      <c r="AP23" s="13"/>
      <c r="AQ23" s="13"/>
      <c r="AR23" s="13"/>
      <c r="AS23" s="13"/>
      <c r="AW23" s="13"/>
      <c r="AX23" s="13"/>
      <c r="AY23" s="13"/>
      <c r="AZ23" s="13"/>
      <c r="BA23" s="13"/>
      <c r="BB23" s="13"/>
      <c r="BC23" s="13"/>
      <c r="BD23" s="13"/>
      <c r="BE23" s="13"/>
      <c r="BF23" s="13"/>
      <c r="BG23" s="13"/>
      <c r="BH23" s="13"/>
      <c r="BI23" s="13"/>
      <c r="BJ23" s="13"/>
      <c r="BK23" s="13"/>
      <c r="BL23" s="13"/>
      <c r="BM23" s="13"/>
      <c r="BN23" s="13"/>
      <c r="BO23" s="13"/>
      <c r="BP23" s="13"/>
      <c r="BQ23" s="13"/>
    </row>
    <row r="24" spans="1:69">
      <c r="A24" s="13"/>
      <c r="B24" s="47">
        <v>44960</v>
      </c>
      <c r="C24" s="46">
        <v>248.41</v>
      </c>
      <c r="D24" s="49">
        <v>-6.1999999999999998E-3</v>
      </c>
      <c r="E24" s="13"/>
      <c r="F24" s="13"/>
      <c r="G24" s="13"/>
      <c r="H24" s="47">
        <v>44960</v>
      </c>
      <c r="I24" s="48">
        <v>17321.900000000001</v>
      </c>
      <c r="J24" s="49">
        <v>-7.4000000000000003E-3</v>
      </c>
      <c r="K24" s="13"/>
      <c r="L24" s="13"/>
      <c r="M24" s="51" t="s">
        <v>185</v>
      </c>
      <c r="N24" s="51">
        <v>0.73098300000000005</v>
      </c>
      <c r="O24" s="13"/>
      <c r="P24" s="13"/>
      <c r="Q24" s="13"/>
      <c r="R24" s="13"/>
      <c r="S24" s="13"/>
      <c r="T24" s="13"/>
      <c r="U24" s="13"/>
      <c r="Z24" s="46" t="s">
        <v>550</v>
      </c>
      <c r="AA24" s="46">
        <v>268.7</v>
      </c>
      <c r="AB24" s="49">
        <v>-1.67E-2</v>
      </c>
      <c r="AC24" s="13"/>
      <c r="AD24" s="13"/>
      <c r="AE24" s="13"/>
      <c r="AF24" s="46" t="s">
        <v>550</v>
      </c>
      <c r="AG24" s="48">
        <v>18307.650000000001</v>
      </c>
      <c r="AH24" s="49">
        <v>-2.3E-3</v>
      </c>
      <c r="AI24" s="13"/>
      <c r="AJ24" s="13"/>
      <c r="AK24" s="51" t="s">
        <v>185</v>
      </c>
      <c r="AL24" s="51">
        <v>1.1092569999999999</v>
      </c>
      <c r="AM24" s="13"/>
      <c r="AN24" s="13"/>
      <c r="AO24" s="13"/>
      <c r="AP24" s="13"/>
      <c r="AQ24" s="13"/>
      <c r="AR24" s="13"/>
      <c r="AS24" s="13"/>
      <c r="BH24" s="60" t="s">
        <v>185</v>
      </c>
      <c r="BI24" s="60">
        <v>0.518648</v>
      </c>
    </row>
    <row r="25" spans="1:69">
      <c r="A25" s="13"/>
      <c r="B25" s="47">
        <v>44929</v>
      </c>
      <c r="C25" s="46">
        <v>249.97</v>
      </c>
      <c r="D25" s="49">
        <v>1.0999999999999999E-2</v>
      </c>
      <c r="E25" s="13"/>
      <c r="F25" s="13"/>
      <c r="G25" s="13"/>
      <c r="H25" s="47">
        <v>44929</v>
      </c>
      <c r="I25" s="48">
        <v>17450.900000000001</v>
      </c>
      <c r="J25" s="49">
        <v>8.5000000000000006E-3</v>
      </c>
      <c r="K25" s="13"/>
      <c r="L25" s="13"/>
      <c r="M25" s="13"/>
      <c r="N25" s="13"/>
      <c r="O25" s="13"/>
      <c r="P25" s="13"/>
      <c r="Q25" s="13"/>
      <c r="R25" s="13"/>
      <c r="S25" s="13"/>
      <c r="T25" s="13"/>
      <c r="U25" s="13"/>
      <c r="Z25" s="47">
        <v>44723</v>
      </c>
      <c r="AA25" s="46">
        <v>273.25</v>
      </c>
      <c r="AB25" s="49">
        <v>-4.1099999999999998E-2</v>
      </c>
      <c r="AC25" s="13"/>
      <c r="AD25" s="13"/>
      <c r="AE25" s="13"/>
      <c r="AF25" s="47">
        <v>44723</v>
      </c>
      <c r="AG25" s="48">
        <v>18349.7</v>
      </c>
      <c r="AH25" s="49">
        <v>1.2800000000000001E-2</v>
      </c>
      <c r="AI25" s="13"/>
      <c r="AJ25" s="13"/>
      <c r="AK25" s="13"/>
      <c r="AL25" s="13"/>
      <c r="AM25" s="13"/>
      <c r="AN25" s="13"/>
      <c r="AO25" s="13"/>
      <c r="AP25" s="13"/>
      <c r="AQ25" s="13"/>
      <c r="AR25" s="13"/>
      <c r="AS25" s="13"/>
    </row>
    <row r="26" spans="1:69">
      <c r="A26" s="13"/>
      <c r="B26" s="46" t="s">
        <v>551</v>
      </c>
      <c r="C26" s="46">
        <v>247.24</v>
      </c>
      <c r="D26" s="49">
        <v>1.1599999999999999E-2</v>
      </c>
      <c r="E26" s="13"/>
      <c r="F26" s="13"/>
      <c r="G26" s="13"/>
      <c r="H26" s="46" t="s">
        <v>551</v>
      </c>
      <c r="I26" s="48">
        <v>17303.95</v>
      </c>
      <c r="J26" s="49">
        <v>-5.1000000000000004E-3</v>
      </c>
      <c r="K26" s="13"/>
      <c r="L26" s="13"/>
      <c r="M26" s="13"/>
      <c r="N26" s="13"/>
      <c r="O26" s="13"/>
      <c r="P26" s="13"/>
      <c r="Q26" s="13"/>
      <c r="R26" s="13"/>
      <c r="S26" s="13"/>
      <c r="T26" s="13"/>
      <c r="U26" s="13"/>
      <c r="Z26" s="46" t="s">
        <v>552</v>
      </c>
      <c r="AA26" s="46">
        <v>284.95</v>
      </c>
      <c r="AB26" s="49">
        <v>-3.2399999999999998E-2</v>
      </c>
      <c r="AC26" s="13"/>
      <c r="AD26" s="13"/>
      <c r="AE26" s="13"/>
      <c r="AF26" s="46" t="s">
        <v>552</v>
      </c>
      <c r="AG26" s="48">
        <v>18117.150000000001</v>
      </c>
      <c r="AH26" s="49">
        <v>1.8599999999999998E-2</v>
      </c>
      <c r="AI26" s="13"/>
      <c r="AJ26" s="13"/>
      <c r="AK26" s="13"/>
      <c r="AL26" s="13"/>
      <c r="AM26" s="13"/>
      <c r="AN26" s="13"/>
      <c r="AO26" s="13"/>
      <c r="AP26" s="13"/>
      <c r="AQ26" s="13"/>
      <c r="AR26" s="13"/>
      <c r="AS26" s="13"/>
    </row>
    <row r="27" spans="1:69">
      <c r="A27" s="13"/>
      <c r="B27" s="46" t="s">
        <v>553</v>
      </c>
      <c r="C27" s="46">
        <v>244.4</v>
      </c>
      <c r="D27" s="49">
        <v>2.4500000000000001E-2</v>
      </c>
      <c r="E27" s="13"/>
      <c r="F27" s="13"/>
      <c r="G27" s="13"/>
      <c r="H27" s="46" t="s">
        <v>553</v>
      </c>
      <c r="I27" s="48">
        <v>17392.7</v>
      </c>
      <c r="J27" s="49">
        <v>-4.1999999999999997E-3</v>
      </c>
      <c r="K27" s="13"/>
      <c r="L27" s="13"/>
      <c r="M27" s="13"/>
      <c r="N27" s="13"/>
      <c r="O27" s="13"/>
      <c r="P27" s="13"/>
      <c r="Q27" s="13"/>
      <c r="R27" s="13"/>
      <c r="S27" s="13"/>
      <c r="T27" s="13"/>
      <c r="U27" s="13"/>
      <c r="Z27" s="46" t="s">
        <v>554</v>
      </c>
      <c r="AA27" s="46">
        <v>294.48</v>
      </c>
      <c r="AB27" s="49">
        <v>1.8499999999999999E-2</v>
      </c>
      <c r="AC27" s="13"/>
      <c r="AD27" s="13"/>
      <c r="AE27" s="13"/>
      <c r="AF27" s="46" t="s">
        <v>554</v>
      </c>
      <c r="AG27" s="48">
        <v>17786.8</v>
      </c>
      <c r="AH27" s="49">
        <v>1.2E-2</v>
      </c>
      <c r="AI27" s="13"/>
      <c r="AJ27" s="13"/>
      <c r="AK27" s="13"/>
      <c r="AL27" s="13"/>
      <c r="AM27" s="13"/>
      <c r="AN27" s="13"/>
      <c r="AO27" s="13"/>
      <c r="AP27" s="13"/>
      <c r="AQ27" s="13"/>
      <c r="AR27" s="13"/>
      <c r="AS27" s="13"/>
    </row>
    <row r="28" spans="1:69">
      <c r="A28" s="13"/>
      <c r="B28" s="46" t="s">
        <v>555</v>
      </c>
      <c r="C28" s="46">
        <v>238.55</v>
      </c>
      <c r="D28" s="49">
        <v>-2.1299999999999999E-2</v>
      </c>
      <c r="E28" s="13"/>
      <c r="F28" s="13"/>
      <c r="G28" s="13"/>
      <c r="H28" s="46" t="s">
        <v>555</v>
      </c>
      <c r="I28" s="48">
        <v>17465.8</v>
      </c>
      <c r="J28" s="49">
        <v>-2.5999999999999999E-3</v>
      </c>
      <c r="K28" s="13"/>
      <c r="L28" s="13"/>
      <c r="M28" s="13"/>
      <c r="N28" s="13"/>
      <c r="O28" s="13"/>
      <c r="P28" s="13"/>
      <c r="Q28" s="13"/>
      <c r="R28" s="13"/>
      <c r="S28" s="13"/>
      <c r="T28" s="13"/>
      <c r="U28" s="13"/>
      <c r="Z28" s="46" t="s">
        <v>556</v>
      </c>
      <c r="AA28" s="46">
        <v>289.14</v>
      </c>
      <c r="AB28" s="49">
        <v>1.2699999999999999E-2</v>
      </c>
      <c r="AC28" s="13"/>
      <c r="AD28" s="13"/>
      <c r="AE28" s="13"/>
      <c r="AF28" s="46" t="s">
        <v>556</v>
      </c>
      <c r="AG28" s="48">
        <v>17576.3</v>
      </c>
      <c r="AH28" s="49">
        <v>2.2700000000000001E-2</v>
      </c>
      <c r="AI28" s="13"/>
      <c r="AJ28" s="13"/>
      <c r="AK28" s="13"/>
      <c r="AL28" s="13"/>
      <c r="AM28" s="13"/>
      <c r="AN28" s="13"/>
      <c r="AO28" s="13"/>
      <c r="AP28" s="13"/>
      <c r="AQ28" s="13"/>
      <c r="AR28" s="13"/>
      <c r="AS28" s="13"/>
    </row>
    <row r="29" spans="1:69">
      <c r="A29" s="13"/>
      <c r="B29" s="46" t="s">
        <v>557</v>
      </c>
      <c r="C29" s="46">
        <v>243.75</v>
      </c>
      <c r="D29" s="49">
        <v>-4.4999999999999997E-3</v>
      </c>
      <c r="E29" s="13"/>
      <c r="F29" s="13"/>
      <c r="G29" s="13"/>
      <c r="H29" s="46" t="s">
        <v>557</v>
      </c>
      <c r="I29" s="48">
        <v>17511.25</v>
      </c>
      <c r="J29" s="49">
        <v>-2.5000000000000001E-3</v>
      </c>
      <c r="K29" s="13"/>
      <c r="L29" s="13"/>
      <c r="M29" s="13"/>
      <c r="N29" s="13"/>
      <c r="O29" s="13"/>
      <c r="P29" s="13"/>
      <c r="Q29" s="13"/>
      <c r="R29" s="13"/>
      <c r="S29" s="13"/>
      <c r="T29" s="13"/>
      <c r="U29" s="13"/>
      <c r="Z29" s="47">
        <v>44814</v>
      </c>
      <c r="AA29" s="46">
        <v>285.51</v>
      </c>
      <c r="AB29" s="49">
        <v>-3.2000000000000001E-2</v>
      </c>
      <c r="AC29" s="13"/>
      <c r="AD29" s="13"/>
      <c r="AE29" s="13"/>
      <c r="AF29" s="47">
        <v>44814</v>
      </c>
      <c r="AG29" s="48">
        <v>17185.7</v>
      </c>
      <c r="AH29" s="49">
        <v>-7.4000000000000003E-3</v>
      </c>
      <c r="AI29" s="13"/>
      <c r="AJ29" s="13"/>
      <c r="AK29" s="13"/>
      <c r="AL29" s="13"/>
      <c r="AM29" s="13"/>
      <c r="AN29" s="13"/>
      <c r="AO29" s="13"/>
      <c r="AP29" s="13"/>
      <c r="AQ29" s="13"/>
      <c r="AR29" s="13"/>
      <c r="AS29" s="13"/>
    </row>
    <row r="30" spans="1:69">
      <c r="A30" s="13"/>
      <c r="B30" s="46" t="s">
        <v>558</v>
      </c>
      <c r="C30" s="46">
        <v>244.85</v>
      </c>
      <c r="D30" s="49">
        <v>-1.0200000000000001E-2</v>
      </c>
      <c r="E30" s="13"/>
      <c r="F30" s="13"/>
      <c r="G30" s="13"/>
      <c r="H30" s="46" t="s">
        <v>558</v>
      </c>
      <c r="I30" s="48">
        <v>17554.3</v>
      </c>
      <c r="J30" s="49">
        <v>-1.5299999999999999E-2</v>
      </c>
      <c r="K30" s="13"/>
      <c r="L30" s="13"/>
      <c r="M30" s="13"/>
      <c r="N30" s="13"/>
      <c r="O30" s="13"/>
      <c r="P30" s="13"/>
      <c r="Q30" s="13"/>
      <c r="R30" s="13"/>
      <c r="S30" s="13"/>
      <c r="T30" s="13"/>
      <c r="U30" s="13"/>
      <c r="Z30" s="47">
        <v>44602</v>
      </c>
      <c r="AA30" s="46">
        <v>294.95999999999998</v>
      </c>
      <c r="AB30" s="49">
        <v>-1.43E-2</v>
      </c>
      <c r="AC30" s="13"/>
      <c r="AD30" s="13"/>
      <c r="AE30" s="13"/>
      <c r="AF30" s="47">
        <v>44602</v>
      </c>
      <c r="AG30" s="48">
        <v>17314.650000000001</v>
      </c>
      <c r="AH30" s="49">
        <v>1.29E-2</v>
      </c>
      <c r="AI30" s="13"/>
      <c r="AJ30" s="13"/>
      <c r="AK30" s="13"/>
      <c r="AL30" s="13"/>
      <c r="AM30" s="13"/>
      <c r="AN30" s="13"/>
      <c r="AO30" s="13"/>
      <c r="AP30" s="13"/>
      <c r="AQ30" s="13"/>
      <c r="AR30" s="13"/>
      <c r="AS30" s="13"/>
    </row>
    <row r="31" spans="1:69">
      <c r="A31" s="13"/>
      <c r="B31" s="46" t="s">
        <v>559</v>
      </c>
      <c r="C31" s="46">
        <v>247.38</v>
      </c>
      <c r="D31" s="49">
        <v>3.32E-2</v>
      </c>
      <c r="E31" s="13"/>
      <c r="F31" s="13"/>
      <c r="G31" s="13"/>
      <c r="H31" s="46" t="s">
        <v>559</v>
      </c>
      <c r="I31" s="48">
        <v>17826.7</v>
      </c>
      <c r="J31" s="49">
        <v>-1E-3</v>
      </c>
      <c r="K31" s="13"/>
      <c r="L31" s="13"/>
      <c r="M31" s="13"/>
      <c r="N31" s="13"/>
      <c r="O31" s="13"/>
      <c r="P31" s="13"/>
      <c r="Q31" s="13"/>
      <c r="R31" s="13"/>
      <c r="S31" s="13"/>
      <c r="T31" s="13"/>
      <c r="U31" s="13"/>
      <c r="Z31" s="46" t="s">
        <v>560</v>
      </c>
      <c r="AA31" s="46">
        <v>299.25</v>
      </c>
      <c r="AB31" s="49">
        <v>3.2199999999999999E-2</v>
      </c>
      <c r="AC31" s="13"/>
      <c r="AD31" s="13"/>
      <c r="AE31" s="13"/>
      <c r="AF31" s="46" t="s">
        <v>560</v>
      </c>
      <c r="AG31" s="48">
        <v>17094.349999999999</v>
      </c>
      <c r="AH31" s="49">
        <v>-1.34E-2</v>
      </c>
      <c r="AI31" s="13"/>
      <c r="AJ31" s="13"/>
      <c r="AK31" s="13"/>
      <c r="AL31" s="13"/>
      <c r="AM31" s="13"/>
      <c r="AN31" s="13"/>
      <c r="AO31" s="13"/>
      <c r="AP31" s="13"/>
      <c r="AQ31" s="13"/>
      <c r="AR31" s="13"/>
      <c r="AS31" s="13"/>
    </row>
    <row r="32" spans="1:69">
      <c r="A32" s="13"/>
      <c r="B32" s="46" t="s">
        <v>561</v>
      </c>
      <c r="C32" s="46">
        <v>239.43</v>
      </c>
      <c r="D32" s="49">
        <v>2.23E-2</v>
      </c>
      <c r="E32" s="13"/>
      <c r="F32" s="13"/>
      <c r="G32" s="13"/>
      <c r="H32" s="46" t="s">
        <v>561</v>
      </c>
      <c r="I32" s="48">
        <v>17844.599999999999</v>
      </c>
      <c r="J32" s="49">
        <v>-5.5999999999999999E-3</v>
      </c>
      <c r="K32" s="13"/>
      <c r="L32" s="13"/>
      <c r="M32" s="13"/>
      <c r="N32" s="13"/>
      <c r="O32" s="13"/>
      <c r="P32" s="13"/>
      <c r="Q32" s="13"/>
      <c r="R32" s="13"/>
      <c r="S32" s="13"/>
      <c r="T32" s="13"/>
      <c r="U32" s="13"/>
      <c r="Z32" s="46" t="s">
        <v>562</v>
      </c>
      <c r="AA32" s="46">
        <v>289.92</v>
      </c>
      <c r="AB32" s="49">
        <v>-3.5999999999999999E-3</v>
      </c>
      <c r="AC32" s="13"/>
      <c r="AD32" s="13"/>
      <c r="AE32" s="13"/>
      <c r="AF32" s="46" t="s">
        <v>562</v>
      </c>
      <c r="AG32" s="48">
        <v>17327.349999999999</v>
      </c>
      <c r="AH32" s="49">
        <v>-1.1599999999999999E-2</v>
      </c>
      <c r="AI32" s="13"/>
      <c r="AJ32" s="13"/>
      <c r="AK32" s="13"/>
      <c r="AL32" s="13"/>
      <c r="AM32" s="13"/>
      <c r="AN32" s="13"/>
      <c r="AO32" s="13"/>
      <c r="AP32" s="13"/>
      <c r="AQ32" s="13"/>
      <c r="AR32" s="13"/>
      <c r="AS32" s="13"/>
    </row>
    <row r="33" spans="1:45">
      <c r="A33" s="13"/>
      <c r="B33" s="46" t="s">
        <v>563</v>
      </c>
      <c r="C33" s="46">
        <v>234.2</v>
      </c>
      <c r="D33" s="49">
        <v>-1.1900000000000001E-2</v>
      </c>
      <c r="E33" s="13"/>
      <c r="F33" s="13"/>
      <c r="G33" s="13"/>
      <c r="H33" s="46" t="s">
        <v>563</v>
      </c>
      <c r="I33" s="48">
        <v>17944.2</v>
      </c>
      <c r="J33" s="49">
        <v>-5.1000000000000004E-3</v>
      </c>
      <c r="K33" s="13"/>
      <c r="L33" s="13"/>
      <c r="M33" s="13"/>
      <c r="N33" s="13"/>
      <c r="O33" s="13"/>
      <c r="P33" s="13"/>
      <c r="Q33" s="13"/>
      <c r="R33" s="13"/>
      <c r="S33" s="13"/>
      <c r="T33" s="13"/>
      <c r="U33" s="13"/>
      <c r="Z33" s="47">
        <v>44874</v>
      </c>
      <c r="AA33" s="46">
        <v>290.95999999999998</v>
      </c>
      <c r="AB33" s="49">
        <v>2.98E-2</v>
      </c>
      <c r="AC33" s="13"/>
      <c r="AD33" s="13"/>
      <c r="AE33" s="13"/>
      <c r="AF33" s="47">
        <v>44874</v>
      </c>
      <c r="AG33" s="48">
        <v>17530.849999999999</v>
      </c>
      <c r="AH33" s="49">
        <v>-1.7000000000000001E-2</v>
      </c>
      <c r="AI33" s="13"/>
      <c r="AJ33" s="13"/>
      <c r="AK33" s="13"/>
      <c r="AL33" s="13"/>
      <c r="AM33" s="13"/>
      <c r="AN33" s="13"/>
      <c r="AO33" s="13"/>
      <c r="AP33" s="13"/>
      <c r="AQ33" s="13"/>
      <c r="AR33" s="13"/>
      <c r="AS33" s="13"/>
    </row>
    <row r="34" spans="1:45">
      <c r="A34" s="13"/>
      <c r="B34" s="46" t="s">
        <v>564</v>
      </c>
      <c r="C34" s="46">
        <v>237.03</v>
      </c>
      <c r="D34" s="49">
        <v>3.09E-2</v>
      </c>
      <c r="E34" s="13"/>
      <c r="F34" s="13"/>
      <c r="G34" s="13"/>
      <c r="H34" s="46" t="s">
        <v>564</v>
      </c>
      <c r="I34" s="48">
        <v>18035.849999999999</v>
      </c>
      <c r="J34" s="49">
        <v>1.1000000000000001E-3</v>
      </c>
      <c r="K34" s="13"/>
      <c r="L34" s="13"/>
      <c r="M34" s="13"/>
      <c r="N34" s="13"/>
      <c r="O34" s="13"/>
      <c r="P34" s="13"/>
      <c r="Q34" s="13"/>
      <c r="R34" s="13"/>
      <c r="S34" s="13"/>
      <c r="T34" s="13"/>
      <c r="U34" s="13"/>
      <c r="Z34" s="47">
        <v>44660</v>
      </c>
      <c r="AA34" s="46">
        <v>282.52999999999997</v>
      </c>
      <c r="AB34" s="49">
        <v>4.2999999999999997E-2</v>
      </c>
      <c r="AC34" s="13"/>
      <c r="AD34" s="13"/>
      <c r="AE34" s="13"/>
      <c r="AF34" s="47">
        <v>44660</v>
      </c>
      <c r="AG34" s="48">
        <v>17833.349999999999</v>
      </c>
      <c r="AH34" s="49">
        <v>1.6799999999999999E-2</v>
      </c>
      <c r="AI34" s="13"/>
      <c r="AJ34" s="13"/>
      <c r="AK34" s="13"/>
      <c r="AL34" s="13"/>
      <c r="AM34" s="13"/>
      <c r="AN34" s="13"/>
      <c r="AO34" s="13"/>
      <c r="AP34" s="13"/>
      <c r="AQ34" s="13"/>
      <c r="AR34" s="13"/>
      <c r="AS34" s="13"/>
    </row>
    <row r="35" spans="1:45">
      <c r="A35" s="13"/>
      <c r="B35" s="46" t="s">
        <v>565</v>
      </c>
      <c r="C35" s="46">
        <v>229.93</v>
      </c>
      <c r="D35" s="49">
        <v>-2.53E-2</v>
      </c>
      <c r="E35" s="13"/>
      <c r="F35" s="13"/>
      <c r="G35" s="13"/>
      <c r="H35" s="46" t="s">
        <v>565</v>
      </c>
      <c r="I35" s="48">
        <v>18015.849999999999</v>
      </c>
      <c r="J35" s="49">
        <v>4.7999999999999996E-3</v>
      </c>
      <c r="K35" s="13"/>
      <c r="L35" s="13"/>
      <c r="M35" s="13"/>
      <c r="N35" s="13"/>
      <c r="O35" s="13"/>
      <c r="P35" s="13"/>
      <c r="Q35" s="13"/>
      <c r="R35" s="13"/>
      <c r="S35" s="13"/>
      <c r="T35" s="13"/>
      <c r="U35" s="13"/>
      <c r="Z35" s="46" t="s">
        <v>566</v>
      </c>
      <c r="AA35" s="46">
        <v>270.87</v>
      </c>
      <c r="AB35" s="49">
        <v>7.7200000000000005E-2</v>
      </c>
      <c r="AC35" s="13"/>
      <c r="AD35" s="13"/>
      <c r="AE35" s="13"/>
      <c r="AF35" s="46" t="s">
        <v>566</v>
      </c>
      <c r="AG35" s="48">
        <v>17539.45</v>
      </c>
      <c r="AH35" s="49">
        <v>-1.1000000000000001E-3</v>
      </c>
      <c r="AI35" s="13"/>
      <c r="AJ35" s="13"/>
      <c r="AK35" s="13"/>
      <c r="AL35" s="13"/>
      <c r="AM35" s="13"/>
      <c r="AN35" s="13"/>
      <c r="AO35" s="13"/>
      <c r="AP35" s="13"/>
      <c r="AQ35" s="13"/>
      <c r="AR35" s="13"/>
      <c r="AS35" s="13"/>
    </row>
    <row r="36" spans="1:45">
      <c r="A36" s="13"/>
      <c r="B36" s="46" t="s">
        <v>567</v>
      </c>
      <c r="C36" s="46">
        <v>235.9</v>
      </c>
      <c r="D36" s="49">
        <v>-6.9999999999999999E-4</v>
      </c>
      <c r="E36" s="13"/>
      <c r="F36" s="13"/>
      <c r="G36" s="13"/>
      <c r="H36" s="46" t="s">
        <v>567</v>
      </c>
      <c r="I36" s="48">
        <v>17929.849999999999</v>
      </c>
      <c r="J36" s="49">
        <v>8.8999999999999999E-3</v>
      </c>
      <c r="K36" s="13"/>
      <c r="L36" s="13"/>
      <c r="M36" s="13"/>
      <c r="N36" s="13"/>
      <c r="O36" s="13"/>
      <c r="P36" s="13"/>
      <c r="Q36" s="13"/>
      <c r="R36" s="13"/>
      <c r="S36" s="13"/>
      <c r="T36" s="13"/>
      <c r="U36" s="13"/>
      <c r="Z36" s="46" t="s">
        <v>568</v>
      </c>
      <c r="AA36" s="46">
        <v>251.45</v>
      </c>
      <c r="AB36" s="49">
        <v>-1.5800000000000002E-2</v>
      </c>
      <c r="AC36" s="13"/>
      <c r="AD36" s="13"/>
      <c r="AE36" s="13"/>
      <c r="AF36" s="46" t="s">
        <v>568</v>
      </c>
      <c r="AG36" s="48">
        <v>17558.900000000001</v>
      </c>
      <c r="AH36" s="49">
        <v>-1.12E-2</v>
      </c>
      <c r="AI36" s="13"/>
      <c r="AJ36" s="13"/>
      <c r="AK36" s="13"/>
      <c r="AL36" s="13"/>
      <c r="AM36" s="13"/>
      <c r="AN36" s="13"/>
      <c r="AO36" s="13"/>
      <c r="AP36" s="13"/>
      <c r="AQ36" s="13"/>
      <c r="AR36" s="13"/>
      <c r="AS36" s="13"/>
    </row>
    <row r="37" spans="1:45">
      <c r="A37" s="13"/>
      <c r="B37" s="46" t="s">
        <v>569</v>
      </c>
      <c r="C37" s="46">
        <v>236.06</v>
      </c>
      <c r="D37" s="49">
        <v>-2.3E-2</v>
      </c>
      <c r="E37" s="13"/>
      <c r="F37" s="13"/>
      <c r="G37" s="13"/>
      <c r="H37" s="46" t="s">
        <v>569</v>
      </c>
      <c r="I37" s="48">
        <v>17770.900000000001</v>
      </c>
      <c r="J37" s="49">
        <v>-4.7999999999999996E-3</v>
      </c>
      <c r="K37" s="13"/>
      <c r="L37" s="13"/>
      <c r="M37" s="13"/>
      <c r="N37" s="13"/>
      <c r="O37" s="13"/>
      <c r="P37" s="13"/>
      <c r="Q37" s="13"/>
      <c r="R37" s="13"/>
      <c r="S37" s="13"/>
      <c r="T37" s="13"/>
      <c r="U37" s="13"/>
      <c r="Z37" s="46" t="s">
        <v>570</v>
      </c>
      <c r="AA37" s="46">
        <v>255.48</v>
      </c>
      <c r="AB37" s="49">
        <v>-3.3799999999999997E-2</v>
      </c>
      <c r="AC37" s="13"/>
      <c r="AD37" s="13"/>
      <c r="AE37" s="13"/>
      <c r="AF37" s="46" t="s">
        <v>570</v>
      </c>
      <c r="AG37" s="48">
        <v>17758.45</v>
      </c>
      <c r="AH37" s="49">
        <v>3.3999999999999998E-3</v>
      </c>
      <c r="AI37" s="13"/>
      <c r="AJ37" s="13"/>
      <c r="AK37" s="13"/>
      <c r="AL37" s="13"/>
      <c r="AM37" s="13"/>
      <c r="AN37" s="13"/>
      <c r="AO37" s="13"/>
      <c r="AP37" s="13"/>
      <c r="AQ37" s="13"/>
      <c r="AR37" s="13"/>
      <c r="AS37" s="13"/>
    </row>
    <row r="38" spans="1:45">
      <c r="A38" s="13"/>
      <c r="B38" s="47">
        <v>45201</v>
      </c>
      <c r="C38" s="46">
        <v>241.62</v>
      </c>
      <c r="D38" s="49">
        <v>-4.2500000000000003E-2</v>
      </c>
      <c r="E38" s="13"/>
      <c r="F38" s="13"/>
      <c r="G38" s="13"/>
      <c r="H38" s="47">
        <v>45201</v>
      </c>
      <c r="I38" s="48">
        <v>17856.5</v>
      </c>
      <c r="J38" s="49">
        <v>-2.0999999999999999E-3</v>
      </c>
      <c r="K38" s="13"/>
      <c r="L38" s="13"/>
      <c r="M38" s="13"/>
      <c r="N38" s="13"/>
      <c r="O38" s="13"/>
      <c r="P38" s="13"/>
      <c r="Q38" s="13"/>
      <c r="R38" s="13"/>
      <c r="S38" s="13"/>
      <c r="T38" s="13"/>
      <c r="U38" s="13"/>
      <c r="Z38" s="47">
        <v>44750</v>
      </c>
      <c r="AA38" s="46">
        <v>264.41000000000003</v>
      </c>
      <c r="AB38" s="49">
        <v>2.92E-2</v>
      </c>
      <c r="AC38" s="13"/>
      <c r="AD38" s="13"/>
      <c r="AE38" s="13"/>
      <c r="AF38" s="47">
        <v>44750</v>
      </c>
      <c r="AG38" s="48">
        <v>17698.150000000001</v>
      </c>
      <c r="AH38" s="49">
        <v>1.7299999999999999E-2</v>
      </c>
      <c r="AI38" s="13"/>
      <c r="AJ38" s="13"/>
      <c r="AK38" s="13"/>
      <c r="AL38" s="13"/>
      <c r="AM38" s="13"/>
      <c r="AN38" s="13"/>
      <c r="AO38" s="13"/>
      <c r="AP38" s="13"/>
      <c r="AQ38" s="13"/>
      <c r="AR38" s="13"/>
      <c r="AS38" s="13"/>
    </row>
    <row r="39" spans="1:45">
      <c r="A39" s="13"/>
      <c r="B39" s="47">
        <v>45171</v>
      </c>
      <c r="C39" s="46">
        <v>252.34</v>
      </c>
      <c r="D39" s="49">
        <v>2.0000000000000001E-4</v>
      </c>
      <c r="E39" s="13"/>
      <c r="F39" s="13"/>
      <c r="G39" s="13"/>
      <c r="H39" s="47">
        <v>45171</v>
      </c>
      <c r="I39" s="48">
        <v>17893.45</v>
      </c>
      <c r="J39" s="49">
        <v>1.1999999999999999E-3</v>
      </c>
      <c r="K39" s="13"/>
      <c r="L39" s="13"/>
      <c r="M39" s="13"/>
      <c r="N39" s="13"/>
      <c r="O39" s="13"/>
      <c r="P39" s="13"/>
      <c r="Q39" s="13"/>
      <c r="R39" s="13"/>
      <c r="S39" s="13"/>
      <c r="T39" s="13"/>
      <c r="U39" s="13"/>
      <c r="Z39" s="46" t="s">
        <v>571</v>
      </c>
      <c r="AA39" s="46">
        <v>256.91000000000003</v>
      </c>
      <c r="AB39" s="49">
        <v>0.11650000000000001</v>
      </c>
      <c r="AC39" s="13"/>
      <c r="AD39" s="13"/>
      <c r="AE39" s="13"/>
      <c r="AF39" s="46" t="s">
        <v>571</v>
      </c>
      <c r="AG39" s="48">
        <v>17397.5</v>
      </c>
      <c r="AH39" s="49">
        <v>1.3899999999999999E-2</v>
      </c>
      <c r="AI39" s="13"/>
      <c r="AJ39" s="13"/>
      <c r="AK39" s="13"/>
      <c r="AL39" s="13"/>
      <c r="AM39" s="13"/>
      <c r="AN39" s="13"/>
      <c r="AO39" s="13"/>
      <c r="AP39" s="13"/>
      <c r="AQ39" s="13"/>
      <c r="AR39" s="13"/>
      <c r="AS39" s="13"/>
    </row>
    <row r="40" spans="1:45">
      <c r="A40" s="13"/>
      <c r="B40" s="47">
        <v>45140</v>
      </c>
      <c r="C40" s="46">
        <v>252.28</v>
      </c>
      <c r="D40" s="49">
        <v>2.1499999999999998E-2</v>
      </c>
      <c r="E40" s="13"/>
      <c r="F40" s="13"/>
      <c r="G40" s="13"/>
      <c r="H40" s="47">
        <v>45140</v>
      </c>
      <c r="I40" s="48">
        <v>17871.7</v>
      </c>
      <c r="J40" s="49">
        <v>8.5000000000000006E-3</v>
      </c>
      <c r="K40" s="13"/>
      <c r="L40" s="13"/>
      <c r="M40" s="13"/>
      <c r="N40" s="13"/>
      <c r="O40" s="13"/>
      <c r="P40" s="13"/>
      <c r="Q40" s="13"/>
      <c r="R40" s="13"/>
      <c r="S40" s="13"/>
      <c r="T40" s="13"/>
      <c r="U40" s="13"/>
      <c r="Z40" s="46" t="s">
        <v>572</v>
      </c>
      <c r="AA40" s="46">
        <v>230.1</v>
      </c>
      <c r="AB40" s="49">
        <v>3.7199999999999997E-2</v>
      </c>
      <c r="AC40" s="13"/>
      <c r="AD40" s="13"/>
      <c r="AE40" s="13"/>
      <c r="AF40" s="46" t="s">
        <v>572</v>
      </c>
      <c r="AG40" s="48">
        <v>17158.25</v>
      </c>
      <c r="AH40" s="49">
        <v>2.6200000000000001E-2</v>
      </c>
      <c r="AI40" s="13"/>
      <c r="AJ40" s="13"/>
      <c r="AK40" s="13"/>
      <c r="AL40" s="13"/>
      <c r="AM40" s="13"/>
      <c r="AN40" s="13"/>
      <c r="AO40" s="13"/>
      <c r="AP40" s="13"/>
      <c r="AQ40" s="13"/>
      <c r="AR40" s="13"/>
      <c r="AS40" s="13"/>
    </row>
    <row r="41" spans="1:45">
      <c r="A41" s="13"/>
      <c r="B41" s="47">
        <v>45109</v>
      </c>
      <c r="C41" s="46">
        <v>246.96</v>
      </c>
      <c r="D41" s="49">
        <v>2.47E-2</v>
      </c>
      <c r="E41" s="13"/>
      <c r="F41" s="13"/>
      <c r="G41" s="13"/>
      <c r="H41" s="47">
        <v>45109</v>
      </c>
      <c r="I41" s="48">
        <v>17721.5</v>
      </c>
      <c r="J41" s="49">
        <v>-2.3999999999999998E-3</v>
      </c>
      <c r="K41" s="13"/>
      <c r="L41" s="13"/>
      <c r="M41" s="13"/>
      <c r="N41" s="13"/>
      <c r="O41" s="13"/>
      <c r="P41" s="13"/>
      <c r="Q41" s="13"/>
      <c r="R41" s="13"/>
      <c r="S41" s="13"/>
      <c r="T41" s="13"/>
      <c r="U41" s="13"/>
      <c r="Z41" s="46" t="s">
        <v>573</v>
      </c>
      <c r="AA41" s="46">
        <v>221.85</v>
      </c>
      <c r="AB41" s="49">
        <v>7.7000000000000002E-3</v>
      </c>
      <c r="AC41" s="13"/>
      <c r="AD41" s="13"/>
      <c r="AE41" s="13"/>
      <c r="AF41" s="46" t="s">
        <v>573</v>
      </c>
      <c r="AG41" s="48">
        <v>16719.45</v>
      </c>
      <c r="AH41" s="49">
        <v>4.1799999999999997E-2</v>
      </c>
      <c r="AI41" s="13"/>
      <c r="AJ41" s="13"/>
      <c r="AK41" s="13"/>
      <c r="AL41" s="13"/>
      <c r="AM41" s="13"/>
      <c r="AN41" s="13"/>
      <c r="AO41" s="13"/>
      <c r="AP41" s="13"/>
      <c r="AQ41" s="13"/>
      <c r="AR41" s="13"/>
      <c r="AS41" s="13"/>
    </row>
    <row r="42" spans="1:45">
      <c r="A42" s="13"/>
      <c r="B42" s="47">
        <v>45079</v>
      </c>
      <c r="C42" s="46">
        <v>241.01</v>
      </c>
      <c r="D42" s="49">
        <v>4.1099999999999998E-2</v>
      </c>
      <c r="E42" s="13"/>
      <c r="F42" s="13"/>
      <c r="G42" s="13"/>
      <c r="H42" s="47">
        <v>45079</v>
      </c>
      <c r="I42" s="48">
        <v>17764.599999999999</v>
      </c>
      <c r="J42" s="49">
        <v>-5.0000000000000001E-3</v>
      </c>
      <c r="K42" s="13"/>
      <c r="L42" s="13"/>
      <c r="M42" s="13"/>
      <c r="N42" s="13"/>
      <c r="O42" s="13"/>
      <c r="P42" s="13"/>
      <c r="Q42" s="13"/>
      <c r="R42" s="13"/>
      <c r="S42" s="13"/>
      <c r="T42" s="13"/>
      <c r="U42" s="13"/>
      <c r="Z42" s="47">
        <v>44841</v>
      </c>
      <c r="AA42" s="46">
        <v>220.15</v>
      </c>
      <c r="AB42" s="49">
        <v>-1.8100000000000002E-2</v>
      </c>
      <c r="AC42" s="13"/>
      <c r="AD42" s="13"/>
      <c r="AE42" s="13"/>
      <c r="AF42" s="47">
        <v>44841</v>
      </c>
      <c r="AG42" s="48">
        <v>16049.2</v>
      </c>
      <c r="AH42" s="49">
        <v>-1.06E-2</v>
      </c>
      <c r="AI42" s="13"/>
      <c r="AJ42" s="13"/>
      <c r="AK42" s="13"/>
      <c r="AL42" s="13"/>
      <c r="AM42" s="13"/>
      <c r="AN42" s="13"/>
      <c r="AO42" s="13"/>
      <c r="AP42" s="13"/>
      <c r="AQ42" s="13"/>
      <c r="AR42" s="13"/>
      <c r="AS42" s="13"/>
    </row>
    <row r="43" spans="1:45">
      <c r="A43" s="13"/>
      <c r="B43" s="47">
        <v>44987</v>
      </c>
      <c r="C43" s="46">
        <v>231.49</v>
      </c>
      <c r="D43" s="49">
        <v>-2.3199999999999998E-2</v>
      </c>
      <c r="E43" s="13"/>
      <c r="F43" s="13"/>
      <c r="G43" s="13"/>
      <c r="H43" s="47">
        <v>44987</v>
      </c>
      <c r="I43" s="48">
        <v>17854.05</v>
      </c>
      <c r="J43" s="49">
        <v>1.38E-2</v>
      </c>
      <c r="K43" s="13"/>
      <c r="L43" s="13"/>
      <c r="M43" s="13"/>
      <c r="N43" s="13"/>
      <c r="O43" s="13"/>
      <c r="P43" s="13"/>
      <c r="Q43" s="13"/>
      <c r="R43" s="13"/>
      <c r="S43" s="13"/>
      <c r="T43" s="13"/>
      <c r="U43" s="13"/>
      <c r="Z43" s="47">
        <v>44627</v>
      </c>
      <c r="AA43" s="46">
        <v>224.2</v>
      </c>
      <c r="AB43" s="49">
        <v>3.5000000000000003E-2</v>
      </c>
      <c r="AC43" s="13"/>
      <c r="AD43" s="13"/>
      <c r="AE43" s="13"/>
      <c r="AF43" s="47">
        <v>44627</v>
      </c>
      <c r="AG43" s="48">
        <v>16220.6</v>
      </c>
      <c r="AH43" s="49">
        <v>2.9700000000000001E-2</v>
      </c>
      <c r="AI43" s="13"/>
      <c r="AJ43" s="13"/>
      <c r="AK43" s="13"/>
      <c r="AL43" s="13"/>
      <c r="AM43" s="13"/>
      <c r="AN43" s="13"/>
      <c r="AO43" s="13"/>
      <c r="AP43" s="13"/>
      <c r="AQ43" s="13"/>
      <c r="AR43" s="13"/>
      <c r="AS43" s="13"/>
    </row>
    <row r="44" spans="1:45">
      <c r="A44" s="13"/>
      <c r="B44" s="47">
        <v>44959</v>
      </c>
      <c r="C44" s="46">
        <v>236.98</v>
      </c>
      <c r="D44" s="49">
        <v>-4.2700000000000002E-2</v>
      </c>
      <c r="E44" s="13"/>
      <c r="F44" s="13"/>
      <c r="G44" s="13"/>
      <c r="H44" s="47">
        <v>44959</v>
      </c>
      <c r="I44" s="48">
        <v>17610.400000000001</v>
      </c>
      <c r="J44" s="49">
        <v>-2.9999999999999997E-4</v>
      </c>
      <c r="K44" s="13"/>
      <c r="L44" s="13"/>
      <c r="M44" s="13"/>
      <c r="N44" s="13"/>
      <c r="O44" s="13"/>
      <c r="P44" s="13"/>
      <c r="Q44" s="13"/>
      <c r="R44" s="13"/>
      <c r="S44" s="13"/>
      <c r="T44" s="13"/>
      <c r="U44" s="13"/>
      <c r="Z44" s="46" t="s">
        <v>574</v>
      </c>
      <c r="AA44" s="46">
        <v>216.61</v>
      </c>
      <c r="AB44" s="49">
        <v>2.8799999999999999E-2</v>
      </c>
      <c r="AC44" s="13"/>
      <c r="AD44" s="13"/>
      <c r="AE44" s="13"/>
      <c r="AF44" s="46" t="s">
        <v>574</v>
      </c>
      <c r="AG44" s="48">
        <v>15752.05</v>
      </c>
      <c r="AH44" s="49">
        <v>3.3999999999999998E-3</v>
      </c>
      <c r="AI44" s="13"/>
      <c r="AJ44" s="13"/>
      <c r="AK44" s="13"/>
      <c r="AL44" s="13"/>
      <c r="AM44" s="13"/>
      <c r="AN44" s="13"/>
      <c r="AO44" s="13"/>
      <c r="AP44" s="13"/>
      <c r="AQ44" s="13"/>
      <c r="AR44" s="13"/>
      <c r="AS44" s="13"/>
    </row>
    <row r="45" spans="1:45">
      <c r="A45" s="13"/>
      <c r="B45" s="47">
        <v>44928</v>
      </c>
      <c r="C45" s="46">
        <v>247.55</v>
      </c>
      <c r="D45" s="49">
        <v>-4.5900000000000003E-2</v>
      </c>
      <c r="E45" s="13"/>
      <c r="F45" s="13"/>
      <c r="G45" s="13"/>
      <c r="H45" s="47">
        <v>44928</v>
      </c>
      <c r="I45" s="48">
        <v>17616.3</v>
      </c>
      <c r="J45" s="49">
        <v>-2.5999999999999999E-3</v>
      </c>
      <c r="K45" s="13"/>
      <c r="L45" s="13"/>
      <c r="M45" s="13"/>
      <c r="N45" s="13"/>
      <c r="O45" s="13"/>
      <c r="P45" s="13"/>
      <c r="Q45" s="13"/>
      <c r="R45" s="13"/>
      <c r="S45" s="13"/>
      <c r="T45" s="13"/>
      <c r="U45" s="13"/>
      <c r="Z45" s="46" t="s">
        <v>575</v>
      </c>
      <c r="AA45" s="46">
        <v>210.55</v>
      </c>
      <c r="AB45" s="49">
        <v>0.1079</v>
      </c>
      <c r="AC45" s="13"/>
      <c r="AD45" s="13"/>
      <c r="AE45" s="13"/>
      <c r="AF45" s="46" t="s">
        <v>575</v>
      </c>
      <c r="AG45" s="48">
        <v>15699.25</v>
      </c>
      <c r="AH45" s="49">
        <v>2.6499999999999999E-2</v>
      </c>
      <c r="AI45" s="13"/>
      <c r="AJ45" s="13"/>
      <c r="AK45" s="13"/>
      <c r="AL45" s="13"/>
      <c r="AM45" s="13"/>
      <c r="AN45" s="13"/>
      <c r="AO45" s="13"/>
      <c r="AP45" s="13"/>
      <c r="AQ45" s="13"/>
      <c r="AR45" s="13"/>
      <c r="AS45" s="13"/>
    </row>
    <row r="46" spans="1:45">
      <c r="A46" s="13"/>
      <c r="B46" s="46" t="s">
        <v>576</v>
      </c>
      <c r="C46" s="46">
        <v>259.45999999999998</v>
      </c>
      <c r="D46" s="49">
        <v>1.78E-2</v>
      </c>
      <c r="E46" s="13"/>
      <c r="F46" s="13"/>
      <c r="G46" s="13"/>
      <c r="H46" s="46" t="s">
        <v>576</v>
      </c>
      <c r="I46" s="48">
        <v>17662.150000000001</v>
      </c>
      <c r="J46" s="49">
        <v>6.9999999999999999E-4</v>
      </c>
      <c r="K46" s="13"/>
      <c r="L46" s="13"/>
      <c r="M46" s="13"/>
      <c r="N46" s="13"/>
      <c r="O46" s="13"/>
      <c r="P46" s="13"/>
      <c r="Q46" s="13"/>
      <c r="R46" s="13"/>
      <c r="S46" s="13"/>
      <c r="T46" s="13"/>
      <c r="U46" s="13"/>
      <c r="Z46" s="47">
        <v>44901</v>
      </c>
      <c r="AA46" s="46">
        <v>190.04</v>
      </c>
      <c r="AB46" s="49">
        <v>-5.8999999999999997E-2</v>
      </c>
      <c r="AC46" s="13"/>
      <c r="AD46" s="13"/>
      <c r="AE46" s="13"/>
      <c r="AF46" s="47">
        <v>44901</v>
      </c>
      <c r="AG46" s="48">
        <v>15293.5</v>
      </c>
      <c r="AH46" s="49">
        <v>-5.6099999999999997E-2</v>
      </c>
      <c r="AI46" s="13"/>
      <c r="AJ46" s="13"/>
      <c r="AK46" s="13"/>
      <c r="AL46" s="13"/>
      <c r="AM46" s="13"/>
      <c r="AN46" s="13"/>
      <c r="AO46" s="13"/>
      <c r="AP46" s="13"/>
      <c r="AQ46" s="13"/>
      <c r="AR46" s="13"/>
      <c r="AS46" s="13"/>
    </row>
    <row r="47" spans="1:45">
      <c r="A47" s="13"/>
      <c r="B47" s="46" t="s">
        <v>577</v>
      </c>
      <c r="C47" s="46">
        <v>254.93</v>
      </c>
      <c r="D47" s="49">
        <v>-1.15E-2</v>
      </c>
      <c r="E47" s="13"/>
      <c r="F47" s="13"/>
      <c r="G47" s="13"/>
      <c r="H47" s="46" t="s">
        <v>577</v>
      </c>
      <c r="I47" s="48">
        <v>17648.95</v>
      </c>
      <c r="J47" s="49">
        <v>2.5000000000000001E-3</v>
      </c>
      <c r="K47" s="13"/>
      <c r="L47" s="13"/>
      <c r="M47" s="13"/>
      <c r="N47" s="13"/>
      <c r="O47" s="13"/>
      <c r="P47" s="13"/>
      <c r="Q47" s="13"/>
      <c r="R47" s="13"/>
      <c r="S47" s="13"/>
      <c r="T47" s="13"/>
      <c r="U47" s="13"/>
      <c r="Z47" s="47">
        <v>44687</v>
      </c>
      <c r="AA47" s="46">
        <v>201.95</v>
      </c>
      <c r="AB47" s="49">
        <v>9.9000000000000008E-3</v>
      </c>
      <c r="AC47" s="13"/>
      <c r="AD47" s="13"/>
      <c r="AE47" s="13"/>
      <c r="AF47" s="47">
        <v>44687</v>
      </c>
      <c r="AG47" s="48">
        <v>16201.8</v>
      </c>
      <c r="AH47" s="49">
        <v>-2.3099999999999999E-2</v>
      </c>
      <c r="AI47" s="13"/>
      <c r="AJ47" s="13"/>
      <c r="AK47" s="13"/>
      <c r="AL47" s="13"/>
      <c r="AM47" s="13"/>
      <c r="AN47" s="13"/>
      <c r="AO47" s="13"/>
      <c r="AP47" s="13"/>
      <c r="AQ47" s="13"/>
      <c r="AR47" s="13"/>
      <c r="AS47" s="13"/>
    </row>
    <row r="48" spans="1:45">
      <c r="A48" s="13"/>
      <c r="B48" s="46" t="s">
        <v>578</v>
      </c>
      <c r="C48" s="46">
        <v>257.89</v>
      </c>
      <c r="D48" s="49">
        <v>-7.4000000000000003E-3</v>
      </c>
      <c r="E48" s="13"/>
      <c r="F48" s="13"/>
      <c r="G48" s="13"/>
      <c r="H48" s="46" t="s">
        <v>578</v>
      </c>
      <c r="I48" s="48">
        <v>17604.349999999999</v>
      </c>
      <c r="J48" s="49">
        <v>-1.61E-2</v>
      </c>
      <c r="K48" s="13"/>
      <c r="L48" s="13"/>
      <c r="M48" s="13"/>
      <c r="N48" s="13"/>
      <c r="O48" s="13"/>
      <c r="P48" s="13"/>
      <c r="Q48" s="13"/>
      <c r="R48" s="13"/>
      <c r="S48" s="13"/>
      <c r="T48" s="13"/>
      <c r="U48" s="13"/>
      <c r="Z48" s="46" t="s">
        <v>579</v>
      </c>
      <c r="AA48" s="46">
        <v>199.97</v>
      </c>
      <c r="AB48" s="49">
        <v>-4.8599999999999997E-2</v>
      </c>
      <c r="AC48" s="13"/>
      <c r="AD48" s="13"/>
      <c r="AE48" s="13"/>
      <c r="AF48" s="46" t="s">
        <v>579</v>
      </c>
      <c r="AG48" s="48">
        <v>16584.3</v>
      </c>
      <c r="AH48" s="49">
        <v>1.4200000000000001E-2</v>
      </c>
      <c r="AI48" s="13"/>
      <c r="AJ48" s="13"/>
      <c r="AK48" s="13"/>
      <c r="AL48" s="13"/>
      <c r="AM48" s="13"/>
      <c r="AN48" s="13"/>
      <c r="AO48" s="13"/>
      <c r="AP48" s="13"/>
      <c r="AQ48" s="13"/>
      <c r="AR48" s="13"/>
      <c r="AS48" s="13"/>
    </row>
    <row r="49" spans="1:45">
      <c r="A49" s="13"/>
      <c r="B49" s="46" t="s">
        <v>580</v>
      </c>
      <c r="C49" s="46">
        <v>259.8</v>
      </c>
      <c r="D49" s="49">
        <v>-3.7000000000000002E-3</v>
      </c>
      <c r="E49" s="13"/>
      <c r="F49" s="13"/>
      <c r="G49" s="13"/>
      <c r="H49" s="46" t="s">
        <v>580</v>
      </c>
      <c r="I49" s="48">
        <v>17891.95</v>
      </c>
      <c r="J49" s="49">
        <v>-1.2500000000000001E-2</v>
      </c>
      <c r="K49" s="13"/>
      <c r="L49" s="13"/>
      <c r="M49" s="13"/>
      <c r="N49" s="13"/>
      <c r="O49" s="13"/>
      <c r="P49" s="13"/>
      <c r="Q49" s="13"/>
      <c r="R49" s="13"/>
      <c r="S49" s="13"/>
      <c r="T49" s="13"/>
      <c r="U49" s="13"/>
      <c r="Z49" s="46" t="s">
        <v>581</v>
      </c>
      <c r="AA49" s="46">
        <v>210.18</v>
      </c>
      <c r="AB49" s="49">
        <v>-1.03E-2</v>
      </c>
      <c r="AC49" s="13"/>
      <c r="AD49" s="13"/>
      <c r="AE49" s="13"/>
      <c r="AF49" s="46" t="s">
        <v>581</v>
      </c>
      <c r="AG49" s="48">
        <v>16352.45</v>
      </c>
      <c r="AH49" s="49">
        <v>5.3E-3</v>
      </c>
      <c r="AI49" s="13"/>
      <c r="AJ49" s="13"/>
      <c r="AK49" s="13"/>
      <c r="AL49" s="13"/>
      <c r="AM49" s="13"/>
      <c r="AN49" s="13"/>
      <c r="AO49" s="13"/>
      <c r="AP49" s="13"/>
      <c r="AQ49" s="13"/>
      <c r="AR49" s="13"/>
      <c r="AS49" s="13"/>
    </row>
    <row r="50" spans="1:45">
      <c r="A50" s="13"/>
      <c r="B50" s="46" t="s">
        <v>582</v>
      </c>
      <c r="C50" s="46">
        <v>260.76</v>
      </c>
      <c r="D50" s="49">
        <v>5.1999999999999998E-3</v>
      </c>
      <c r="E50" s="13"/>
      <c r="F50" s="13"/>
      <c r="G50" s="13"/>
      <c r="H50" s="46" t="s">
        <v>582</v>
      </c>
      <c r="I50" s="48">
        <v>18118.3</v>
      </c>
      <c r="J50" s="49">
        <v>0</v>
      </c>
      <c r="K50" s="13"/>
      <c r="L50" s="13"/>
      <c r="M50" s="13"/>
      <c r="N50" s="13"/>
      <c r="O50" s="13"/>
      <c r="P50" s="13"/>
      <c r="Q50" s="13"/>
      <c r="R50" s="13"/>
      <c r="S50" s="13"/>
      <c r="T50" s="13"/>
      <c r="U50" s="13"/>
      <c r="Z50" s="46" t="s">
        <v>583</v>
      </c>
      <c r="AA50" s="46">
        <v>212.36</v>
      </c>
      <c r="AB50" s="49">
        <v>5.3199999999999997E-2</v>
      </c>
      <c r="AC50" s="13"/>
      <c r="AD50" s="13"/>
      <c r="AE50" s="13"/>
      <c r="AF50" s="46" t="s">
        <v>583</v>
      </c>
      <c r="AG50" s="48">
        <v>16266.15</v>
      </c>
      <c r="AH50" s="49">
        <v>3.0700000000000002E-2</v>
      </c>
      <c r="AI50" s="13"/>
      <c r="AJ50" s="13"/>
      <c r="AK50" s="13"/>
      <c r="AL50" s="13"/>
      <c r="AM50" s="13"/>
      <c r="AN50" s="13"/>
      <c r="AO50" s="13"/>
      <c r="AP50" s="13"/>
      <c r="AQ50" s="13"/>
      <c r="AR50" s="13"/>
      <c r="AS50" s="13"/>
    </row>
    <row r="51" spans="1:45">
      <c r="A51" s="13"/>
      <c r="B51" s="46" t="s">
        <v>584</v>
      </c>
      <c r="C51" s="46">
        <v>259.39999999999998</v>
      </c>
      <c r="D51" s="49">
        <v>1.2999999999999999E-3</v>
      </c>
      <c r="E51" s="13"/>
      <c r="F51" s="13"/>
      <c r="G51" s="13"/>
      <c r="H51" s="46" t="s">
        <v>584</v>
      </c>
      <c r="I51" s="48">
        <v>18118.55</v>
      </c>
      <c r="J51" s="49">
        <v>5.0000000000000001E-3</v>
      </c>
      <c r="K51" s="13"/>
      <c r="L51" s="13"/>
      <c r="M51" s="13"/>
      <c r="N51" s="13"/>
      <c r="O51" s="13"/>
      <c r="P51" s="13"/>
      <c r="Q51" s="13"/>
      <c r="R51" s="13"/>
      <c r="S51" s="13"/>
      <c r="T51" s="13"/>
      <c r="U51" s="13"/>
      <c r="Z51" s="47">
        <v>44778</v>
      </c>
      <c r="AA51" s="46">
        <v>201.63</v>
      </c>
      <c r="AB51" s="49">
        <v>-0.1595</v>
      </c>
      <c r="AC51" s="13"/>
      <c r="AD51" s="13"/>
      <c r="AE51" s="13"/>
      <c r="AF51" s="47">
        <v>44778</v>
      </c>
      <c r="AG51" s="48">
        <v>15782.15</v>
      </c>
      <c r="AH51" s="49">
        <v>-3.8300000000000001E-2</v>
      </c>
      <c r="AI51" s="13"/>
      <c r="AJ51" s="13"/>
      <c r="AK51" s="13"/>
      <c r="AL51" s="13"/>
      <c r="AM51" s="13"/>
      <c r="AN51" s="13"/>
      <c r="AO51" s="13"/>
      <c r="AP51" s="13"/>
      <c r="AQ51" s="13"/>
      <c r="AR51" s="13"/>
      <c r="AS51" s="13"/>
    </row>
    <row r="52" spans="1:45">
      <c r="A52" s="13"/>
      <c r="B52" s="46" t="s">
        <v>585</v>
      </c>
      <c r="C52" s="46">
        <v>259.07</v>
      </c>
      <c r="D52" s="49">
        <v>1.4E-3</v>
      </c>
      <c r="E52" s="13"/>
      <c r="F52" s="13"/>
      <c r="G52" s="13"/>
      <c r="H52" s="46" t="s">
        <v>585</v>
      </c>
      <c r="I52" s="48">
        <v>18027.650000000001</v>
      </c>
      <c r="J52" s="49">
        <v>-4.4000000000000003E-3</v>
      </c>
      <c r="K52" s="13"/>
      <c r="L52" s="13"/>
      <c r="M52" s="13"/>
      <c r="N52" s="13"/>
      <c r="O52" s="13"/>
      <c r="P52" s="13"/>
      <c r="Q52" s="13"/>
      <c r="R52" s="13"/>
      <c r="S52" s="13"/>
      <c r="T52" s="13"/>
      <c r="U52" s="13"/>
      <c r="Z52" s="47">
        <v>44566</v>
      </c>
      <c r="AA52" s="46">
        <v>239.89</v>
      </c>
      <c r="AB52" s="49">
        <v>-9.6199999999999994E-2</v>
      </c>
      <c r="AC52" s="13"/>
      <c r="AD52" s="13"/>
      <c r="AE52" s="13"/>
      <c r="AF52" s="47">
        <v>44566</v>
      </c>
      <c r="AG52" s="48">
        <v>16411.25</v>
      </c>
      <c r="AH52" s="49">
        <v>-4.0399999999999998E-2</v>
      </c>
      <c r="AI52" s="13"/>
      <c r="AJ52" s="13"/>
      <c r="AK52" s="13"/>
      <c r="AL52" s="13"/>
      <c r="AM52" s="13"/>
      <c r="AN52" s="13"/>
      <c r="AO52" s="13"/>
      <c r="AP52" s="13"/>
      <c r="AQ52" s="13"/>
      <c r="AR52" s="13"/>
      <c r="AS52" s="13"/>
    </row>
    <row r="53" spans="1:45">
      <c r="A53" s="13"/>
      <c r="B53" s="46" t="s">
        <v>586</v>
      </c>
      <c r="C53" s="46">
        <v>258.70999999999998</v>
      </c>
      <c r="D53" s="49">
        <v>-1.1599999999999999E-2</v>
      </c>
      <c r="E53" s="13"/>
      <c r="F53" s="13"/>
      <c r="G53" s="13"/>
      <c r="H53" s="46" t="s">
        <v>586</v>
      </c>
      <c r="I53" s="48">
        <v>18107.849999999999</v>
      </c>
      <c r="J53" s="49">
        <v>-3.2000000000000002E-3</v>
      </c>
      <c r="K53" s="13"/>
      <c r="L53" s="13"/>
      <c r="M53" s="13"/>
      <c r="N53" s="13"/>
      <c r="O53" s="13"/>
      <c r="P53" s="13"/>
      <c r="Q53" s="13"/>
      <c r="R53" s="13"/>
      <c r="S53" s="13"/>
      <c r="T53" s="13"/>
      <c r="U53" s="13"/>
      <c r="Z53" s="46" t="s">
        <v>587</v>
      </c>
      <c r="AA53" s="46">
        <v>265.42</v>
      </c>
      <c r="AB53" s="49">
        <v>5.0500000000000003E-2</v>
      </c>
      <c r="AC53" s="13"/>
      <c r="AD53" s="13"/>
      <c r="AE53" s="13"/>
      <c r="AF53" s="46" t="s">
        <v>587</v>
      </c>
      <c r="AG53" s="48">
        <v>17102.55</v>
      </c>
      <c r="AH53" s="49">
        <v>-4.0000000000000001E-3</v>
      </c>
      <c r="AI53" s="13"/>
      <c r="AJ53" s="13"/>
      <c r="AK53" s="13"/>
      <c r="AL53" s="13"/>
      <c r="AM53" s="13"/>
      <c r="AN53" s="13"/>
      <c r="AO53" s="13"/>
      <c r="AP53" s="13"/>
      <c r="AQ53" s="13"/>
      <c r="AR53" s="13"/>
      <c r="AS53" s="13"/>
    </row>
    <row r="54" spans="1:45">
      <c r="A54" s="13"/>
      <c r="B54" s="46" t="s">
        <v>588</v>
      </c>
      <c r="C54" s="46">
        <v>261.75</v>
      </c>
      <c r="D54" s="49">
        <v>8.8999999999999999E-3</v>
      </c>
      <c r="E54" s="13"/>
      <c r="F54" s="13"/>
      <c r="G54" s="13"/>
      <c r="H54" s="46" t="s">
        <v>588</v>
      </c>
      <c r="I54" s="48">
        <v>18165.349999999999</v>
      </c>
      <c r="J54" s="49">
        <v>6.1999999999999998E-3</v>
      </c>
      <c r="K54" s="13"/>
      <c r="L54" s="13"/>
      <c r="M54" s="13"/>
      <c r="N54" s="13"/>
      <c r="O54" s="13"/>
      <c r="P54" s="13"/>
      <c r="Q54" s="13"/>
      <c r="R54" s="13"/>
      <c r="S54" s="13"/>
      <c r="T54" s="13"/>
      <c r="U54" s="13"/>
      <c r="Z54" s="46" t="s">
        <v>589</v>
      </c>
      <c r="AA54" s="46">
        <v>252.66</v>
      </c>
      <c r="AB54" s="49">
        <v>-6.3E-3</v>
      </c>
      <c r="AC54" s="13"/>
      <c r="AD54" s="13"/>
      <c r="AE54" s="13"/>
      <c r="AF54" s="46" t="s">
        <v>589</v>
      </c>
      <c r="AG54" s="48">
        <v>17171.95</v>
      </c>
      <c r="AH54" s="49">
        <v>-1.7399999999999999E-2</v>
      </c>
      <c r="AI54" s="13"/>
      <c r="AJ54" s="13"/>
      <c r="AK54" s="13"/>
      <c r="AL54" s="13"/>
      <c r="AM54" s="13"/>
      <c r="AN54" s="13"/>
      <c r="AO54" s="13"/>
      <c r="AP54" s="13"/>
      <c r="AQ54" s="13"/>
      <c r="AR54" s="13"/>
      <c r="AS54" s="13"/>
    </row>
    <row r="55" spans="1:45">
      <c r="A55" s="13"/>
      <c r="B55" s="46" t="s">
        <v>590</v>
      </c>
      <c r="C55" s="46">
        <v>259.43</v>
      </c>
      <c r="D55" s="49">
        <v>1.3100000000000001E-2</v>
      </c>
      <c r="E55" s="13"/>
      <c r="F55" s="13"/>
      <c r="G55" s="13"/>
      <c r="H55" s="46" t="s">
        <v>590</v>
      </c>
      <c r="I55" s="48">
        <v>18053.3</v>
      </c>
      <c r="J55" s="49">
        <v>8.8999999999999999E-3</v>
      </c>
      <c r="K55" s="13"/>
      <c r="L55" s="13"/>
      <c r="M55" s="13"/>
      <c r="N55" s="13"/>
      <c r="O55" s="13"/>
      <c r="P55" s="13"/>
      <c r="Q55" s="13"/>
      <c r="R55" s="13"/>
      <c r="S55" s="13"/>
      <c r="T55" s="13"/>
      <c r="U55" s="13"/>
      <c r="Z55" s="47">
        <v>44838</v>
      </c>
      <c r="AA55" s="46">
        <v>254.25</v>
      </c>
      <c r="AB55" s="49">
        <v>-6.0699999999999997E-2</v>
      </c>
      <c r="AC55" s="13"/>
      <c r="AD55" s="13"/>
      <c r="AE55" s="13"/>
      <c r="AF55" s="47">
        <v>44838</v>
      </c>
      <c r="AG55" s="48">
        <v>17475.650000000001</v>
      </c>
      <c r="AH55" s="49">
        <v>-1.7399999999999999E-2</v>
      </c>
      <c r="AI55" s="13"/>
      <c r="AJ55" s="13"/>
      <c r="AK55" s="13"/>
      <c r="AL55" s="13"/>
      <c r="AM55" s="13"/>
      <c r="AN55" s="13"/>
      <c r="AO55" s="13"/>
      <c r="AP55" s="13"/>
      <c r="AQ55" s="13"/>
      <c r="AR55" s="13"/>
      <c r="AS55" s="13"/>
    </row>
    <row r="56" spans="1:45">
      <c r="A56" s="13"/>
      <c r="B56" s="46" t="s">
        <v>591</v>
      </c>
      <c r="C56" s="46">
        <v>256.08</v>
      </c>
      <c r="D56" s="49">
        <v>-1.7500000000000002E-2</v>
      </c>
      <c r="E56" s="13"/>
      <c r="F56" s="13"/>
      <c r="G56" s="13"/>
      <c r="H56" s="46" t="s">
        <v>591</v>
      </c>
      <c r="I56" s="48">
        <v>17894.849999999999</v>
      </c>
      <c r="J56" s="49">
        <v>-3.3999999999999998E-3</v>
      </c>
      <c r="K56" s="13"/>
      <c r="L56" s="13"/>
      <c r="M56" s="13"/>
      <c r="N56" s="13"/>
      <c r="O56" s="13"/>
      <c r="P56" s="13"/>
      <c r="Q56" s="13"/>
      <c r="R56" s="13"/>
      <c r="S56" s="13"/>
      <c r="T56" s="13"/>
      <c r="U56" s="13"/>
      <c r="Z56" s="47">
        <v>44624</v>
      </c>
      <c r="AA56" s="46">
        <v>270.67</v>
      </c>
      <c r="AB56" s="49">
        <v>-6.2899999999999998E-2</v>
      </c>
      <c r="AC56" s="13"/>
      <c r="AD56" s="13"/>
      <c r="AE56" s="13"/>
      <c r="AF56" s="47">
        <v>44624</v>
      </c>
      <c r="AG56" s="48">
        <v>17784.349999999999</v>
      </c>
      <c r="AH56" s="49">
        <v>6.4000000000000003E-3</v>
      </c>
      <c r="AI56" s="13"/>
      <c r="AJ56" s="13"/>
      <c r="AK56" s="13"/>
      <c r="AL56" s="13"/>
      <c r="AM56" s="13"/>
      <c r="AN56" s="13"/>
      <c r="AO56" s="13"/>
      <c r="AP56" s="13"/>
      <c r="AQ56" s="13"/>
      <c r="AR56" s="13"/>
      <c r="AS56" s="13"/>
    </row>
    <row r="57" spans="1:45">
      <c r="A57" s="13"/>
      <c r="B57" s="46" t="s">
        <v>592</v>
      </c>
      <c r="C57" s="46">
        <v>260.63</v>
      </c>
      <c r="D57" s="49">
        <v>-8.6999999999999994E-3</v>
      </c>
      <c r="E57" s="13"/>
      <c r="F57" s="13"/>
      <c r="G57" s="13"/>
      <c r="H57" s="46" t="s">
        <v>592</v>
      </c>
      <c r="I57" s="48">
        <v>17956.599999999999</v>
      </c>
      <c r="J57" s="49">
        <v>5.4999999999999997E-3</v>
      </c>
      <c r="K57" s="13"/>
      <c r="L57" s="13"/>
      <c r="M57" s="13"/>
      <c r="N57" s="13"/>
      <c r="O57" s="13"/>
      <c r="P57" s="13"/>
      <c r="Q57" s="13"/>
      <c r="R57" s="13"/>
      <c r="S57" s="13"/>
      <c r="T57" s="13"/>
      <c r="U57" s="13"/>
      <c r="Z57" s="13"/>
      <c r="AA57" s="13"/>
      <c r="AB57" s="13"/>
      <c r="AC57" s="13"/>
      <c r="AD57" s="13"/>
      <c r="AE57" s="13"/>
      <c r="AF57" s="13"/>
      <c r="AG57" s="13"/>
      <c r="AH57" s="13"/>
      <c r="AI57" s="13"/>
      <c r="AJ57" s="13"/>
      <c r="AK57" s="13"/>
      <c r="AL57" s="13"/>
      <c r="AM57" s="13"/>
      <c r="AN57" s="13"/>
      <c r="AO57" s="13"/>
      <c r="AP57" s="13"/>
      <c r="AQ57" s="13"/>
      <c r="AR57" s="13"/>
      <c r="AS57" s="13"/>
    </row>
    <row r="58" spans="1:45">
      <c r="A58" s="13"/>
      <c r="B58" s="47">
        <v>45261</v>
      </c>
      <c r="C58" s="46">
        <v>262.92</v>
      </c>
      <c r="D58" s="49">
        <v>-6.6E-3</v>
      </c>
      <c r="E58" s="13"/>
      <c r="F58" s="13"/>
      <c r="G58" s="13"/>
      <c r="H58" s="47">
        <v>45261</v>
      </c>
      <c r="I58" s="48">
        <v>17858.2</v>
      </c>
      <c r="J58" s="49">
        <v>-2.0999999999999999E-3</v>
      </c>
      <c r="K58" s="13"/>
      <c r="L58" s="13"/>
      <c r="M58" s="13"/>
      <c r="N58" s="13"/>
      <c r="O58" s="13"/>
      <c r="P58" s="13"/>
      <c r="Q58" s="13"/>
      <c r="R58" s="13"/>
      <c r="S58" s="13"/>
      <c r="T58" s="13"/>
      <c r="U58" s="13"/>
    </row>
    <row r="59" spans="1:45">
      <c r="A59" s="13"/>
      <c r="B59" s="47">
        <v>45231</v>
      </c>
      <c r="C59" s="46">
        <v>264.66000000000003</v>
      </c>
      <c r="D59" s="49">
        <v>-2.9999999999999997E-4</v>
      </c>
      <c r="E59" s="13"/>
      <c r="F59" s="13"/>
      <c r="G59" s="13"/>
      <c r="H59" s="47">
        <v>45231</v>
      </c>
      <c r="I59" s="48">
        <v>17895.7</v>
      </c>
      <c r="J59" s="49">
        <v>-1E-3</v>
      </c>
      <c r="K59" s="13"/>
      <c r="L59" s="13"/>
      <c r="M59" s="13"/>
      <c r="N59" s="13"/>
      <c r="O59" s="13"/>
      <c r="P59" s="13"/>
      <c r="Q59" s="13"/>
      <c r="R59" s="13"/>
      <c r="S59" s="13"/>
      <c r="T59" s="13"/>
      <c r="U59" s="13"/>
    </row>
    <row r="60" spans="1:45">
      <c r="A60" s="13"/>
      <c r="B60" s="47">
        <v>45200</v>
      </c>
      <c r="C60" s="46">
        <v>264.74</v>
      </c>
      <c r="D60" s="49">
        <v>-1.3899999999999999E-2</v>
      </c>
      <c r="E60" s="13"/>
      <c r="F60" s="13"/>
      <c r="G60" s="13"/>
      <c r="H60" s="47">
        <v>45200</v>
      </c>
      <c r="I60" s="48">
        <v>17914.150000000001</v>
      </c>
      <c r="J60" s="49">
        <v>-1.03E-2</v>
      </c>
      <c r="K60" s="13"/>
      <c r="L60" s="13"/>
      <c r="M60" s="13"/>
      <c r="N60" s="13"/>
      <c r="O60" s="13"/>
      <c r="P60" s="13"/>
      <c r="Q60" s="13"/>
      <c r="R60" s="13"/>
      <c r="S60" s="13"/>
      <c r="T60" s="13"/>
      <c r="U60" s="13"/>
    </row>
    <row r="61" spans="1:45">
      <c r="A61" s="13"/>
      <c r="B61" s="47">
        <v>45170</v>
      </c>
      <c r="C61" s="46">
        <v>268.47000000000003</v>
      </c>
      <c r="D61" s="49">
        <v>1.3899999999999999E-2</v>
      </c>
      <c r="E61" s="13"/>
      <c r="F61" s="13"/>
      <c r="G61" s="13"/>
      <c r="H61" s="47">
        <v>45170</v>
      </c>
      <c r="I61" s="48">
        <v>18101.2</v>
      </c>
      <c r="J61" s="49">
        <v>1.35E-2</v>
      </c>
      <c r="K61" s="13"/>
      <c r="L61" s="13"/>
      <c r="M61" s="13"/>
      <c r="N61" s="13"/>
      <c r="O61" s="13"/>
      <c r="P61" s="13"/>
      <c r="Q61" s="13"/>
      <c r="R61" s="13"/>
      <c r="S61" s="13"/>
      <c r="T61" s="13"/>
      <c r="U61" s="13"/>
    </row>
    <row r="62" spans="1:45">
      <c r="A62" s="13"/>
      <c r="B62" s="47">
        <v>45078</v>
      </c>
      <c r="C62" s="46">
        <v>264.79000000000002</v>
      </c>
      <c r="D62" s="49">
        <v>-5.8999999999999999E-3</v>
      </c>
      <c r="E62" s="13"/>
      <c r="F62" s="13"/>
      <c r="G62" s="13"/>
      <c r="H62" s="47">
        <v>45078</v>
      </c>
      <c r="I62" s="48">
        <v>17859.45</v>
      </c>
      <c r="J62" s="49">
        <v>-7.4000000000000003E-3</v>
      </c>
      <c r="K62" s="13"/>
      <c r="L62" s="13"/>
      <c r="M62" s="13"/>
      <c r="N62" s="13"/>
      <c r="O62" s="13"/>
      <c r="P62" s="13"/>
      <c r="Q62" s="13"/>
      <c r="R62" s="13"/>
      <c r="S62" s="13"/>
      <c r="T62" s="13"/>
      <c r="U62" s="13"/>
    </row>
    <row r="63" spans="1:45">
      <c r="A63" s="13"/>
      <c r="B63" s="47">
        <v>45047</v>
      </c>
      <c r="C63" s="46">
        <v>266.35000000000002</v>
      </c>
      <c r="D63" s="49">
        <v>-6.9999999999999999E-4</v>
      </c>
      <c r="E63" s="13"/>
      <c r="F63" s="13"/>
      <c r="G63" s="13"/>
      <c r="H63" s="47">
        <v>45047</v>
      </c>
      <c r="I63" s="48">
        <v>17992.150000000001</v>
      </c>
      <c r="J63" s="49">
        <v>-2.8E-3</v>
      </c>
      <c r="K63" s="13"/>
      <c r="L63" s="13"/>
      <c r="M63" s="13"/>
      <c r="N63" s="13"/>
      <c r="O63" s="13"/>
      <c r="P63" s="13"/>
      <c r="Q63" s="13"/>
      <c r="R63" s="13"/>
      <c r="S63" s="13"/>
      <c r="T63" s="13"/>
      <c r="U63" s="13"/>
    </row>
    <row r="64" spans="1:45">
      <c r="A64" s="13"/>
      <c r="B64" s="47">
        <v>45017</v>
      </c>
      <c r="C64" s="46">
        <v>266.54000000000002</v>
      </c>
      <c r="D64" s="49">
        <v>5.7000000000000002E-3</v>
      </c>
      <c r="E64" s="13"/>
      <c r="F64" s="13"/>
      <c r="G64" s="13"/>
      <c r="H64" s="47">
        <v>45017</v>
      </c>
      <c r="I64" s="48">
        <v>18042.95</v>
      </c>
      <c r="J64" s="49">
        <v>-1.04E-2</v>
      </c>
      <c r="K64" s="13"/>
      <c r="L64" s="13"/>
      <c r="M64" s="13"/>
      <c r="N64" s="13"/>
      <c r="O64" s="13"/>
      <c r="P64" s="13"/>
      <c r="Q64" s="13"/>
      <c r="R64" s="13"/>
      <c r="S64" s="13"/>
      <c r="T64" s="13"/>
      <c r="U64" s="13"/>
    </row>
    <row r="65" spans="1:21">
      <c r="A65" s="13"/>
      <c r="B65" s="47">
        <v>44986</v>
      </c>
      <c r="C65" s="46">
        <v>265.02</v>
      </c>
      <c r="D65" s="49">
        <v>1.67E-2</v>
      </c>
      <c r="E65" s="13"/>
      <c r="F65" s="13"/>
      <c r="G65" s="13"/>
      <c r="H65" s="47">
        <v>44986</v>
      </c>
      <c r="I65" s="48">
        <v>18232.55</v>
      </c>
      <c r="J65" s="49">
        <v>1.9E-3</v>
      </c>
      <c r="K65" s="13"/>
      <c r="L65" s="13"/>
      <c r="M65" s="13"/>
      <c r="N65" s="13"/>
      <c r="O65" s="13"/>
      <c r="P65" s="13"/>
      <c r="Q65" s="13"/>
      <c r="R65" s="13"/>
      <c r="S65" s="13"/>
      <c r="T65" s="13"/>
      <c r="U65" s="13"/>
    </row>
    <row r="66" spans="1:21">
      <c r="A66" s="13"/>
      <c r="B66" s="47">
        <v>44958</v>
      </c>
      <c r="C66" s="46">
        <v>260.66000000000003</v>
      </c>
      <c r="D66" s="49">
        <v>-2.24E-2</v>
      </c>
      <c r="E66" s="13"/>
      <c r="F66" s="13"/>
      <c r="G66" s="13"/>
      <c r="H66" s="47">
        <v>44958</v>
      </c>
      <c r="I66" s="48">
        <v>18197.45</v>
      </c>
      <c r="J66" s="49">
        <v>5.1000000000000004E-3</v>
      </c>
      <c r="K66" s="13"/>
      <c r="L66" s="13"/>
      <c r="M66" s="13"/>
      <c r="N66" s="13"/>
      <c r="O66" s="13"/>
      <c r="P66" s="13"/>
      <c r="Q66" s="13"/>
      <c r="R66" s="13"/>
      <c r="S66" s="13"/>
      <c r="T66" s="13"/>
      <c r="U66" s="13"/>
    </row>
    <row r="67" spans="1:21">
      <c r="A67" s="13"/>
      <c r="B67" s="46" t="s">
        <v>593</v>
      </c>
      <c r="C67" s="46">
        <v>266.64</v>
      </c>
      <c r="D67" s="49">
        <v>-2.5999999999999999E-2</v>
      </c>
      <c r="E67" s="13"/>
      <c r="F67" s="13"/>
      <c r="G67" s="13"/>
      <c r="H67" s="46" t="s">
        <v>593</v>
      </c>
      <c r="I67" s="48">
        <v>18105.3</v>
      </c>
      <c r="J67" s="49">
        <v>-4.7000000000000002E-3</v>
      </c>
      <c r="K67" s="13"/>
      <c r="L67" s="13"/>
      <c r="M67" s="13"/>
      <c r="N67" s="13"/>
      <c r="O67" s="13"/>
      <c r="P67" s="13"/>
      <c r="Q67" s="13"/>
      <c r="R67" s="13"/>
      <c r="S67" s="13"/>
      <c r="T67" s="13"/>
      <c r="U67" s="13"/>
    </row>
    <row r="68" spans="1:21">
      <c r="A68" s="13"/>
      <c r="B68" s="46" t="s">
        <v>594</v>
      </c>
      <c r="C68" s="46">
        <v>273.76</v>
      </c>
      <c r="D68" s="49">
        <v>-1.8E-3</v>
      </c>
      <c r="E68" s="13"/>
      <c r="F68" s="13"/>
      <c r="G68" s="13"/>
      <c r="H68" s="46" t="s">
        <v>594</v>
      </c>
      <c r="I68" s="48">
        <v>18191</v>
      </c>
      <c r="J68" s="49">
        <v>3.8E-3</v>
      </c>
      <c r="K68" s="13"/>
      <c r="L68" s="13"/>
      <c r="M68" s="13"/>
      <c r="N68" s="13"/>
      <c r="O68" s="13"/>
      <c r="P68" s="13"/>
      <c r="Q68" s="13"/>
      <c r="R68" s="13"/>
      <c r="S68" s="13"/>
      <c r="T68" s="13"/>
      <c r="U68" s="13"/>
    </row>
    <row r="69" spans="1:21">
      <c r="A69" s="13"/>
      <c r="B69" s="46" t="s">
        <v>595</v>
      </c>
      <c r="C69" s="46">
        <v>274.26</v>
      </c>
      <c r="D69" s="49">
        <v>-5.9999999999999995E-4</v>
      </c>
      <c r="E69" s="13"/>
      <c r="F69" s="13"/>
      <c r="G69" s="13"/>
      <c r="H69" s="46" t="s">
        <v>595</v>
      </c>
      <c r="I69" s="48">
        <v>18122.5</v>
      </c>
      <c r="J69" s="49">
        <v>-5.0000000000000001E-4</v>
      </c>
      <c r="K69" s="13"/>
      <c r="L69" s="13"/>
      <c r="M69" s="13"/>
      <c r="N69" s="13"/>
      <c r="O69" s="13"/>
      <c r="P69" s="13"/>
      <c r="Q69" s="13"/>
      <c r="R69" s="13"/>
      <c r="S69" s="13"/>
      <c r="T69" s="13"/>
      <c r="U69" s="13"/>
    </row>
    <row r="70" spans="1:21">
      <c r="A70" s="13"/>
      <c r="B70" s="46" t="s">
        <v>596</v>
      </c>
      <c r="C70" s="46">
        <v>274.42</v>
      </c>
      <c r="D70" s="49">
        <v>1.15E-2</v>
      </c>
      <c r="E70" s="13"/>
      <c r="F70" s="13"/>
      <c r="G70" s="13"/>
      <c r="H70" s="46" t="s">
        <v>596</v>
      </c>
      <c r="I70" s="48">
        <v>18132.3</v>
      </c>
      <c r="J70" s="49">
        <v>6.4999999999999997E-3</v>
      </c>
      <c r="K70" s="13"/>
      <c r="L70" s="13"/>
      <c r="M70" s="13"/>
      <c r="N70" s="13"/>
      <c r="O70" s="13"/>
      <c r="P70" s="13"/>
      <c r="Q70" s="13"/>
      <c r="R70" s="13"/>
      <c r="S70" s="13"/>
      <c r="T70" s="13"/>
      <c r="U70" s="13"/>
    </row>
    <row r="71" spans="1:21">
      <c r="A71" s="13"/>
      <c r="B71" s="46" t="s">
        <v>597</v>
      </c>
      <c r="C71" s="46">
        <v>271.3</v>
      </c>
      <c r="D71" s="49">
        <v>2.0899999999999998E-2</v>
      </c>
      <c r="E71" s="13"/>
      <c r="F71" s="13"/>
      <c r="G71" s="13"/>
      <c r="H71" s="46" t="s">
        <v>597</v>
      </c>
      <c r="I71" s="48">
        <v>18014.599999999999</v>
      </c>
      <c r="J71" s="49">
        <v>1.17E-2</v>
      </c>
      <c r="K71" s="13"/>
      <c r="L71" s="13"/>
      <c r="M71" s="13"/>
      <c r="N71" s="13"/>
      <c r="O71" s="13"/>
      <c r="P71" s="13"/>
      <c r="Q71" s="13"/>
      <c r="R71" s="13"/>
      <c r="S71" s="13"/>
      <c r="T71" s="13"/>
      <c r="U71" s="13"/>
    </row>
    <row r="72" spans="1:21">
      <c r="A72" s="13"/>
      <c r="B72" s="46" t="s">
        <v>598</v>
      </c>
      <c r="C72" s="46">
        <v>265.75</v>
      </c>
      <c r="D72" s="49">
        <v>-1.34E-2</v>
      </c>
      <c r="E72" s="13"/>
      <c r="F72" s="13"/>
      <c r="G72" s="13"/>
      <c r="H72" s="46" t="s">
        <v>598</v>
      </c>
      <c r="I72" s="48">
        <v>17806.8</v>
      </c>
      <c r="J72" s="49">
        <v>-1.77E-2</v>
      </c>
      <c r="K72" s="13"/>
      <c r="L72" s="13"/>
      <c r="M72" s="13"/>
      <c r="N72" s="13"/>
      <c r="O72" s="13"/>
      <c r="P72" s="13"/>
      <c r="Q72" s="13"/>
      <c r="R72" s="13"/>
      <c r="S72" s="13"/>
      <c r="T72" s="13"/>
      <c r="U72" s="13"/>
    </row>
    <row r="73" spans="1:21">
      <c r="A73" s="13"/>
      <c r="B73" s="46" t="s">
        <v>599</v>
      </c>
      <c r="C73" s="46">
        <v>269.35000000000002</v>
      </c>
      <c r="D73" s="49">
        <v>-1.0500000000000001E-2</v>
      </c>
      <c r="E73" s="13"/>
      <c r="F73" s="13"/>
      <c r="G73" s="13"/>
      <c r="H73" s="46" t="s">
        <v>599</v>
      </c>
      <c r="I73" s="48">
        <v>18127.349999999999</v>
      </c>
      <c r="J73" s="49">
        <v>-3.8999999999999998E-3</v>
      </c>
      <c r="K73" s="13"/>
      <c r="L73" s="13"/>
      <c r="M73" s="13"/>
      <c r="N73" s="13"/>
      <c r="O73" s="13"/>
      <c r="P73" s="13"/>
      <c r="Q73" s="13"/>
      <c r="R73" s="13"/>
      <c r="S73" s="13"/>
      <c r="T73" s="13"/>
      <c r="U73" s="13"/>
    </row>
    <row r="74" spans="1:21">
      <c r="A74" s="13"/>
      <c r="B74" s="46" t="s">
        <v>600</v>
      </c>
      <c r="C74" s="46">
        <v>272.2</v>
      </c>
      <c r="D74" s="49">
        <v>-1.49E-2</v>
      </c>
      <c r="E74" s="13"/>
      <c r="F74" s="13"/>
      <c r="G74" s="13"/>
      <c r="H74" s="46" t="s">
        <v>600</v>
      </c>
      <c r="I74" s="48">
        <v>18199.099999999999</v>
      </c>
      <c r="J74" s="49">
        <v>-1.01E-2</v>
      </c>
      <c r="K74" s="13"/>
      <c r="L74" s="13"/>
      <c r="M74" s="13"/>
      <c r="N74" s="13"/>
      <c r="O74" s="13"/>
      <c r="P74" s="13"/>
      <c r="Q74" s="13"/>
      <c r="R74" s="13"/>
      <c r="S74" s="13"/>
      <c r="T74" s="13"/>
      <c r="U74" s="13"/>
    </row>
    <row r="75" spans="1:21">
      <c r="A75" s="13"/>
      <c r="B75" s="46" t="s">
        <v>601</v>
      </c>
      <c r="C75" s="46">
        <v>276.32</v>
      </c>
      <c r="D75" s="49">
        <v>-6.9999999999999999E-4</v>
      </c>
      <c r="E75" s="13"/>
      <c r="F75" s="13"/>
      <c r="G75" s="13"/>
      <c r="H75" s="46" t="s">
        <v>601</v>
      </c>
      <c r="I75" s="48">
        <v>18385.3</v>
      </c>
      <c r="J75" s="49">
        <v>-1.9E-3</v>
      </c>
      <c r="K75" s="13"/>
      <c r="L75" s="13"/>
      <c r="M75" s="13"/>
      <c r="N75" s="13"/>
      <c r="O75" s="13"/>
      <c r="P75" s="13"/>
      <c r="Q75" s="13"/>
      <c r="R75" s="13"/>
      <c r="S75" s="13"/>
      <c r="T75" s="13"/>
      <c r="U75" s="13"/>
    </row>
    <row r="76" spans="1:21">
      <c r="A76" s="13"/>
      <c r="B76" s="46" t="s">
        <v>602</v>
      </c>
      <c r="C76" s="46">
        <v>276.51</v>
      </c>
      <c r="D76" s="49">
        <v>7.1000000000000004E-3</v>
      </c>
      <c r="E76" s="13"/>
      <c r="F76" s="13"/>
      <c r="G76" s="13"/>
      <c r="H76" s="46" t="s">
        <v>602</v>
      </c>
      <c r="I76" s="48">
        <v>18420.45</v>
      </c>
      <c r="J76" s="49">
        <v>8.3000000000000001E-3</v>
      </c>
      <c r="K76" s="13"/>
      <c r="L76" s="13"/>
      <c r="M76" s="13"/>
      <c r="N76" s="13"/>
      <c r="O76" s="13"/>
      <c r="P76" s="13"/>
      <c r="Q76" s="13"/>
      <c r="R76" s="13"/>
      <c r="S76" s="13"/>
      <c r="T76" s="13"/>
      <c r="U76" s="13"/>
    </row>
    <row r="77" spans="1:21">
      <c r="A77" s="13"/>
      <c r="B77" s="46" t="s">
        <v>603</v>
      </c>
      <c r="C77" s="46">
        <v>274.57</v>
      </c>
      <c r="D77" s="49">
        <v>-1.83E-2</v>
      </c>
      <c r="E77" s="13"/>
      <c r="F77" s="13"/>
      <c r="G77" s="13"/>
      <c r="H77" s="46" t="s">
        <v>603</v>
      </c>
      <c r="I77" s="48">
        <v>18269</v>
      </c>
      <c r="J77" s="49">
        <v>-7.9000000000000008E-3</v>
      </c>
      <c r="K77" s="13"/>
      <c r="L77" s="13"/>
      <c r="M77" s="13"/>
      <c r="N77" s="13"/>
      <c r="O77" s="13"/>
      <c r="P77" s="13"/>
      <c r="Q77" s="13"/>
      <c r="R77" s="13"/>
      <c r="S77" s="13"/>
      <c r="T77" s="13"/>
      <c r="U77" s="13"/>
    </row>
    <row r="78" spans="1:21">
      <c r="A78" s="13"/>
      <c r="B78" s="46" t="s">
        <v>604</v>
      </c>
      <c r="C78" s="46">
        <v>279.7</v>
      </c>
      <c r="D78" s="49">
        <v>2.8299999999999999E-2</v>
      </c>
      <c r="E78" s="13"/>
      <c r="F78" s="13"/>
      <c r="G78" s="13"/>
      <c r="H78" s="46" t="s">
        <v>604</v>
      </c>
      <c r="I78" s="48">
        <v>18414.900000000001</v>
      </c>
      <c r="J78" s="49">
        <v>-1.32E-2</v>
      </c>
      <c r="K78" s="13"/>
      <c r="L78" s="13"/>
      <c r="M78" s="13"/>
      <c r="N78" s="13"/>
      <c r="O78" s="13"/>
      <c r="P78" s="13"/>
      <c r="Q78" s="13"/>
      <c r="R78" s="13"/>
      <c r="S78" s="13"/>
      <c r="T78" s="13"/>
      <c r="U78" s="13"/>
    </row>
    <row r="79" spans="1:21">
      <c r="A79" s="13"/>
      <c r="B79" s="46" t="s">
        <v>605</v>
      </c>
      <c r="C79" s="46">
        <v>271.99</v>
      </c>
      <c r="D79" s="49">
        <v>-1.5699999999999999E-2</v>
      </c>
      <c r="E79" s="13"/>
      <c r="F79" s="13"/>
      <c r="G79" s="13"/>
      <c r="H79" s="46" t="s">
        <v>605</v>
      </c>
      <c r="I79" s="48">
        <v>18660.3</v>
      </c>
      <c r="J79" s="49">
        <v>2.8E-3</v>
      </c>
      <c r="K79" s="13"/>
      <c r="L79" s="13"/>
      <c r="M79" s="13"/>
      <c r="N79" s="13"/>
      <c r="O79" s="13"/>
      <c r="P79" s="13"/>
      <c r="Q79" s="13"/>
      <c r="R79" s="13"/>
      <c r="S79" s="13"/>
      <c r="T79" s="13"/>
      <c r="U79" s="13"/>
    </row>
    <row r="80" spans="1:21">
      <c r="A80" s="13"/>
      <c r="B80" s="46" t="s">
        <v>606</v>
      </c>
      <c r="C80" s="46">
        <v>276.33999999999997</v>
      </c>
      <c r="D80" s="49">
        <v>-6.4000000000000003E-3</v>
      </c>
      <c r="E80" s="13"/>
      <c r="F80" s="13"/>
      <c r="G80" s="13"/>
      <c r="H80" s="46" t="s">
        <v>606</v>
      </c>
      <c r="I80" s="48">
        <v>18608</v>
      </c>
      <c r="J80" s="49">
        <v>6.0000000000000001E-3</v>
      </c>
      <c r="K80" s="13"/>
      <c r="L80" s="13"/>
      <c r="M80" s="13"/>
      <c r="N80" s="13"/>
      <c r="O80" s="13"/>
      <c r="P80" s="13"/>
      <c r="Q80" s="13"/>
      <c r="R80" s="13"/>
      <c r="S80" s="13"/>
      <c r="T80" s="13"/>
      <c r="U80" s="13"/>
    </row>
    <row r="81" spans="1:21">
      <c r="A81" s="13"/>
      <c r="B81" s="47">
        <v>44907</v>
      </c>
      <c r="C81" s="46">
        <v>278.13</v>
      </c>
      <c r="D81" s="49">
        <v>3.7000000000000002E-3</v>
      </c>
      <c r="E81" s="13"/>
      <c r="F81" s="13"/>
      <c r="G81" s="13"/>
      <c r="H81" s="47">
        <v>44907</v>
      </c>
      <c r="I81" s="48">
        <v>18497.150000000001</v>
      </c>
      <c r="J81" s="49">
        <v>0</v>
      </c>
      <c r="K81" s="13"/>
      <c r="L81" s="13"/>
      <c r="M81" s="13"/>
      <c r="N81" s="13"/>
      <c r="O81" s="13"/>
      <c r="P81" s="13"/>
      <c r="Q81" s="13"/>
      <c r="R81" s="13"/>
      <c r="S81" s="13"/>
      <c r="T81" s="13"/>
      <c r="U81" s="13"/>
    </row>
    <row r="82" spans="1:21">
      <c r="A82" s="13"/>
      <c r="B82" s="47">
        <v>44816</v>
      </c>
      <c r="C82" s="46">
        <v>277.10000000000002</v>
      </c>
      <c r="D82" s="49">
        <v>-1.61E-2</v>
      </c>
      <c r="E82" s="13"/>
      <c r="F82" s="13"/>
      <c r="G82" s="13"/>
      <c r="H82" s="47">
        <v>44816</v>
      </c>
      <c r="I82" s="48">
        <v>18496.599999999999</v>
      </c>
      <c r="J82" s="49">
        <v>-6.1000000000000004E-3</v>
      </c>
      <c r="K82" s="13"/>
      <c r="L82" s="13"/>
      <c r="M82" s="13"/>
      <c r="N82" s="13"/>
      <c r="O82" s="13"/>
      <c r="P82" s="13"/>
      <c r="Q82" s="13"/>
      <c r="R82" s="13"/>
      <c r="S82" s="13"/>
      <c r="T82" s="13"/>
      <c r="U82" s="13"/>
    </row>
    <row r="83" spans="1:21">
      <c r="A83" s="13"/>
      <c r="B83" s="47">
        <v>44785</v>
      </c>
      <c r="C83" s="46">
        <v>281.64</v>
      </c>
      <c r="D83" s="49">
        <v>9.5999999999999992E-3</v>
      </c>
      <c r="E83" s="13"/>
      <c r="F83" s="13"/>
      <c r="G83" s="13"/>
      <c r="H83" s="47">
        <v>44785</v>
      </c>
      <c r="I83" s="48">
        <v>18609.349999999999</v>
      </c>
      <c r="J83" s="49">
        <v>2.5999999999999999E-3</v>
      </c>
      <c r="K83" s="13"/>
      <c r="L83" s="13"/>
      <c r="M83" s="13"/>
      <c r="N83" s="13"/>
      <c r="O83" s="13"/>
      <c r="P83" s="13"/>
      <c r="Q83" s="13"/>
      <c r="R83" s="13"/>
      <c r="S83" s="13"/>
      <c r="T83" s="13"/>
      <c r="U83" s="13"/>
    </row>
    <row r="84" spans="1:21">
      <c r="A84" s="13"/>
      <c r="B84" s="47">
        <v>44754</v>
      </c>
      <c r="C84" s="46">
        <v>278.95</v>
      </c>
      <c r="D84" s="49">
        <v>-1E-3</v>
      </c>
      <c r="E84" s="13"/>
      <c r="F84" s="13"/>
      <c r="G84" s="13"/>
      <c r="H84" s="47">
        <v>44754</v>
      </c>
      <c r="I84" s="48">
        <v>18560.5</v>
      </c>
      <c r="J84" s="49">
        <v>-4.4000000000000003E-3</v>
      </c>
      <c r="K84" s="13"/>
      <c r="L84" s="13"/>
      <c r="M84" s="13"/>
      <c r="N84" s="13"/>
      <c r="O84" s="13"/>
      <c r="P84" s="13"/>
      <c r="Q84" s="13"/>
      <c r="R84" s="13"/>
      <c r="S84" s="13"/>
      <c r="T84" s="13"/>
      <c r="U84" s="13"/>
    </row>
    <row r="85" spans="1:21">
      <c r="A85" s="13"/>
      <c r="B85" s="47">
        <v>44724</v>
      </c>
      <c r="C85" s="46">
        <v>279.22000000000003</v>
      </c>
      <c r="D85" s="49">
        <v>1.6400000000000001E-2</v>
      </c>
      <c r="E85" s="13"/>
      <c r="F85" s="13"/>
      <c r="G85" s="13"/>
      <c r="H85" s="47">
        <v>44724</v>
      </c>
      <c r="I85" s="48">
        <v>18642.75</v>
      </c>
      <c r="J85" s="49">
        <v>-3.0999999999999999E-3</v>
      </c>
      <c r="K85" s="13"/>
      <c r="L85" s="13"/>
      <c r="M85" s="13"/>
      <c r="N85" s="13"/>
      <c r="O85" s="13"/>
      <c r="P85" s="13"/>
      <c r="Q85" s="13"/>
      <c r="R85" s="13"/>
      <c r="S85" s="13"/>
      <c r="T85" s="13"/>
      <c r="U85" s="13"/>
    </row>
    <row r="86" spans="1:21">
      <c r="A86" s="13"/>
      <c r="B86" s="47">
        <v>44693</v>
      </c>
      <c r="C86" s="46">
        <v>274.72000000000003</v>
      </c>
      <c r="D86" s="49">
        <v>1.29E-2</v>
      </c>
      <c r="E86" s="13"/>
      <c r="F86" s="13"/>
      <c r="G86" s="13"/>
      <c r="H86" s="47">
        <v>44693</v>
      </c>
      <c r="I86" s="48">
        <v>18701.05</v>
      </c>
      <c r="J86" s="49">
        <v>2.9999999999999997E-4</v>
      </c>
      <c r="K86" s="13"/>
      <c r="L86" s="13"/>
      <c r="M86" s="13"/>
      <c r="N86" s="13"/>
      <c r="O86" s="13"/>
      <c r="P86" s="13"/>
      <c r="Q86" s="13"/>
      <c r="R86" s="13"/>
      <c r="S86" s="13"/>
      <c r="T86" s="13"/>
      <c r="U86" s="13"/>
    </row>
    <row r="87" spans="1:21">
      <c r="A87" s="13"/>
      <c r="B87" s="47">
        <v>44604</v>
      </c>
      <c r="C87" s="46">
        <v>271.23</v>
      </c>
      <c r="D87" s="49">
        <v>-2.9999999999999997E-4</v>
      </c>
      <c r="E87" s="13"/>
      <c r="F87" s="13"/>
      <c r="G87" s="13"/>
      <c r="H87" s="47">
        <v>44604</v>
      </c>
      <c r="I87" s="48">
        <v>18696.099999999999</v>
      </c>
      <c r="J87" s="49">
        <v>-6.1999999999999998E-3</v>
      </c>
      <c r="K87" s="13"/>
      <c r="L87" s="13"/>
      <c r="M87" s="13"/>
      <c r="N87" s="13"/>
      <c r="O87" s="13"/>
      <c r="P87" s="13"/>
      <c r="Q87" s="13"/>
      <c r="R87" s="13"/>
      <c r="S87" s="13"/>
      <c r="T87" s="13"/>
      <c r="U87" s="13"/>
    </row>
    <row r="88" spans="1:21">
      <c r="A88" s="13"/>
      <c r="B88" s="47">
        <v>44573</v>
      </c>
      <c r="C88" s="46">
        <v>271.3</v>
      </c>
      <c r="D88" s="49">
        <v>3.3E-3</v>
      </c>
      <c r="E88" s="13"/>
      <c r="F88" s="13"/>
      <c r="G88" s="13"/>
      <c r="H88" s="47">
        <v>44573</v>
      </c>
      <c r="I88" s="48">
        <v>18812.5</v>
      </c>
      <c r="J88" s="49">
        <v>2.8999999999999998E-3</v>
      </c>
      <c r="K88" s="13"/>
      <c r="L88" s="13"/>
      <c r="M88" s="13"/>
      <c r="N88" s="13"/>
      <c r="O88" s="13"/>
      <c r="P88" s="13"/>
      <c r="Q88" s="13"/>
      <c r="R88" s="13"/>
      <c r="S88" s="13"/>
      <c r="T88" s="13"/>
      <c r="U88" s="13"/>
    </row>
    <row r="89" spans="1:21">
      <c r="A89" s="13"/>
      <c r="B89" s="46" t="s">
        <v>607</v>
      </c>
      <c r="C89" s="46">
        <v>270.39999999999998</v>
      </c>
      <c r="D89" s="49">
        <v>-5.5999999999999999E-3</v>
      </c>
      <c r="E89" s="13"/>
      <c r="F89" s="13"/>
      <c r="G89" s="13"/>
      <c r="H89" s="46" t="s">
        <v>607</v>
      </c>
      <c r="I89" s="48">
        <v>18758.349999999999</v>
      </c>
      <c r="J89" s="49">
        <v>7.4999999999999997E-3</v>
      </c>
      <c r="K89" s="13"/>
      <c r="L89" s="13"/>
      <c r="M89" s="13"/>
      <c r="N89" s="13"/>
      <c r="O89" s="13"/>
      <c r="P89" s="13"/>
      <c r="Q89" s="13"/>
      <c r="R89" s="13"/>
      <c r="S89" s="13"/>
      <c r="T89" s="13"/>
      <c r="U89" s="13"/>
    </row>
    <row r="90" spans="1:21">
      <c r="A90" s="13"/>
      <c r="B90" s="46" t="s">
        <v>608</v>
      </c>
      <c r="C90" s="46">
        <v>271.93</v>
      </c>
      <c r="D90" s="49">
        <v>2.01E-2</v>
      </c>
      <c r="E90" s="13"/>
      <c r="F90" s="13"/>
      <c r="G90" s="13"/>
      <c r="H90" s="46" t="s">
        <v>608</v>
      </c>
      <c r="I90" s="48">
        <v>18618.05</v>
      </c>
      <c r="J90" s="49">
        <v>3.0000000000000001E-3</v>
      </c>
      <c r="K90" s="13"/>
      <c r="L90" s="13"/>
      <c r="M90" s="13"/>
      <c r="N90" s="13"/>
      <c r="O90" s="13"/>
      <c r="P90" s="13"/>
      <c r="Q90" s="13"/>
      <c r="R90" s="13"/>
      <c r="S90" s="13"/>
      <c r="T90" s="13"/>
      <c r="U90" s="13"/>
    </row>
    <row r="91" spans="1:21">
      <c r="A91" s="13"/>
      <c r="B91" s="46" t="s">
        <v>609</v>
      </c>
      <c r="C91" s="46">
        <v>266.57</v>
      </c>
      <c r="D91" s="49">
        <v>4.4999999999999997E-3</v>
      </c>
      <c r="E91" s="13"/>
      <c r="F91" s="13"/>
      <c r="G91" s="13"/>
      <c r="H91" s="46" t="s">
        <v>609</v>
      </c>
      <c r="I91" s="48">
        <v>18562.75</v>
      </c>
      <c r="J91" s="49">
        <v>2.7000000000000001E-3</v>
      </c>
      <c r="K91" s="13"/>
      <c r="L91" s="13"/>
      <c r="M91" s="13"/>
      <c r="N91" s="13"/>
      <c r="O91" s="13"/>
      <c r="P91" s="13"/>
      <c r="Q91" s="13"/>
      <c r="R91" s="13"/>
      <c r="S91" s="13"/>
      <c r="T91" s="13"/>
      <c r="U91" s="13"/>
    </row>
    <row r="92" spans="1:21">
      <c r="A92" s="13"/>
      <c r="B92" s="46" t="s">
        <v>610</v>
      </c>
      <c r="C92" s="46">
        <v>265.38</v>
      </c>
      <c r="D92" s="49">
        <v>-8.5000000000000006E-3</v>
      </c>
      <c r="E92" s="13"/>
      <c r="F92" s="13"/>
      <c r="G92" s="13"/>
      <c r="H92" s="46" t="s">
        <v>610</v>
      </c>
      <c r="I92" s="48">
        <v>18512.75</v>
      </c>
      <c r="J92" s="49">
        <v>1.6000000000000001E-3</v>
      </c>
      <c r="K92" s="13"/>
      <c r="L92" s="13"/>
      <c r="M92" s="13"/>
      <c r="N92" s="13"/>
      <c r="O92" s="13"/>
      <c r="P92" s="13"/>
      <c r="Q92" s="13"/>
      <c r="R92" s="13"/>
      <c r="S92" s="13"/>
      <c r="T92" s="13"/>
      <c r="U92" s="13"/>
    </row>
    <row r="93" spans="1:21">
      <c r="A93" s="13"/>
      <c r="B93" s="46" t="s">
        <v>611</v>
      </c>
      <c r="C93" s="46">
        <v>267.64999999999998</v>
      </c>
      <c r="D93" s="49">
        <v>8.9999999999999998E-4</v>
      </c>
      <c r="E93" s="13"/>
      <c r="F93" s="13"/>
      <c r="G93" s="13"/>
      <c r="H93" s="46" t="s">
        <v>611</v>
      </c>
      <c r="I93" s="48">
        <v>18484.099999999999</v>
      </c>
      <c r="J93" s="49">
        <v>1.1900000000000001E-2</v>
      </c>
      <c r="K93" s="13"/>
      <c r="L93" s="13"/>
      <c r="M93" s="13"/>
      <c r="N93" s="13"/>
      <c r="O93" s="13"/>
      <c r="P93" s="13"/>
      <c r="Q93" s="13"/>
      <c r="R93" s="13"/>
      <c r="S93" s="13"/>
      <c r="T93" s="13"/>
      <c r="U93" s="13"/>
    </row>
    <row r="94" spans="1:21">
      <c r="A94" s="13"/>
      <c r="B94" s="46" t="s">
        <v>612</v>
      </c>
      <c r="C94" s="46">
        <v>267.42</v>
      </c>
      <c r="D94" s="49">
        <v>-1.18E-2</v>
      </c>
      <c r="E94" s="13"/>
      <c r="F94" s="13"/>
      <c r="G94" s="13"/>
      <c r="H94" s="46" t="s">
        <v>612</v>
      </c>
      <c r="I94" s="48">
        <v>18267.25</v>
      </c>
      <c r="J94" s="49">
        <v>1.2999999999999999E-3</v>
      </c>
      <c r="K94" s="13"/>
      <c r="L94" s="13"/>
      <c r="M94" s="13"/>
      <c r="N94" s="13"/>
      <c r="O94" s="13"/>
      <c r="P94" s="13"/>
      <c r="Q94" s="13"/>
      <c r="R94" s="13"/>
      <c r="S94" s="13"/>
      <c r="T94" s="13"/>
      <c r="U94" s="13"/>
    </row>
    <row r="95" spans="1:21">
      <c r="A95" s="13"/>
      <c r="B95" s="46" t="s">
        <v>613</v>
      </c>
      <c r="C95" s="46">
        <v>270.61</v>
      </c>
      <c r="D95" s="49">
        <v>8.2000000000000007E-3</v>
      </c>
      <c r="E95" s="13"/>
      <c r="F95" s="13"/>
      <c r="G95" s="13"/>
      <c r="H95" s="46" t="s">
        <v>613</v>
      </c>
      <c r="I95" s="48">
        <v>18244.2</v>
      </c>
      <c r="J95" s="49">
        <v>4.5999999999999999E-3</v>
      </c>
      <c r="K95" s="13"/>
      <c r="L95" s="13"/>
      <c r="M95" s="13"/>
      <c r="N95" s="13"/>
      <c r="O95" s="13"/>
      <c r="P95" s="13"/>
      <c r="Q95" s="13"/>
      <c r="R95" s="13"/>
      <c r="S95" s="13"/>
      <c r="T95" s="13"/>
      <c r="U95" s="13"/>
    </row>
    <row r="96" spans="1:21">
      <c r="A96" s="13"/>
      <c r="B96" s="46" t="s">
        <v>614</v>
      </c>
      <c r="C96" s="46">
        <v>268.41000000000003</v>
      </c>
      <c r="D96" s="49">
        <v>-1.1000000000000001E-3</v>
      </c>
      <c r="E96" s="13"/>
      <c r="F96" s="13"/>
      <c r="G96" s="13"/>
      <c r="H96" s="46" t="s">
        <v>614</v>
      </c>
      <c r="I96" s="48">
        <v>18159.95</v>
      </c>
      <c r="J96" s="49">
        <v>-8.0999999999999996E-3</v>
      </c>
      <c r="K96" s="13"/>
      <c r="L96" s="13"/>
      <c r="M96" s="13"/>
      <c r="N96" s="13"/>
      <c r="O96" s="13"/>
      <c r="P96" s="13"/>
      <c r="Q96" s="13"/>
      <c r="R96" s="13"/>
      <c r="S96" s="13"/>
      <c r="T96" s="13"/>
      <c r="U96" s="13"/>
    </row>
    <row r="97" spans="1:21">
      <c r="A97" s="13"/>
      <c r="B97" s="46" t="s">
        <v>615</v>
      </c>
      <c r="C97" s="46">
        <v>268.7</v>
      </c>
      <c r="D97" s="49">
        <v>5.0000000000000001E-4</v>
      </c>
      <c r="E97" s="13"/>
      <c r="F97" s="13"/>
      <c r="G97" s="13"/>
      <c r="H97" s="46" t="s">
        <v>615</v>
      </c>
      <c r="I97" s="48">
        <v>18307.650000000001</v>
      </c>
      <c r="J97" s="49">
        <v>-2E-3</v>
      </c>
      <c r="K97" s="13"/>
      <c r="L97" s="13"/>
      <c r="M97" s="13"/>
      <c r="N97" s="13"/>
      <c r="O97" s="13"/>
      <c r="P97" s="13"/>
      <c r="Q97" s="13"/>
      <c r="R97" s="13"/>
      <c r="S97" s="13"/>
      <c r="T97" s="13"/>
      <c r="U97" s="13"/>
    </row>
    <row r="98" spans="1:21">
      <c r="A98" s="13"/>
      <c r="B98" s="46" t="s">
        <v>616</v>
      </c>
      <c r="C98" s="46">
        <v>268.56</v>
      </c>
      <c r="D98" s="49">
        <v>1.4800000000000001E-2</v>
      </c>
      <c r="E98" s="13"/>
      <c r="F98" s="13"/>
      <c r="G98" s="13"/>
      <c r="H98" s="46" t="s">
        <v>616</v>
      </c>
      <c r="I98" s="48">
        <v>18343.900000000001</v>
      </c>
      <c r="J98" s="49">
        <v>-3.5999999999999999E-3</v>
      </c>
      <c r="K98" s="13"/>
      <c r="L98" s="13"/>
      <c r="M98" s="13"/>
      <c r="N98" s="13"/>
      <c r="O98" s="13"/>
      <c r="P98" s="13"/>
      <c r="Q98" s="13"/>
      <c r="R98" s="13"/>
      <c r="S98" s="13"/>
      <c r="T98" s="13"/>
      <c r="U98" s="13"/>
    </row>
    <row r="99" spans="1:21">
      <c r="A99" s="13"/>
      <c r="B99" s="46" t="s">
        <v>617</v>
      </c>
      <c r="C99" s="46">
        <v>264.64</v>
      </c>
      <c r="D99" s="49">
        <v>-1.9199999999999998E-2</v>
      </c>
      <c r="E99" s="13"/>
      <c r="F99" s="13"/>
      <c r="G99" s="13"/>
      <c r="H99" s="46" t="s">
        <v>617</v>
      </c>
      <c r="I99" s="48">
        <v>18409.650000000001</v>
      </c>
      <c r="J99" s="49">
        <v>2.9999999999999997E-4</v>
      </c>
      <c r="K99" s="13"/>
      <c r="L99" s="13"/>
      <c r="M99" s="13"/>
      <c r="N99" s="13"/>
      <c r="O99" s="13"/>
      <c r="P99" s="13"/>
      <c r="Q99" s="13"/>
      <c r="R99" s="13"/>
      <c r="S99" s="13"/>
      <c r="T99" s="13"/>
      <c r="U99" s="13"/>
    </row>
    <row r="100" spans="1:21">
      <c r="A100" s="13"/>
      <c r="B100" s="46" t="s">
        <v>618</v>
      </c>
      <c r="C100" s="46">
        <v>269.81</v>
      </c>
      <c r="D100" s="49">
        <v>-2.0799999999999999E-2</v>
      </c>
      <c r="E100" s="13"/>
      <c r="F100" s="13"/>
      <c r="G100" s="13"/>
      <c r="H100" s="46" t="s">
        <v>618</v>
      </c>
      <c r="I100" s="48">
        <v>18403.400000000001</v>
      </c>
      <c r="J100" s="49">
        <v>4.1000000000000003E-3</v>
      </c>
      <c r="K100" s="13"/>
      <c r="L100" s="13"/>
      <c r="M100" s="13"/>
      <c r="N100" s="13"/>
      <c r="O100" s="13"/>
      <c r="P100" s="13"/>
      <c r="Q100" s="13"/>
      <c r="R100" s="13"/>
      <c r="S100" s="13"/>
      <c r="T100" s="13"/>
      <c r="U100" s="13"/>
    </row>
    <row r="101" spans="1:21">
      <c r="A101" s="13"/>
      <c r="B101" s="46" t="s">
        <v>619</v>
      </c>
      <c r="C101" s="46">
        <v>275.52999999999997</v>
      </c>
      <c r="D101" s="49">
        <v>8.3000000000000001E-3</v>
      </c>
      <c r="E101" s="13"/>
      <c r="F101" s="13"/>
      <c r="G101" s="13"/>
      <c r="H101" s="46" t="s">
        <v>619</v>
      </c>
      <c r="I101" s="48">
        <v>18329.150000000001</v>
      </c>
      <c r="J101" s="49">
        <v>-1.1000000000000001E-3</v>
      </c>
      <c r="K101" s="13"/>
      <c r="L101" s="13"/>
      <c r="M101" s="13"/>
      <c r="N101" s="13"/>
      <c r="O101" s="13"/>
      <c r="P101" s="13"/>
      <c r="Q101" s="13"/>
      <c r="R101" s="13"/>
      <c r="S101" s="13"/>
      <c r="T101" s="13"/>
      <c r="U101" s="13"/>
    </row>
    <row r="102" spans="1:21">
      <c r="A102" s="13"/>
      <c r="B102" s="47">
        <v>44876</v>
      </c>
      <c r="C102" s="46">
        <v>273.25</v>
      </c>
      <c r="D102" s="49">
        <v>1.6E-2</v>
      </c>
      <c r="E102" s="13"/>
      <c r="F102" s="13"/>
      <c r="G102" s="13"/>
      <c r="H102" s="47">
        <v>44876</v>
      </c>
      <c r="I102" s="48">
        <v>18349.7</v>
      </c>
      <c r="J102" s="49">
        <v>1.78E-2</v>
      </c>
      <c r="K102" s="13"/>
      <c r="L102" s="13"/>
      <c r="M102" s="13"/>
      <c r="N102" s="13"/>
      <c r="O102" s="13"/>
      <c r="P102" s="13"/>
      <c r="Q102" s="13"/>
      <c r="R102" s="13"/>
      <c r="S102" s="13"/>
      <c r="T102" s="13"/>
      <c r="U102" s="13"/>
    </row>
    <row r="103" spans="1:21">
      <c r="A103" s="13"/>
      <c r="B103" s="47">
        <v>44845</v>
      </c>
      <c r="C103" s="46">
        <v>268.95999999999998</v>
      </c>
      <c r="D103" s="49">
        <v>-2.8500000000000001E-2</v>
      </c>
      <c r="E103" s="13"/>
      <c r="F103" s="13"/>
      <c r="G103" s="13"/>
      <c r="H103" s="47">
        <v>44845</v>
      </c>
      <c r="I103" s="48">
        <v>18028.2</v>
      </c>
      <c r="J103" s="49">
        <v>-7.1000000000000004E-3</v>
      </c>
      <c r="K103" s="13"/>
      <c r="L103" s="13"/>
      <c r="M103" s="13"/>
      <c r="N103" s="13"/>
      <c r="O103" s="13"/>
      <c r="P103" s="13"/>
      <c r="Q103" s="13"/>
      <c r="R103" s="13"/>
      <c r="S103" s="13"/>
      <c r="T103" s="13"/>
      <c r="U103" s="13"/>
    </row>
    <row r="104" spans="1:21">
      <c r="A104" s="13"/>
      <c r="B104" s="47">
        <v>44815</v>
      </c>
      <c r="C104" s="46">
        <v>276.86</v>
      </c>
      <c r="D104" s="49">
        <v>-3.9399999999999998E-2</v>
      </c>
      <c r="E104" s="13"/>
      <c r="F104" s="13"/>
      <c r="G104" s="13"/>
      <c r="H104" s="47">
        <v>44815</v>
      </c>
      <c r="I104" s="48">
        <v>18157</v>
      </c>
      <c r="J104" s="49">
        <v>-2.5000000000000001E-3</v>
      </c>
      <c r="K104" s="13"/>
      <c r="L104" s="13"/>
      <c r="M104" s="13"/>
      <c r="N104" s="13"/>
      <c r="O104" s="13"/>
      <c r="P104" s="13"/>
      <c r="Q104" s="13"/>
      <c r="R104" s="13"/>
      <c r="S104" s="13"/>
      <c r="T104" s="13"/>
      <c r="U104" s="13"/>
    </row>
    <row r="105" spans="1:21">
      <c r="A105" s="13"/>
      <c r="B105" s="47">
        <v>44753</v>
      </c>
      <c r="C105" s="46">
        <v>288.22000000000003</v>
      </c>
      <c r="D105" s="49">
        <v>1.15E-2</v>
      </c>
      <c r="E105" s="13"/>
      <c r="F105" s="13"/>
      <c r="G105" s="13"/>
      <c r="H105" s="47">
        <v>44753</v>
      </c>
      <c r="I105" s="48">
        <v>18202.8</v>
      </c>
      <c r="J105" s="49">
        <v>4.7000000000000002E-3</v>
      </c>
      <c r="K105" s="13"/>
      <c r="L105" s="13"/>
      <c r="M105" s="13"/>
      <c r="N105" s="13"/>
      <c r="O105" s="13"/>
      <c r="P105" s="13"/>
      <c r="Q105" s="13"/>
      <c r="R105" s="13"/>
      <c r="S105" s="13"/>
      <c r="T105" s="13"/>
      <c r="U105" s="13"/>
    </row>
    <row r="106" spans="1:21">
      <c r="A106" s="13"/>
      <c r="B106" s="47">
        <v>44662</v>
      </c>
      <c r="C106" s="46">
        <v>284.95</v>
      </c>
      <c r="D106" s="49">
        <v>-2.1000000000000001E-2</v>
      </c>
      <c r="E106" s="13"/>
      <c r="F106" s="13"/>
      <c r="G106" s="13"/>
      <c r="H106" s="47">
        <v>44662</v>
      </c>
      <c r="I106" s="48">
        <v>18117.150000000001</v>
      </c>
      <c r="J106" s="49">
        <v>3.5999999999999999E-3</v>
      </c>
      <c r="K106" s="13"/>
      <c r="L106" s="13"/>
      <c r="M106" s="13"/>
      <c r="N106" s="13"/>
      <c r="O106" s="13"/>
      <c r="P106" s="13"/>
      <c r="Q106" s="13"/>
      <c r="R106" s="13"/>
      <c r="S106" s="13"/>
      <c r="T106" s="13"/>
      <c r="U106" s="13"/>
    </row>
    <row r="107" spans="1:21">
      <c r="A107" s="13"/>
      <c r="B107" s="47">
        <v>44631</v>
      </c>
      <c r="C107" s="46">
        <v>291.06</v>
      </c>
      <c r="D107" s="49">
        <v>-9.7000000000000003E-3</v>
      </c>
      <c r="E107" s="13"/>
      <c r="F107" s="13"/>
      <c r="G107" s="13"/>
      <c r="H107" s="47">
        <v>44631</v>
      </c>
      <c r="I107" s="48">
        <v>18052.7</v>
      </c>
      <c r="J107" s="49">
        <v>-1.6999999999999999E-3</v>
      </c>
      <c r="K107" s="13"/>
      <c r="L107" s="13"/>
      <c r="M107" s="13"/>
      <c r="N107" s="13"/>
      <c r="O107" s="13"/>
      <c r="P107" s="13"/>
      <c r="Q107" s="13"/>
      <c r="R107" s="13"/>
      <c r="S107" s="13"/>
      <c r="T107" s="13"/>
      <c r="U107" s="13"/>
    </row>
    <row r="108" spans="1:21">
      <c r="A108" s="13"/>
      <c r="B108" s="47">
        <v>44603</v>
      </c>
      <c r="C108" s="46">
        <v>293.91000000000003</v>
      </c>
      <c r="D108" s="49">
        <v>-1.6999999999999999E-3</v>
      </c>
      <c r="E108" s="13"/>
      <c r="F108" s="13"/>
      <c r="G108" s="13"/>
      <c r="H108" s="47">
        <v>44603</v>
      </c>
      <c r="I108" s="48">
        <v>18082.849999999999</v>
      </c>
      <c r="J108" s="49">
        <v>-3.3999999999999998E-3</v>
      </c>
      <c r="K108" s="13"/>
      <c r="L108" s="13"/>
      <c r="M108" s="13"/>
      <c r="N108" s="13"/>
      <c r="O108" s="13"/>
      <c r="P108" s="13"/>
      <c r="Q108" s="13"/>
      <c r="R108" s="13"/>
      <c r="S108" s="13"/>
      <c r="T108" s="13"/>
      <c r="U108" s="13"/>
    </row>
    <row r="109" spans="1:21">
      <c r="A109" s="13"/>
      <c r="B109" s="47">
        <v>44572</v>
      </c>
      <c r="C109" s="46">
        <v>294.39999999999998</v>
      </c>
      <c r="D109" s="49">
        <v>1.8200000000000001E-2</v>
      </c>
      <c r="E109" s="13"/>
      <c r="F109" s="13"/>
      <c r="G109" s="13"/>
      <c r="H109" s="47">
        <v>44572</v>
      </c>
      <c r="I109" s="48">
        <v>18145.400000000001</v>
      </c>
      <c r="J109" s="49">
        <v>7.4000000000000003E-3</v>
      </c>
      <c r="K109" s="13"/>
      <c r="L109" s="13"/>
      <c r="M109" s="13"/>
      <c r="N109" s="13"/>
      <c r="O109" s="13"/>
      <c r="P109" s="13"/>
      <c r="Q109" s="13"/>
      <c r="R109" s="13"/>
      <c r="S109" s="13"/>
      <c r="T109" s="13"/>
      <c r="U109" s="13"/>
    </row>
    <row r="110" spans="1:21">
      <c r="A110" s="13"/>
      <c r="B110" s="46" t="s">
        <v>620</v>
      </c>
      <c r="C110" s="46">
        <v>289.14</v>
      </c>
      <c r="D110" s="49">
        <v>-1.8100000000000002E-2</v>
      </c>
      <c r="E110" s="13"/>
      <c r="F110" s="13"/>
      <c r="G110" s="13"/>
      <c r="H110" s="46" t="s">
        <v>620</v>
      </c>
      <c r="I110" s="48">
        <v>18012.2</v>
      </c>
      <c r="J110" s="49">
        <v>1.2699999999999999E-2</v>
      </c>
      <c r="K110" s="13"/>
      <c r="L110" s="13"/>
      <c r="M110" s="13"/>
      <c r="N110" s="13"/>
      <c r="O110" s="13"/>
      <c r="P110" s="13"/>
      <c r="Q110" s="13"/>
      <c r="R110" s="13"/>
      <c r="S110" s="13"/>
      <c r="T110" s="13"/>
      <c r="U110" s="13"/>
    </row>
    <row r="111" spans="1:21">
      <c r="A111" s="13"/>
      <c r="B111" s="46" t="s">
        <v>621</v>
      </c>
      <c r="C111" s="46">
        <v>294.48</v>
      </c>
      <c r="D111" s="49">
        <v>-4.7000000000000002E-3</v>
      </c>
      <c r="E111" s="13"/>
      <c r="F111" s="13"/>
      <c r="G111" s="13"/>
      <c r="H111" s="46" t="s">
        <v>621</v>
      </c>
      <c r="I111" s="48">
        <v>17786.8</v>
      </c>
      <c r="J111" s="49">
        <v>2.8E-3</v>
      </c>
      <c r="K111" s="13"/>
      <c r="L111" s="13"/>
      <c r="M111" s="13"/>
      <c r="N111" s="13"/>
      <c r="O111" s="13"/>
      <c r="P111" s="13"/>
      <c r="Q111" s="13"/>
      <c r="R111" s="13"/>
      <c r="S111" s="13"/>
      <c r="T111" s="13"/>
      <c r="U111" s="13"/>
    </row>
    <row r="112" spans="1:21">
      <c r="A112" s="13"/>
      <c r="B112" s="46" t="s">
        <v>622</v>
      </c>
      <c r="C112" s="46">
        <v>295.87</v>
      </c>
      <c r="D112" s="49">
        <v>1.3100000000000001E-2</v>
      </c>
      <c r="E112" s="13"/>
      <c r="F112" s="13"/>
      <c r="G112" s="13"/>
      <c r="H112" s="46" t="s">
        <v>622</v>
      </c>
      <c r="I112" s="48">
        <v>17736.95</v>
      </c>
      <c r="J112" s="49">
        <v>4.5999999999999999E-3</v>
      </c>
      <c r="K112" s="13"/>
      <c r="L112" s="13"/>
      <c r="M112" s="13"/>
      <c r="N112" s="13"/>
      <c r="O112" s="13"/>
      <c r="P112" s="13"/>
      <c r="Q112" s="13"/>
      <c r="R112" s="13"/>
      <c r="S112" s="13"/>
      <c r="T112" s="13"/>
      <c r="U112" s="13"/>
    </row>
    <row r="113" spans="1:21">
      <c r="A113" s="13"/>
      <c r="B113" s="46" t="s">
        <v>623</v>
      </c>
      <c r="C113" s="46">
        <v>292.04000000000002</v>
      </c>
      <c r="D113" s="49">
        <v>5.1999999999999998E-3</v>
      </c>
      <c r="E113" s="13"/>
      <c r="F113" s="13"/>
      <c r="G113" s="13"/>
      <c r="H113" s="46" t="s">
        <v>623</v>
      </c>
      <c r="I113" s="48">
        <v>17656.349999999999</v>
      </c>
      <c r="J113" s="49">
        <v>-4.1999999999999997E-3</v>
      </c>
      <c r="K113" s="13"/>
      <c r="L113" s="13"/>
      <c r="M113" s="13"/>
      <c r="N113" s="13"/>
      <c r="O113" s="13"/>
      <c r="P113" s="13"/>
      <c r="Q113" s="13"/>
      <c r="R113" s="13"/>
      <c r="S113" s="13"/>
      <c r="T113" s="13"/>
      <c r="U113" s="13"/>
    </row>
    <row r="114" spans="1:21">
      <c r="A114" s="13"/>
      <c r="B114" s="46" t="s">
        <v>624</v>
      </c>
      <c r="C114" s="46">
        <v>290.52999999999997</v>
      </c>
      <c r="D114" s="49">
        <v>4.7999999999999996E-3</v>
      </c>
      <c r="E114" s="13"/>
      <c r="F114" s="13"/>
      <c r="G114" s="13"/>
      <c r="H114" s="46" t="s">
        <v>624</v>
      </c>
      <c r="I114" s="48">
        <v>17730.75</v>
      </c>
      <c r="J114" s="49">
        <v>8.8000000000000005E-3</v>
      </c>
      <c r="K114" s="13"/>
      <c r="L114" s="13"/>
      <c r="M114" s="13"/>
      <c r="N114" s="13"/>
      <c r="O114" s="13"/>
      <c r="P114" s="13"/>
      <c r="Q114" s="13"/>
      <c r="R114" s="13"/>
      <c r="S114" s="13"/>
      <c r="T114" s="13"/>
      <c r="U114" s="13"/>
    </row>
    <row r="115" spans="1:21">
      <c r="A115" s="13"/>
      <c r="B115" s="46" t="s">
        <v>625</v>
      </c>
      <c r="C115" s="46">
        <v>289.14</v>
      </c>
      <c r="D115" s="49">
        <v>1.5E-3</v>
      </c>
      <c r="E115" s="13"/>
      <c r="F115" s="13"/>
      <c r="G115" s="13"/>
      <c r="H115" s="46" t="s">
        <v>625</v>
      </c>
      <c r="I115" s="48">
        <v>17576.3</v>
      </c>
      <c r="J115" s="49">
        <v>6.9999999999999999E-4</v>
      </c>
      <c r="K115" s="13"/>
      <c r="L115" s="13"/>
      <c r="M115" s="13"/>
      <c r="N115" s="13"/>
      <c r="O115" s="13"/>
      <c r="P115" s="13"/>
      <c r="Q115" s="13"/>
      <c r="R115" s="13"/>
      <c r="S115" s="13"/>
      <c r="T115" s="13"/>
      <c r="U115" s="13"/>
    </row>
    <row r="116" spans="1:21">
      <c r="A116" s="13"/>
      <c r="B116" s="46" t="s">
        <v>626</v>
      </c>
      <c r="C116" s="46">
        <v>288.70999999999998</v>
      </c>
      <c r="D116" s="49">
        <v>-1.44E-2</v>
      </c>
      <c r="E116" s="13"/>
      <c r="F116" s="13"/>
      <c r="G116" s="13"/>
      <c r="H116" s="46" t="s">
        <v>626</v>
      </c>
      <c r="I116" s="48">
        <v>17563.95</v>
      </c>
      <c r="J116" s="49">
        <v>3.0000000000000001E-3</v>
      </c>
      <c r="K116" s="13"/>
      <c r="L116" s="13"/>
      <c r="M116" s="13"/>
      <c r="N116" s="13"/>
      <c r="O116" s="13"/>
      <c r="P116" s="13"/>
      <c r="Q116" s="13"/>
      <c r="R116" s="13"/>
      <c r="S116" s="13"/>
      <c r="T116" s="13"/>
      <c r="U116" s="13"/>
    </row>
    <row r="117" spans="1:21">
      <c r="A117" s="13"/>
      <c r="B117" s="46" t="s">
        <v>627</v>
      </c>
      <c r="C117" s="46">
        <v>292.93</v>
      </c>
      <c r="D117" s="49">
        <v>2.24E-2</v>
      </c>
      <c r="E117" s="13"/>
      <c r="F117" s="13"/>
      <c r="G117" s="13"/>
      <c r="H117" s="46" t="s">
        <v>627</v>
      </c>
      <c r="I117" s="48">
        <v>17512.25</v>
      </c>
      <c r="J117" s="49">
        <v>1.4E-3</v>
      </c>
      <c r="K117" s="13"/>
      <c r="L117" s="13"/>
      <c r="M117" s="13"/>
      <c r="N117" s="13"/>
      <c r="O117" s="13"/>
      <c r="P117" s="13"/>
      <c r="Q117" s="13"/>
      <c r="R117" s="13"/>
      <c r="S117" s="13"/>
      <c r="T117" s="13"/>
      <c r="U117" s="13"/>
    </row>
    <row r="118" spans="1:21">
      <c r="A118" s="13"/>
      <c r="B118" s="46" t="s">
        <v>628</v>
      </c>
      <c r="C118" s="46">
        <v>286.5</v>
      </c>
      <c r="D118" s="49">
        <v>5.7000000000000002E-3</v>
      </c>
      <c r="E118" s="13"/>
      <c r="F118" s="13"/>
      <c r="G118" s="13"/>
      <c r="H118" s="46" t="s">
        <v>628</v>
      </c>
      <c r="I118" s="48">
        <v>17486.95</v>
      </c>
      <c r="J118" s="49">
        <v>1.01E-2</v>
      </c>
      <c r="K118" s="13"/>
      <c r="L118" s="13"/>
      <c r="M118" s="13"/>
      <c r="N118" s="13"/>
      <c r="O118" s="13"/>
      <c r="P118" s="13"/>
      <c r="Q118" s="13"/>
      <c r="R118" s="13"/>
      <c r="S118" s="13"/>
      <c r="T118" s="13"/>
      <c r="U118" s="13"/>
    </row>
    <row r="119" spans="1:21">
      <c r="A119" s="13"/>
      <c r="B119" s="46" t="s">
        <v>629</v>
      </c>
      <c r="C119" s="46">
        <v>284.89</v>
      </c>
      <c r="D119" s="49">
        <v>-2.2000000000000001E-3</v>
      </c>
      <c r="E119" s="13"/>
      <c r="F119" s="13"/>
      <c r="G119" s="13"/>
      <c r="H119" s="46" t="s">
        <v>629</v>
      </c>
      <c r="I119" s="48">
        <v>17311.8</v>
      </c>
      <c r="J119" s="49">
        <v>7.3000000000000001E-3</v>
      </c>
      <c r="K119" s="13"/>
      <c r="L119" s="13"/>
      <c r="M119" s="13"/>
      <c r="N119" s="13"/>
      <c r="O119" s="13"/>
      <c r="P119" s="13"/>
      <c r="Q119" s="13"/>
      <c r="R119" s="13"/>
      <c r="S119" s="13"/>
      <c r="T119" s="13"/>
      <c r="U119" s="13"/>
    </row>
    <row r="120" spans="1:21">
      <c r="A120" s="13"/>
      <c r="B120" s="46" t="s">
        <v>630</v>
      </c>
      <c r="C120" s="46">
        <v>285.51</v>
      </c>
      <c r="D120" s="49">
        <v>1.67E-2</v>
      </c>
      <c r="E120" s="13"/>
      <c r="F120" s="13"/>
      <c r="G120" s="13"/>
      <c r="H120" s="46" t="s">
        <v>630</v>
      </c>
      <c r="I120" s="48">
        <v>17185.7</v>
      </c>
      <c r="J120" s="49">
        <v>1.01E-2</v>
      </c>
      <c r="K120" s="13"/>
      <c r="L120" s="13"/>
      <c r="M120" s="13"/>
      <c r="N120" s="13"/>
      <c r="O120" s="13"/>
      <c r="P120" s="13"/>
      <c r="Q120" s="13"/>
      <c r="R120" s="13"/>
      <c r="S120" s="13"/>
      <c r="T120" s="13"/>
      <c r="U120" s="13"/>
    </row>
    <row r="121" spans="1:21">
      <c r="A121" s="13"/>
      <c r="B121" s="46" t="s">
        <v>631</v>
      </c>
      <c r="C121" s="46">
        <v>280.83</v>
      </c>
      <c r="D121" s="49">
        <v>-3.1399999999999997E-2</v>
      </c>
      <c r="E121" s="13"/>
      <c r="F121" s="13"/>
      <c r="G121" s="13"/>
      <c r="H121" s="46" t="s">
        <v>631</v>
      </c>
      <c r="I121" s="48">
        <v>17014.349999999999</v>
      </c>
      <c r="J121" s="49">
        <v>-6.4000000000000003E-3</v>
      </c>
      <c r="K121" s="13"/>
      <c r="L121" s="13"/>
      <c r="M121" s="13"/>
      <c r="N121" s="13"/>
      <c r="O121" s="13"/>
      <c r="P121" s="13"/>
      <c r="Q121" s="13"/>
      <c r="R121" s="13"/>
      <c r="S121" s="13"/>
      <c r="T121" s="13"/>
      <c r="U121" s="13"/>
    </row>
    <row r="122" spans="1:21">
      <c r="A122" s="13"/>
      <c r="B122" s="47">
        <v>44905</v>
      </c>
      <c r="C122" s="46">
        <v>289.94</v>
      </c>
      <c r="D122" s="49">
        <v>-2.06E-2</v>
      </c>
      <c r="E122" s="13"/>
      <c r="F122" s="13"/>
      <c r="G122" s="13"/>
      <c r="H122" s="47">
        <v>44905</v>
      </c>
      <c r="I122" s="48">
        <v>17123.599999999999</v>
      </c>
      <c r="J122" s="49">
        <v>8.2000000000000007E-3</v>
      </c>
      <c r="K122" s="13"/>
      <c r="L122" s="13"/>
      <c r="M122" s="13"/>
      <c r="N122" s="13"/>
      <c r="O122" s="13"/>
      <c r="P122" s="13"/>
      <c r="Q122" s="13"/>
      <c r="R122" s="13"/>
      <c r="S122" s="13"/>
      <c r="T122" s="13"/>
      <c r="U122" s="13"/>
    </row>
    <row r="123" spans="1:21">
      <c r="A123" s="13"/>
      <c r="B123" s="47">
        <v>44875</v>
      </c>
      <c r="C123" s="46">
        <v>296.04000000000002</v>
      </c>
      <c r="D123" s="49">
        <v>2.5899999999999999E-2</v>
      </c>
      <c r="E123" s="13"/>
      <c r="F123" s="13"/>
      <c r="G123" s="13"/>
      <c r="H123" s="47">
        <v>44875</v>
      </c>
      <c r="I123" s="48">
        <v>16983.55</v>
      </c>
      <c r="J123" s="49">
        <v>-1.49E-2</v>
      </c>
      <c r="K123" s="13"/>
      <c r="L123" s="13"/>
      <c r="M123" s="13"/>
      <c r="N123" s="13"/>
      <c r="O123" s="13"/>
      <c r="P123" s="13"/>
      <c r="Q123" s="13"/>
      <c r="R123" s="13"/>
      <c r="S123" s="13"/>
      <c r="T123" s="13"/>
      <c r="U123" s="13"/>
    </row>
    <row r="124" spans="1:21">
      <c r="A124" s="13"/>
      <c r="B124" s="47">
        <v>44844</v>
      </c>
      <c r="C124" s="46">
        <v>288.58</v>
      </c>
      <c r="D124" s="49">
        <v>-2.1600000000000001E-2</v>
      </c>
      <c r="E124" s="13"/>
      <c r="F124" s="13"/>
      <c r="G124" s="13"/>
      <c r="H124" s="47">
        <v>44844</v>
      </c>
      <c r="I124" s="48">
        <v>17241</v>
      </c>
      <c r="J124" s="49">
        <v>-4.3E-3</v>
      </c>
      <c r="K124" s="13"/>
      <c r="L124" s="13"/>
      <c r="M124" s="13"/>
      <c r="N124" s="13"/>
      <c r="O124" s="13"/>
      <c r="P124" s="13"/>
      <c r="Q124" s="13"/>
      <c r="R124" s="13"/>
      <c r="S124" s="13"/>
      <c r="T124" s="13"/>
      <c r="U124" s="13"/>
    </row>
    <row r="125" spans="1:21">
      <c r="A125" s="13"/>
      <c r="B125" s="47">
        <v>44752</v>
      </c>
      <c r="C125" s="46">
        <v>294.95999999999998</v>
      </c>
      <c r="D125" s="49">
        <v>-1.9099999999999999E-2</v>
      </c>
      <c r="E125" s="13"/>
      <c r="F125" s="13"/>
      <c r="G125" s="13"/>
      <c r="H125" s="47">
        <v>44752</v>
      </c>
      <c r="I125" s="48">
        <v>17314.650000000001</v>
      </c>
      <c r="J125" s="49">
        <v>-1E-3</v>
      </c>
      <c r="K125" s="13"/>
      <c r="L125" s="13"/>
      <c r="M125" s="13"/>
      <c r="N125" s="13"/>
      <c r="O125" s="13"/>
      <c r="P125" s="13"/>
      <c r="Q125" s="13"/>
      <c r="R125" s="13"/>
      <c r="S125" s="13"/>
      <c r="T125" s="13"/>
      <c r="U125" s="13"/>
    </row>
    <row r="126" spans="1:21">
      <c r="A126" s="13"/>
      <c r="B126" s="47">
        <v>44722</v>
      </c>
      <c r="C126" s="46">
        <v>300.69</v>
      </c>
      <c r="D126" s="49">
        <v>1.4200000000000001E-2</v>
      </c>
      <c r="E126" s="13"/>
      <c r="F126" s="13"/>
      <c r="G126" s="13"/>
      <c r="H126" s="47">
        <v>44722</v>
      </c>
      <c r="I126" s="48">
        <v>17331.8</v>
      </c>
      <c r="J126" s="49">
        <v>3.3E-3</v>
      </c>
      <c r="K126" s="13"/>
      <c r="L126" s="13"/>
      <c r="M126" s="13"/>
      <c r="N126" s="13"/>
      <c r="O126" s="13"/>
      <c r="P126" s="13"/>
      <c r="Q126" s="13"/>
      <c r="R126" s="13"/>
      <c r="S126" s="13"/>
      <c r="T126" s="13"/>
      <c r="U126" s="13"/>
    </row>
    <row r="127" spans="1:21">
      <c r="A127" s="13"/>
      <c r="B127" s="47">
        <v>44661</v>
      </c>
      <c r="C127" s="46">
        <v>296.49</v>
      </c>
      <c r="D127" s="49">
        <v>3.5999999999999999E-3</v>
      </c>
      <c r="E127" s="13"/>
      <c r="F127" s="13"/>
      <c r="G127" s="13"/>
      <c r="H127" s="47">
        <v>44661</v>
      </c>
      <c r="I127" s="48">
        <v>17274.3</v>
      </c>
      <c r="J127" s="49">
        <v>2.29E-2</v>
      </c>
      <c r="K127" s="13"/>
      <c r="L127" s="13"/>
      <c r="M127" s="13"/>
      <c r="N127" s="13"/>
      <c r="O127" s="13"/>
      <c r="P127" s="13"/>
      <c r="Q127" s="13"/>
      <c r="R127" s="13"/>
      <c r="S127" s="13"/>
      <c r="T127" s="13"/>
      <c r="U127" s="13"/>
    </row>
    <row r="128" spans="1:21">
      <c r="A128" s="13"/>
      <c r="B128" s="47">
        <v>44630</v>
      </c>
      <c r="C128" s="46">
        <v>295.43</v>
      </c>
      <c r="D128" s="49">
        <v>-1.2800000000000001E-2</v>
      </c>
      <c r="E128" s="13"/>
      <c r="F128" s="13"/>
      <c r="G128" s="13"/>
      <c r="H128" s="47">
        <v>44630</v>
      </c>
      <c r="I128" s="48">
        <v>16887.349999999999</v>
      </c>
      <c r="J128" s="49">
        <v>-1.21E-2</v>
      </c>
      <c r="K128" s="13"/>
      <c r="L128" s="13"/>
      <c r="M128" s="13"/>
      <c r="N128" s="13"/>
      <c r="O128" s="13"/>
      <c r="P128" s="13"/>
      <c r="Q128" s="13"/>
      <c r="R128" s="13"/>
      <c r="S128" s="13"/>
      <c r="T128" s="13"/>
      <c r="U128" s="13"/>
    </row>
    <row r="129" spans="1:21">
      <c r="A129" s="13"/>
      <c r="B129" s="46" t="s">
        <v>632</v>
      </c>
      <c r="C129" s="46">
        <v>299.25</v>
      </c>
      <c r="D129" s="49">
        <v>5.4699999999999999E-2</v>
      </c>
      <c r="E129" s="13"/>
      <c r="F129" s="13"/>
      <c r="G129" s="13"/>
      <c r="H129" s="46" t="s">
        <v>632</v>
      </c>
      <c r="I129" s="48">
        <v>17094.349999999999</v>
      </c>
      <c r="J129" s="49">
        <v>1.6400000000000001E-2</v>
      </c>
      <c r="K129" s="13"/>
      <c r="L129" s="13"/>
      <c r="M129" s="13"/>
      <c r="N129" s="13"/>
      <c r="O129" s="13"/>
      <c r="P129" s="13"/>
      <c r="Q129" s="13"/>
      <c r="R129" s="13"/>
      <c r="S129" s="13"/>
      <c r="T129" s="13"/>
      <c r="U129" s="13"/>
    </row>
    <row r="130" spans="1:21">
      <c r="A130" s="13"/>
      <c r="B130" s="46" t="s">
        <v>633</v>
      </c>
      <c r="C130" s="46">
        <v>283.74</v>
      </c>
      <c r="D130" s="49">
        <v>-1.1599999999999999E-2</v>
      </c>
      <c r="E130" s="13"/>
      <c r="F130" s="13"/>
      <c r="G130" s="13"/>
      <c r="H130" s="46" t="s">
        <v>633</v>
      </c>
      <c r="I130" s="48">
        <v>16818.099999999999</v>
      </c>
      <c r="J130" s="49">
        <v>-2.3999999999999998E-3</v>
      </c>
      <c r="K130" s="13"/>
      <c r="L130" s="13"/>
      <c r="M130" s="13"/>
      <c r="N130" s="13"/>
      <c r="O130" s="13"/>
      <c r="P130" s="13"/>
      <c r="Q130" s="13"/>
      <c r="R130" s="13"/>
      <c r="S130" s="13"/>
      <c r="T130" s="13"/>
      <c r="U130" s="13"/>
    </row>
    <row r="131" spans="1:21">
      <c r="A131" s="13"/>
      <c r="B131" s="46" t="s">
        <v>634</v>
      </c>
      <c r="C131" s="46">
        <v>287.07</v>
      </c>
      <c r="D131" s="49">
        <v>7.6E-3</v>
      </c>
      <c r="E131" s="13"/>
      <c r="F131" s="13"/>
      <c r="G131" s="13"/>
      <c r="H131" s="46" t="s">
        <v>634</v>
      </c>
      <c r="I131" s="48">
        <v>16858.599999999999</v>
      </c>
      <c r="J131" s="49">
        <v>-8.6999999999999994E-3</v>
      </c>
      <c r="K131" s="13"/>
      <c r="L131" s="13"/>
      <c r="M131" s="13"/>
      <c r="N131" s="13"/>
      <c r="O131" s="13"/>
      <c r="P131" s="13"/>
      <c r="Q131" s="13"/>
      <c r="R131" s="13"/>
      <c r="S131" s="13"/>
      <c r="T131" s="13"/>
      <c r="U131" s="13"/>
    </row>
    <row r="132" spans="1:21">
      <c r="A132" s="13"/>
      <c r="B132" s="46" t="s">
        <v>635</v>
      </c>
      <c r="C132" s="46">
        <v>284.89999999999998</v>
      </c>
      <c r="D132" s="49">
        <v>1.41E-2</v>
      </c>
      <c r="E132" s="13"/>
      <c r="F132" s="13"/>
      <c r="G132" s="13"/>
      <c r="H132" s="46" t="s">
        <v>635</v>
      </c>
      <c r="I132" s="48">
        <v>17007.400000000001</v>
      </c>
      <c r="J132" s="49">
        <v>-5.0000000000000001E-4</v>
      </c>
      <c r="K132" s="13"/>
      <c r="L132" s="13"/>
      <c r="M132" s="13"/>
      <c r="N132" s="13"/>
      <c r="O132" s="13"/>
      <c r="P132" s="13"/>
      <c r="Q132" s="13"/>
      <c r="R132" s="13"/>
      <c r="S132" s="13"/>
      <c r="T132" s="13"/>
      <c r="U132" s="13"/>
    </row>
    <row r="133" spans="1:21">
      <c r="A133" s="13"/>
      <c r="B133" s="46" t="s">
        <v>636</v>
      </c>
      <c r="C133" s="46">
        <v>280.94</v>
      </c>
      <c r="D133" s="49">
        <v>-3.1E-2</v>
      </c>
      <c r="E133" s="13"/>
      <c r="F133" s="13"/>
      <c r="G133" s="13"/>
      <c r="H133" s="46" t="s">
        <v>636</v>
      </c>
      <c r="I133" s="48">
        <v>17016.3</v>
      </c>
      <c r="J133" s="49">
        <v>-1.7999999999999999E-2</v>
      </c>
      <c r="K133" s="13"/>
      <c r="L133" s="13"/>
      <c r="M133" s="13"/>
      <c r="N133" s="13"/>
      <c r="O133" s="13"/>
      <c r="P133" s="13"/>
      <c r="Q133" s="13"/>
      <c r="R133" s="13"/>
      <c r="S133" s="13"/>
      <c r="T133" s="13"/>
      <c r="U133" s="13"/>
    </row>
    <row r="134" spans="1:21">
      <c r="A134" s="13"/>
      <c r="B134" s="46" t="s">
        <v>637</v>
      </c>
      <c r="C134" s="46">
        <v>289.92</v>
      </c>
      <c r="D134" s="49">
        <v>6.0000000000000001E-3</v>
      </c>
      <c r="E134" s="13"/>
      <c r="F134" s="13"/>
      <c r="G134" s="13"/>
      <c r="H134" s="46" t="s">
        <v>637</v>
      </c>
      <c r="I134" s="48">
        <v>17327.349999999999</v>
      </c>
      <c r="J134" s="49">
        <v>-1.72E-2</v>
      </c>
      <c r="K134" s="13"/>
      <c r="L134" s="13"/>
      <c r="M134" s="13"/>
      <c r="N134" s="13"/>
      <c r="O134" s="13"/>
      <c r="P134" s="13"/>
      <c r="Q134" s="13"/>
      <c r="R134" s="13"/>
      <c r="S134" s="13"/>
      <c r="T134" s="13"/>
      <c r="U134" s="13"/>
    </row>
    <row r="135" spans="1:21">
      <c r="A135" s="13"/>
      <c r="B135" s="46" t="s">
        <v>638</v>
      </c>
      <c r="C135" s="46">
        <v>288.18</v>
      </c>
      <c r="D135" s="49">
        <v>-2.2100000000000002E-2</v>
      </c>
      <c r="E135" s="13"/>
      <c r="F135" s="13"/>
      <c r="G135" s="13"/>
      <c r="H135" s="46" t="s">
        <v>638</v>
      </c>
      <c r="I135" s="48">
        <v>17629.8</v>
      </c>
      <c r="J135" s="49">
        <v>-5.0000000000000001E-3</v>
      </c>
      <c r="K135" s="13"/>
      <c r="L135" s="13"/>
      <c r="M135" s="13"/>
      <c r="N135" s="13"/>
      <c r="O135" s="13"/>
      <c r="P135" s="13"/>
      <c r="Q135" s="13"/>
      <c r="R135" s="13"/>
      <c r="S135" s="13"/>
      <c r="T135" s="13"/>
      <c r="U135" s="13"/>
    </row>
    <row r="136" spans="1:21">
      <c r="A136" s="13"/>
      <c r="B136" s="46" t="s">
        <v>639</v>
      </c>
      <c r="C136" s="46">
        <v>294.7</v>
      </c>
      <c r="D136" s="49">
        <v>6.7999999999999996E-3</v>
      </c>
      <c r="E136" s="13"/>
      <c r="F136" s="13"/>
      <c r="G136" s="13"/>
      <c r="H136" s="46" t="s">
        <v>639</v>
      </c>
      <c r="I136" s="48">
        <v>17718.349999999999</v>
      </c>
      <c r="J136" s="49">
        <v>-5.4999999999999997E-3</v>
      </c>
      <c r="K136" s="13"/>
      <c r="L136" s="13"/>
      <c r="M136" s="13"/>
      <c r="N136" s="13"/>
      <c r="O136" s="13"/>
      <c r="P136" s="13"/>
      <c r="Q136" s="13"/>
      <c r="R136" s="13"/>
      <c r="S136" s="13"/>
      <c r="T136" s="13"/>
      <c r="U136" s="13"/>
    </row>
    <row r="137" spans="1:21">
      <c r="A137" s="13"/>
      <c r="B137" s="46" t="s">
        <v>640</v>
      </c>
      <c r="C137" s="46">
        <v>292.70999999999998</v>
      </c>
      <c r="D137" s="49">
        <v>2.9999999999999997E-4</v>
      </c>
      <c r="E137" s="13"/>
      <c r="F137" s="13"/>
      <c r="G137" s="13"/>
      <c r="H137" s="46" t="s">
        <v>640</v>
      </c>
      <c r="I137" s="48">
        <v>17816.25</v>
      </c>
      <c r="J137" s="49">
        <v>1.0999999999999999E-2</v>
      </c>
      <c r="K137" s="13"/>
      <c r="L137" s="13"/>
      <c r="M137" s="13"/>
      <c r="N137" s="13"/>
      <c r="O137" s="13"/>
      <c r="P137" s="13"/>
      <c r="Q137" s="13"/>
      <c r="R137" s="13"/>
      <c r="S137" s="13"/>
      <c r="T137" s="13"/>
      <c r="U137" s="13"/>
    </row>
    <row r="138" spans="1:21">
      <c r="A138" s="13"/>
      <c r="B138" s="46" t="s">
        <v>641</v>
      </c>
      <c r="C138" s="46">
        <v>292.61</v>
      </c>
      <c r="D138" s="49">
        <v>5.7000000000000002E-3</v>
      </c>
      <c r="E138" s="13"/>
      <c r="F138" s="13"/>
      <c r="G138" s="13"/>
      <c r="H138" s="46" t="s">
        <v>641</v>
      </c>
      <c r="I138" s="48">
        <v>17622.25</v>
      </c>
      <c r="J138" s="49">
        <v>5.1999999999999998E-3</v>
      </c>
      <c r="K138" s="13"/>
      <c r="L138" s="13"/>
      <c r="M138" s="13"/>
      <c r="N138" s="13"/>
      <c r="O138" s="13"/>
      <c r="P138" s="13"/>
      <c r="Q138" s="13"/>
      <c r="R138" s="13"/>
      <c r="S138" s="13"/>
      <c r="T138" s="13"/>
      <c r="U138" s="13"/>
    </row>
    <row r="139" spans="1:21">
      <c r="A139" s="13"/>
      <c r="B139" s="46" t="s">
        <v>642</v>
      </c>
      <c r="C139" s="46">
        <v>290.95999999999998</v>
      </c>
      <c r="D139" s="49">
        <v>9.2999999999999992E-3</v>
      </c>
      <c r="E139" s="13"/>
      <c r="F139" s="13"/>
      <c r="G139" s="13"/>
      <c r="H139" s="46" t="s">
        <v>642</v>
      </c>
      <c r="I139" s="48">
        <v>17530.849999999999</v>
      </c>
      <c r="J139" s="49">
        <v>-1.9400000000000001E-2</v>
      </c>
      <c r="K139" s="13"/>
      <c r="L139" s="13"/>
      <c r="M139" s="13"/>
      <c r="N139" s="13"/>
      <c r="O139" s="13"/>
      <c r="P139" s="13"/>
      <c r="Q139" s="13"/>
      <c r="R139" s="13"/>
      <c r="S139" s="13"/>
      <c r="T139" s="13"/>
      <c r="U139" s="13"/>
    </row>
    <row r="140" spans="1:21">
      <c r="A140" s="13"/>
      <c r="B140" s="46" t="s">
        <v>643</v>
      </c>
      <c r="C140" s="46">
        <v>288.29000000000002</v>
      </c>
      <c r="D140" s="49">
        <v>4.1999999999999997E-3</v>
      </c>
      <c r="E140" s="13"/>
      <c r="F140" s="13"/>
      <c r="G140" s="13"/>
      <c r="H140" s="46" t="s">
        <v>643</v>
      </c>
      <c r="I140" s="48">
        <v>17877.400000000001</v>
      </c>
      <c r="J140" s="49">
        <v>-7.0000000000000001E-3</v>
      </c>
      <c r="K140" s="13"/>
      <c r="L140" s="13"/>
      <c r="M140" s="13"/>
      <c r="N140" s="13"/>
      <c r="O140" s="13"/>
      <c r="P140" s="13"/>
      <c r="Q140" s="13"/>
      <c r="R140" s="13"/>
      <c r="S140" s="13"/>
      <c r="T140" s="13"/>
      <c r="U140" s="13"/>
    </row>
    <row r="141" spans="1:21">
      <c r="A141" s="13"/>
      <c r="B141" s="46" t="s">
        <v>644</v>
      </c>
      <c r="C141" s="46">
        <v>287.08999999999997</v>
      </c>
      <c r="D141" s="49">
        <v>2.0400000000000001E-2</v>
      </c>
      <c r="E141" s="13"/>
      <c r="F141" s="13"/>
      <c r="G141" s="13"/>
      <c r="H141" s="46" t="s">
        <v>644</v>
      </c>
      <c r="I141" s="48">
        <v>18003.75</v>
      </c>
      <c r="J141" s="49">
        <v>-3.7000000000000002E-3</v>
      </c>
      <c r="K141" s="13"/>
      <c r="L141" s="13"/>
      <c r="M141" s="13"/>
      <c r="N141" s="13"/>
      <c r="O141" s="13"/>
      <c r="P141" s="13"/>
      <c r="Q141" s="13"/>
      <c r="R141" s="13"/>
      <c r="S141" s="13"/>
      <c r="T141" s="13"/>
      <c r="U141" s="13"/>
    </row>
    <row r="142" spans="1:21">
      <c r="A142" s="13"/>
      <c r="B142" s="46" t="s">
        <v>645</v>
      </c>
      <c r="C142" s="46">
        <v>281.35000000000002</v>
      </c>
      <c r="D142" s="49">
        <v>-1.6899999999999998E-2</v>
      </c>
      <c r="E142" s="13"/>
      <c r="F142" s="13"/>
      <c r="G142" s="13"/>
      <c r="H142" s="46" t="s">
        <v>645</v>
      </c>
      <c r="I142" s="48">
        <v>18070.05</v>
      </c>
      <c r="J142" s="49">
        <v>7.4999999999999997E-3</v>
      </c>
      <c r="K142" s="13"/>
      <c r="L142" s="13"/>
      <c r="M142" s="13"/>
      <c r="N142" s="13"/>
      <c r="O142" s="13"/>
      <c r="P142" s="13"/>
      <c r="Q142" s="13"/>
      <c r="R142" s="13"/>
      <c r="S142" s="13"/>
      <c r="T142" s="13"/>
      <c r="U142" s="13"/>
    </row>
    <row r="143" spans="1:21">
      <c r="A143" s="13"/>
      <c r="B143" s="47">
        <v>44904</v>
      </c>
      <c r="C143" s="46">
        <v>286.18</v>
      </c>
      <c r="D143" s="49">
        <v>1.29E-2</v>
      </c>
      <c r="E143" s="13"/>
      <c r="F143" s="13"/>
      <c r="G143" s="13"/>
      <c r="H143" s="47">
        <v>44904</v>
      </c>
      <c r="I143" s="48">
        <v>17936.349999999999</v>
      </c>
      <c r="J143" s="49">
        <v>5.7999999999999996E-3</v>
      </c>
      <c r="K143" s="13"/>
      <c r="L143" s="13"/>
      <c r="M143" s="13"/>
      <c r="N143" s="13"/>
      <c r="O143" s="13"/>
      <c r="P143" s="13"/>
      <c r="Q143" s="13"/>
      <c r="R143" s="13"/>
      <c r="S143" s="13"/>
      <c r="T143" s="13"/>
      <c r="U143" s="13"/>
    </row>
    <row r="144" spans="1:21">
      <c r="A144" s="13"/>
      <c r="B144" s="47">
        <v>44813</v>
      </c>
      <c r="C144" s="46">
        <v>282.52999999999997</v>
      </c>
      <c r="D144" s="49">
        <v>-1.34E-2</v>
      </c>
      <c r="E144" s="13"/>
      <c r="F144" s="13"/>
      <c r="G144" s="13"/>
      <c r="H144" s="47">
        <v>44813</v>
      </c>
      <c r="I144" s="48">
        <v>17833.349999999999</v>
      </c>
      <c r="J144" s="49">
        <v>1.9E-3</v>
      </c>
      <c r="K144" s="13"/>
      <c r="L144" s="13"/>
      <c r="M144" s="13"/>
      <c r="N144" s="13"/>
      <c r="O144" s="13"/>
      <c r="P144" s="13"/>
      <c r="Q144" s="13"/>
      <c r="R144" s="13"/>
      <c r="S144" s="13"/>
      <c r="T144" s="13"/>
      <c r="U144" s="13"/>
    </row>
    <row r="145" spans="1:21">
      <c r="A145" s="13"/>
      <c r="B145" s="47">
        <v>44782</v>
      </c>
      <c r="C145" s="46">
        <v>286.38</v>
      </c>
      <c r="D145" s="49">
        <v>-2.53E-2</v>
      </c>
      <c r="E145" s="13"/>
      <c r="F145" s="13"/>
      <c r="G145" s="13"/>
      <c r="H145" s="47">
        <v>44782</v>
      </c>
      <c r="I145" s="48">
        <v>17798.75</v>
      </c>
      <c r="J145" s="49">
        <v>9.9000000000000008E-3</v>
      </c>
      <c r="K145" s="13"/>
      <c r="L145" s="13"/>
      <c r="M145" s="13"/>
      <c r="N145" s="13"/>
      <c r="O145" s="13"/>
      <c r="P145" s="13"/>
      <c r="Q145" s="13"/>
      <c r="R145" s="13"/>
      <c r="S145" s="13"/>
      <c r="T145" s="13"/>
      <c r="U145" s="13"/>
    </row>
    <row r="146" spans="1:21">
      <c r="A146" s="13"/>
      <c r="B146" s="47">
        <v>44751</v>
      </c>
      <c r="C146" s="46">
        <v>293.8</v>
      </c>
      <c r="D146" s="49">
        <v>5.9799999999999999E-2</v>
      </c>
      <c r="E146" s="13"/>
      <c r="F146" s="13"/>
      <c r="G146" s="13"/>
      <c r="H146" s="47">
        <v>44751</v>
      </c>
      <c r="I146" s="48">
        <v>17624.400000000001</v>
      </c>
      <c r="J146" s="49">
        <v>-1.8E-3</v>
      </c>
      <c r="K146" s="13"/>
      <c r="L146" s="13"/>
      <c r="M146" s="13"/>
      <c r="N146" s="13"/>
      <c r="O146" s="13"/>
      <c r="P146" s="13"/>
      <c r="Q146" s="13"/>
      <c r="R146" s="13"/>
      <c r="S146" s="13"/>
      <c r="T146" s="13"/>
      <c r="U146" s="13"/>
    </row>
    <row r="147" spans="1:21">
      <c r="A147" s="13"/>
      <c r="B147" s="47">
        <v>44721</v>
      </c>
      <c r="C147" s="46">
        <v>277.20999999999998</v>
      </c>
      <c r="D147" s="49">
        <v>2.01E-2</v>
      </c>
      <c r="E147" s="13"/>
      <c r="F147" s="13"/>
      <c r="G147" s="13"/>
      <c r="H147" s="47">
        <v>44721</v>
      </c>
      <c r="I147" s="48">
        <v>17655.599999999999</v>
      </c>
      <c r="J147" s="49">
        <v>-5.9999999999999995E-4</v>
      </c>
      <c r="K147" s="13"/>
      <c r="L147" s="13"/>
      <c r="M147" s="13"/>
      <c r="N147" s="13"/>
      <c r="O147" s="13"/>
      <c r="P147" s="13"/>
      <c r="Q147" s="13"/>
      <c r="R147" s="13"/>
      <c r="S147" s="13"/>
      <c r="T147" s="13"/>
      <c r="U147" s="13"/>
    </row>
    <row r="148" spans="1:21">
      <c r="A148" s="13"/>
      <c r="B148" s="47">
        <v>44690</v>
      </c>
      <c r="C148" s="46">
        <v>271.74</v>
      </c>
      <c r="D148" s="49">
        <v>3.2000000000000002E-3</v>
      </c>
      <c r="E148" s="13"/>
      <c r="F148" s="13"/>
      <c r="G148" s="13"/>
      <c r="H148" s="47">
        <v>44690</v>
      </c>
      <c r="I148" s="48">
        <v>17665.8</v>
      </c>
      <c r="J148" s="49">
        <v>7.1999999999999998E-3</v>
      </c>
      <c r="K148" s="13"/>
      <c r="L148" s="13"/>
      <c r="M148" s="13"/>
      <c r="N148" s="13"/>
      <c r="O148" s="13"/>
      <c r="P148" s="13"/>
      <c r="Q148" s="13"/>
      <c r="R148" s="13"/>
      <c r="S148" s="13"/>
      <c r="T148" s="13"/>
      <c r="U148" s="13"/>
    </row>
    <row r="149" spans="1:21">
      <c r="A149" s="13"/>
      <c r="B149" s="47">
        <v>44601</v>
      </c>
      <c r="C149" s="46">
        <v>270.87</v>
      </c>
      <c r="D149" s="49">
        <v>-2.92E-2</v>
      </c>
      <c r="E149" s="13"/>
      <c r="F149" s="13"/>
      <c r="G149" s="13"/>
      <c r="H149" s="47">
        <v>44601</v>
      </c>
      <c r="I149" s="48">
        <v>17539.45</v>
      </c>
      <c r="J149" s="49">
        <v>-2.0000000000000001E-4</v>
      </c>
      <c r="K149" s="13"/>
      <c r="L149" s="13"/>
      <c r="M149" s="13"/>
      <c r="N149" s="13"/>
      <c r="O149" s="13"/>
      <c r="P149" s="13"/>
      <c r="Q149" s="13"/>
      <c r="R149" s="13"/>
      <c r="S149" s="13"/>
      <c r="T149" s="13"/>
      <c r="U149" s="13"/>
    </row>
    <row r="150" spans="1:21">
      <c r="A150" s="13"/>
      <c r="B150" s="47">
        <v>44570</v>
      </c>
      <c r="C150" s="46">
        <v>279.02</v>
      </c>
      <c r="D150" s="49">
        <v>3.49E-2</v>
      </c>
      <c r="E150" s="13"/>
      <c r="F150" s="13"/>
      <c r="G150" s="13"/>
      <c r="H150" s="47">
        <v>44570</v>
      </c>
      <c r="I150" s="48">
        <v>17542.8</v>
      </c>
      <c r="J150" s="49">
        <v>-1.2200000000000001E-2</v>
      </c>
      <c r="K150" s="13"/>
      <c r="L150" s="13"/>
      <c r="M150" s="13"/>
      <c r="N150" s="13"/>
      <c r="O150" s="13"/>
      <c r="P150" s="13"/>
      <c r="Q150" s="13"/>
      <c r="R150" s="13"/>
      <c r="S150" s="13"/>
      <c r="T150" s="13"/>
      <c r="U150" s="13"/>
    </row>
    <row r="151" spans="1:21">
      <c r="A151" s="13"/>
      <c r="B151" s="46" t="s">
        <v>646</v>
      </c>
      <c r="C151" s="46">
        <v>269.61</v>
      </c>
      <c r="D151" s="49">
        <v>4.41E-2</v>
      </c>
      <c r="E151" s="13"/>
      <c r="F151" s="13"/>
      <c r="G151" s="13"/>
      <c r="H151" s="46" t="s">
        <v>646</v>
      </c>
      <c r="I151" s="48">
        <v>17759.3</v>
      </c>
      <c r="J151" s="49">
        <v>2.58E-2</v>
      </c>
      <c r="K151" s="13"/>
      <c r="L151" s="13"/>
      <c r="M151" s="13"/>
      <c r="N151" s="13"/>
      <c r="O151" s="13"/>
      <c r="P151" s="13"/>
      <c r="Q151" s="13"/>
      <c r="R151" s="13"/>
      <c r="S151" s="13"/>
      <c r="T151" s="13"/>
      <c r="U151" s="13"/>
    </row>
    <row r="152" spans="1:21">
      <c r="A152" s="13"/>
      <c r="B152" s="46" t="s">
        <v>647</v>
      </c>
      <c r="C152" s="46">
        <v>258.22000000000003</v>
      </c>
      <c r="D152" s="49">
        <v>2.69E-2</v>
      </c>
      <c r="E152" s="13"/>
      <c r="F152" s="13"/>
      <c r="G152" s="13"/>
      <c r="H152" s="46" t="s">
        <v>647</v>
      </c>
      <c r="I152" s="48">
        <v>17312.900000000001</v>
      </c>
      <c r="J152" s="49">
        <v>-1.4E-2</v>
      </c>
      <c r="K152" s="13"/>
      <c r="L152" s="13"/>
      <c r="M152" s="13"/>
      <c r="N152" s="13"/>
      <c r="O152" s="13"/>
      <c r="P152" s="13"/>
      <c r="Q152" s="13"/>
      <c r="R152" s="13"/>
      <c r="S152" s="13"/>
      <c r="T152" s="13"/>
      <c r="U152" s="13"/>
    </row>
    <row r="153" spans="1:21">
      <c r="A153" s="13"/>
      <c r="B153" s="46" t="s">
        <v>648</v>
      </c>
      <c r="C153" s="46">
        <v>251.45</v>
      </c>
      <c r="D153" s="49">
        <v>2.7E-2</v>
      </c>
      <c r="E153" s="13"/>
      <c r="F153" s="13"/>
      <c r="G153" s="13"/>
      <c r="H153" s="46" t="s">
        <v>648</v>
      </c>
      <c r="I153" s="48">
        <v>17558.900000000001</v>
      </c>
      <c r="J153" s="49">
        <v>2.0999999999999999E-3</v>
      </c>
      <c r="K153" s="13"/>
      <c r="L153" s="13"/>
      <c r="M153" s="13"/>
      <c r="N153" s="13"/>
      <c r="O153" s="13"/>
      <c r="P153" s="13"/>
      <c r="Q153" s="13"/>
      <c r="R153" s="13"/>
      <c r="S153" s="13"/>
      <c r="T153" s="13"/>
      <c r="U153" s="13"/>
    </row>
    <row r="154" spans="1:21">
      <c r="A154" s="13"/>
      <c r="B154" s="46" t="s">
        <v>649</v>
      </c>
      <c r="C154" s="46">
        <v>244.84</v>
      </c>
      <c r="D154" s="49">
        <v>6.0000000000000001E-3</v>
      </c>
      <c r="E154" s="13"/>
      <c r="F154" s="13"/>
      <c r="G154" s="13"/>
      <c r="H154" s="46" t="s">
        <v>649</v>
      </c>
      <c r="I154" s="48">
        <v>17522.45</v>
      </c>
      <c r="J154" s="49">
        <v>-4.7000000000000002E-3</v>
      </c>
      <c r="K154" s="13"/>
      <c r="L154" s="13"/>
      <c r="M154" s="13"/>
      <c r="N154" s="13"/>
      <c r="O154" s="13"/>
      <c r="P154" s="13"/>
      <c r="Q154" s="13"/>
      <c r="R154" s="13"/>
      <c r="S154" s="13"/>
      <c r="T154" s="13"/>
      <c r="U154" s="13"/>
    </row>
    <row r="155" spans="1:21">
      <c r="A155" s="13"/>
      <c r="B155" s="46" t="s">
        <v>650</v>
      </c>
      <c r="C155" s="46">
        <v>243.39</v>
      </c>
      <c r="D155" s="49">
        <v>-1.5800000000000002E-2</v>
      </c>
      <c r="E155" s="13"/>
      <c r="F155" s="13"/>
      <c r="G155" s="13"/>
      <c r="H155" s="46" t="s">
        <v>650</v>
      </c>
      <c r="I155" s="48">
        <v>17604.95</v>
      </c>
      <c r="J155" s="49">
        <v>1.6000000000000001E-3</v>
      </c>
      <c r="K155" s="13"/>
      <c r="L155" s="13"/>
      <c r="M155" s="13"/>
      <c r="N155" s="13"/>
      <c r="O155" s="13"/>
      <c r="P155" s="13"/>
      <c r="Q155" s="13"/>
      <c r="R155" s="13"/>
      <c r="S155" s="13"/>
      <c r="T155" s="13"/>
      <c r="U155" s="13"/>
    </row>
    <row r="156" spans="1:21">
      <c r="A156" s="13"/>
      <c r="B156" s="46" t="s">
        <v>651</v>
      </c>
      <c r="C156" s="46">
        <v>247.29</v>
      </c>
      <c r="D156" s="49">
        <v>-6.4999999999999997E-3</v>
      </c>
      <c r="E156" s="13"/>
      <c r="F156" s="13"/>
      <c r="G156" s="13"/>
      <c r="H156" s="46" t="s">
        <v>651</v>
      </c>
      <c r="I156" s="48">
        <v>17577.5</v>
      </c>
      <c r="J156" s="49">
        <v>5.0000000000000001E-3</v>
      </c>
      <c r="K156" s="13"/>
      <c r="L156" s="13"/>
      <c r="M156" s="13"/>
      <c r="N156" s="13"/>
      <c r="O156" s="13"/>
      <c r="P156" s="13"/>
      <c r="Q156" s="13"/>
      <c r="R156" s="13"/>
      <c r="S156" s="13"/>
      <c r="T156" s="13"/>
      <c r="U156" s="13"/>
    </row>
    <row r="157" spans="1:21">
      <c r="A157" s="13"/>
      <c r="B157" s="46" t="s">
        <v>652</v>
      </c>
      <c r="C157" s="46">
        <v>248.9</v>
      </c>
      <c r="D157" s="49">
        <v>-2.58E-2</v>
      </c>
      <c r="E157" s="13"/>
      <c r="F157" s="13"/>
      <c r="G157" s="13"/>
      <c r="H157" s="46" t="s">
        <v>652</v>
      </c>
      <c r="I157" s="48">
        <v>17490.7</v>
      </c>
      <c r="J157" s="49">
        <v>-1.5100000000000001E-2</v>
      </c>
      <c r="K157" s="13"/>
      <c r="L157" s="13"/>
      <c r="M157" s="13"/>
      <c r="N157" s="13"/>
      <c r="O157" s="13"/>
      <c r="P157" s="13"/>
      <c r="Q157" s="13"/>
      <c r="R157" s="13"/>
      <c r="S157" s="13"/>
      <c r="T157" s="13"/>
      <c r="U157" s="13"/>
    </row>
    <row r="158" spans="1:21">
      <c r="A158" s="13"/>
      <c r="B158" s="46" t="s">
        <v>653</v>
      </c>
      <c r="C158" s="46">
        <v>255.48</v>
      </c>
      <c r="D158" s="49">
        <v>-2.2599999999999999E-2</v>
      </c>
      <c r="E158" s="13"/>
      <c r="F158" s="13"/>
      <c r="G158" s="13"/>
      <c r="H158" s="46" t="s">
        <v>653</v>
      </c>
      <c r="I158" s="48">
        <v>17758.45</v>
      </c>
      <c r="J158" s="49">
        <v>-1.0999999999999999E-2</v>
      </c>
      <c r="K158" s="13"/>
      <c r="L158" s="13"/>
      <c r="M158" s="13"/>
      <c r="N158" s="13"/>
      <c r="O158" s="13"/>
      <c r="P158" s="13"/>
      <c r="Q158" s="13"/>
      <c r="R158" s="13"/>
      <c r="S158" s="13"/>
      <c r="T158" s="13"/>
      <c r="U158" s="13"/>
    </row>
    <row r="159" spans="1:21">
      <c r="A159" s="13"/>
      <c r="B159" s="46" t="s">
        <v>654</v>
      </c>
      <c r="C159" s="46">
        <v>261.38</v>
      </c>
      <c r="D159" s="49">
        <v>1.4999999999999999E-2</v>
      </c>
      <c r="E159" s="13"/>
      <c r="F159" s="13"/>
      <c r="G159" s="13"/>
      <c r="H159" s="46" t="s">
        <v>654</v>
      </c>
      <c r="I159" s="48">
        <v>17956.5</v>
      </c>
      <c r="J159" s="49">
        <v>6.9999999999999999E-4</v>
      </c>
      <c r="K159" s="13"/>
      <c r="L159" s="13"/>
      <c r="M159" s="13"/>
      <c r="N159" s="13"/>
      <c r="O159" s="13"/>
      <c r="P159" s="13"/>
      <c r="Q159" s="13"/>
      <c r="R159" s="13"/>
      <c r="S159" s="13"/>
      <c r="T159" s="13"/>
      <c r="U159" s="13"/>
    </row>
    <row r="160" spans="1:21">
      <c r="A160" s="13"/>
      <c r="B160" s="46" t="s">
        <v>655</v>
      </c>
      <c r="C160" s="46">
        <v>257.51</v>
      </c>
      <c r="D160" s="49">
        <v>-1E-3</v>
      </c>
      <c r="E160" s="13"/>
      <c r="F160" s="13"/>
      <c r="G160" s="13"/>
      <c r="H160" s="46" t="s">
        <v>655</v>
      </c>
      <c r="I160" s="48">
        <v>17944.25</v>
      </c>
      <c r="J160" s="49">
        <v>6.7000000000000002E-3</v>
      </c>
      <c r="K160" s="13"/>
      <c r="L160" s="13"/>
      <c r="M160" s="13"/>
      <c r="N160" s="13"/>
      <c r="O160" s="13"/>
      <c r="P160" s="13"/>
      <c r="Q160" s="13"/>
      <c r="R160" s="13"/>
      <c r="S160" s="13"/>
      <c r="T160" s="13"/>
      <c r="U160" s="13"/>
    </row>
    <row r="161" spans="1:21">
      <c r="A161" s="13"/>
      <c r="B161" s="46" t="s">
        <v>656</v>
      </c>
      <c r="C161" s="46">
        <v>257.76</v>
      </c>
      <c r="D161" s="49">
        <v>-2.52E-2</v>
      </c>
      <c r="E161" s="13"/>
      <c r="F161" s="13"/>
      <c r="G161" s="13"/>
      <c r="H161" s="46" t="s">
        <v>656</v>
      </c>
      <c r="I161" s="48">
        <v>17825.25</v>
      </c>
      <c r="J161" s="49">
        <v>7.1999999999999998E-3</v>
      </c>
      <c r="K161" s="13"/>
      <c r="L161" s="13"/>
      <c r="M161" s="13"/>
      <c r="N161" s="13"/>
      <c r="O161" s="13"/>
      <c r="P161" s="13"/>
      <c r="Q161" s="13"/>
      <c r="R161" s="13"/>
      <c r="S161" s="13"/>
      <c r="T161" s="13"/>
      <c r="U161" s="13"/>
    </row>
    <row r="162" spans="1:21">
      <c r="A162" s="13"/>
      <c r="B162" s="47">
        <v>44903</v>
      </c>
      <c r="C162" s="46">
        <v>264.41000000000003</v>
      </c>
      <c r="D162" s="49">
        <v>4.5600000000000002E-2</v>
      </c>
      <c r="E162" s="13"/>
      <c r="F162" s="13"/>
      <c r="G162" s="13"/>
      <c r="H162" s="47">
        <v>44903</v>
      </c>
      <c r="I162" s="48">
        <v>17698.150000000001</v>
      </c>
      <c r="J162" s="49">
        <v>2.2000000000000001E-3</v>
      </c>
      <c r="K162" s="13"/>
      <c r="L162" s="13"/>
      <c r="M162" s="13"/>
      <c r="N162" s="13"/>
      <c r="O162" s="13"/>
      <c r="P162" s="13"/>
      <c r="Q162" s="13"/>
      <c r="R162" s="13"/>
      <c r="S162" s="13"/>
      <c r="T162" s="13"/>
      <c r="U162" s="13"/>
    </row>
    <row r="163" spans="1:21">
      <c r="A163" s="13"/>
      <c r="B163" s="47">
        <v>44873</v>
      </c>
      <c r="C163" s="46">
        <v>252.87</v>
      </c>
      <c r="D163" s="49">
        <v>4.7000000000000002E-3</v>
      </c>
      <c r="E163" s="13"/>
      <c r="F163" s="13"/>
      <c r="G163" s="13"/>
      <c r="H163" s="47">
        <v>44873</v>
      </c>
      <c r="I163" s="48">
        <v>17659</v>
      </c>
      <c r="J163" s="49">
        <v>7.1000000000000004E-3</v>
      </c>
      <c r="K163" s="13"/>
      <c r="L163" s="13"/>
      <c r="M163" s="13"/>
      <c r="N163" s="13"/>
      <c r="O163" s="13"/>
      <c r="P163" s="13"/>
      <c r="Q163" s="13"/>
      <c r="R163" s="13"/>
      <c r="S163" s="13"/>
      <c r="T163" s="13"/>
      <c r="U163" s="13"/>
    </row>
    <row r="164" spans="1:21">
      <c r="A164" s="13"/>
      <c r="B164" s="47">
        <v>44842</v>
      </c>
      <c r="C164" s="46">
        <v>251.68</v>
      </c>
      <c r="D164" s="49">
        <v>-1.44E-2</v>
      </c>
      <c r="E164" s="13"/>
      <c r="F164" s="13"/>
      <c r="G164" s="13"/>
      <c r="H164" s="47">
        <v>44842</v>
      </c>
      <c r="I164" s="48">
        <v>17534.75</v>
      </c>
      <c r="J164" s="49">
        <v>5.9999999999999995E-4</v>
      </c>
      <c r="K164" s="13"/>
      <c r="L164" s="13"/>
      <c r="M164" s="13"/>
      <c r="N164" s="13"/>
      <c r="O164" s="13"/>
      <c r="P164" s="13"/>
      <c r="Q164" s="13"/>
      <c r="R164" s="13"/>
      <c r="S164" s="13"/>
      <c r="T164" s="13"/>
      <c r="U164" s="13"/>
    </row>
    <row r="165" spans="1:21">
      <c r="A165" s="13"/>
      <c r="B165" s="47">
        <v>44781</v>
      </c>
      <c r="C165" s="46">
        <v>255.35</v>
      </c>
      <c r="D165" s="49">
        <v>-6.1000000000000004E-3</v>
      </c>
      <c r="E165" s="13"/>
      <c r="F165" s="13"/>
      <c r="G165" s="13"/>
      <c r="H165" s="47">
        <v>44781</v>
      </c>
      <c r="I165" s="48">
        <v>17525.099999999999</v>
      </c>
      <c r="J165" s="49">
        <v>7.3000000000000001E-3</v>
      </c>
      <c r="K165" s="13"/>
      <c r="L165" s="13"/>
      <c r="M165" s="13"/>
      <c r="N165" s="13"/>
      <c r="O165" s="13"/>
      <c r="P165" s="13"/>
      <c r="Q165" s="13"/>
      <c r="R165" s="13"/>
      <c r="S165" s="13"/>
      <c r="T165" s="13"/>
      <c r="U165" s="13"/>
    </row>
    <row r="166" spans="1:21">
      <c r="A166" s="13"/>
      <c r="B166" s="47">
        <v>44689</v>
      </c>
      <c r="C166" s="46">
        <v>256.91000000000003</v>
      </c>
      <c r="D166" s="49">
        <v>5.8999999999999997E-2</v>
      </c>
      <c r="E166" s="13"/>
      <c r="F166" s="13"/>
      <c r="G166" s="13"/>
      <c r="H166" s="47">
        <v>44689</v>
      </c>
      <c r="I166" s="48">
        <v>17397.5</v>
      </c>
      <c r="J166" s="49">
        <v>8.9999999999999998E-4</v>
      </c>
      <c r="K166" s="13"/>
      <c r="L166" s="13"/>
      <c r="M166" s="13"/>
      <c r="N166" s="13"/>
      <c r="O166" s="13"/>
      <c r="P166" s="13"/>
      <c r="Q166" s="13"/>
      <c r="R166" s="13"/>
      <c r="S166" s="13"/>
      <c r="T166" s="13"/>
      <c r="U166" s="13"/>
    </row>
    <row r="167" spans="1:21">
      <c r="A167" s="13"/>
      <c r="B167" s="47">
        <v>44659</v>
      </c>
      <c r="C167" s="46">
        <v>242.6</v>
      </c>
      <c r="D167" s="49">
        <v>-2.6200000000000001E-2</v>
      </c>
      <c r="E167" s="13"/>
      <c r="F167" s="13"/>
      <c r="G167" s="13"/>
      <c r="H167" s="47">
        <v>44659</v>
      </c>
      <c r="I167" s="48">
        <v>17382</v>
      </c>
      <c r="J167" s="49">
        <v>-4.0000000000000002E-4</v>
      </c>
      <c r="K167" s="13"/>
      <c r="L167" s="13"/>
      <c r="M167" s="13"/>
      <c r="N167" s="13"/>
      <c r="O167" s="13"/>
      <c r="P167" s="13"/>
      <c r="Q167" s="13"/>
      <c r="R167" s="13"/>
      <c r="S167" s="13"/>
      <c r="T167" s="13"/>
      <c r="U167" s="13"/>
    </row>
    <row r="168" spans="1:21">
      <c r="A168" s="13"/>
      <c r="B168" s="47">
        <v>44628</v>
      </c>
      <c r="C168" s="46">
        <v>249.12</v>
      </c>
      <c r="D168" s="49">
        <v>3.9699999999999999E-2</v>
      </c>
      <c r="E168" s="13"/>
      <c r="F168" s="13"/>
      <c r="G168" s="13"/>
      <c r="H168" s="47">
        <v>44628</v>
      </c>
      <c r="I168" s="48">
        <v>17388.150000000001</v>
      </c>
      <c r="J168" s="49">
        <v>2.5000000000000001E-3</v>
      </c>
      <c r="K168" s="13"/>
      <c r="L168" s="13"/>
      <c r="M168" s="13"/>
      <c r="N168" s="13"/>
      <c r="O168" s="13"/>
      <c r="P168" s="13"/>
      <c r="Q168" s="13"/>
      <c r="R168" s="13"/>
      <c r="S168" s="13"/>
      <c r="T168" s="13"/>
      <c r="U168" s="13"/>
    </row>
    <row r="169" spans="1:21">
      <c r="A169" s="13"/>
      <c r="B169" s="47">
        <v>44600</v>
      </c>
      <c r="C169" s="46">
        <v>239.61</v>
      </c>
      <c r="D169" s="49">
        <v>-1.7999999999999999E-2</v>
      </c>
      <c r="E169" s="13"/>
      <c r="F169" s="13"/>
      <c r="G169" s="13"/>
      <c r="H169" s="47">
        <v>44600</v>
      </c>
      <c r="I169" s="48">
        <v>17345.45</v>
      </c>
      <c r="J169" s="49">
        <v>2.9999999999999997E-4</v>
      </c>
      <c r="K169" s="13"/>
      <c r="L169" s="13"/>
      <c r="M169" s="13"/>
      <c r="N169" s="13"/>
      <c r="O169" s="13"/>
      <c r="P169" s="13"/>
      <c r="Q169" s="13"/>
      <c r="R169" s="13"/>
      <c r="S169" s="13"/>
      <c r="T169" s="13"/>
      <c r="U169" s="13"/>
    </row>
    <row r="170" spans="1:21">
      <c r="A170" s="13"/>
      <c r="B170" s="47">
        <v>44569</v>
      </c>
      <c r="C170" s="46">
        <v>243.99</v>
      </c>
      <c r="D170" s="49">
        <v>6.0400000000000002E-2</v>
      </c>
      <c r="E170" s="13"/>
      <c r="F170" s="13"/>
      <c r="G170" s="13"/>
      <c r="H170" s="47">
        <v>44569</v>
      </c>
      <c r="I170" s="48">
        <v>17340.05</v>
      </c>
      <c r="J170" s="49">
        <v>1.06E-2</v>
      </c>
      <c r="K170" s="13"/>
      <c r="L170" s="13"/>
      <c r="M170" s="13"/>
      <c r="N170" s="13"/>
      <c r="O170" s="13"/>
      <c r="P170" s="13"/>
      <c r="Q170" s="13"/>
      <c r="R170" s="13"/>
      <c r="S170" s="13"/>
      <c r="T170" s="13"/>
      <c r="U170" s="13"/>
    </row>
    <row r="171" spans="1:21">
      <c r="A171" s="13"/>
      <c r="B171" s="46" t="s">
        <v>657</v>
      </c>
      <c r="C171" s="46">
        <v>230.1</v>
      </c>
      <c r="D171" s="49">
        <v>3.8600000000000002E-2</v>
      </c>
      <c r="E171" s="13"/>
      <c r="F171" s="13"/>
      <c r="G171" s="13"/>
      <c r="H171" s="46" t="s">
        <v>657</v>
      </c>
      <c r="I171" s="48">
        <v>17158.25</v>
      </c>
      <c r="J171" s="49">
        <v>1.35E-2</v>
      </c>
      <c r="K171" s="13"/>
      <c r="L171" s="13"/>
      <c r="M171" s="13"/>
      <c r="N171" s="13"/>
      <c r="O171" s="13"/>
      <c r="P171" s="13"/>
      <c r="Q171" s="13"/>
      <c r="R171" s="13"/>
      <c r="S171" s="13"/>
      <c r="T171" s="13"/>
      <c r="U171" s="13"/>
    </row>
    <row r="172" spans="1:21">
      <c r="A172" s="13"/>
      <c r="B172" s="46" t="s">
        <v>658</v>
      </c>
      <c r="C172" s="46">
        <v>221.55</v>
      </c>
      <c r="D172" s="49">
        <v>-1.04E-2</v>
      </c>
      <c r="E172" s="13"/>
      <c r="F172" s="13"/>
      <c r="G172" s="13"/>
      <c r="H172" s="46" t="s">
        <v>658</v>
      </c>
      <c r="I172" s="48">
        <v>16929.599999999999</v>
      </c>
      <c r="J172" s="49">
        <v>1.7299999999999999E-2</v>
      </c>
      <c r="K172" s="13"/>
      <c r="L172" s="13"/>
      <c r="M172" s="13"/>
      <c r="N172" s="13"/>
      <c r="O172" s="13"/>
      <c r="P172" s="13"/>
      <c r="Q172" s="13"/>
      <c r="R172" s="13"/>
      <c r="S172" s="13"/>
      <c r="T172" s="13"/>
      <c r="U172" s="13"/>
    </row>
    <row r="173" spans="1:21">
      <c r="A173" s="13"/>
      <c r="B173" s="46" t="s">
        <v>659</v>
      </c>
      <c r="C173" s="46">
        <v>223.87</v>
      </c>
      <c r="D173" s="49">
        <v>-1.24E-2</v>
      </c>
      <c r="E173" s="13"/>
      <c r="F173" s="13"/>
      <c r="G173" s="13"/>
      <c r="H173" s="46" t="s">
        <v>659</v>
      </c>
      <c r="I173" s="48">
        <v>16641.8</v>
      </c>
      <c r="J173" s="49">
        <v>9.5999999999999992E-3</v>
      </c>
      <c r="K173" s="13"/>
      <c r="L173" s="13"/>
      <c r="M173" s="13"/>
      <c r="N173" s="13"/>
      <c r="O173" s="13"/>
      <c r="P173" s="13"/>
      <c r="Q173" s="13"/>
      <c r="R173" s="13"/>
      <c r="S173" s="13"/>
      <c r="T173" s="13"/>
      <c r="U173" s="13"/>
    </row>
    <row r="174" spans="1:21">
      <c r="A174" s="13"/>
      <c r="B174" s="46" t="s">
        <v>660</v>
      </c>
      <c r="C174" s="46">
        <v>226.67</v>
      </c>
      <c r="D174" s="49">
        <v>2.5700000000000001E-2</v>
      </c>
      <c r="E174" s="13"/>
      <c r="F174" s="13"/>
      <c r="G174" s="13"/>
      <c r="H174" s="46" t="s">
        <v>660</v>
      </c>
      <c r="I174" s="48">
        <v>16483.849999999999</v>
      </c>
      <c r="J174" s="49">
        <v>-8.8000000000000005E-3</v>
      </c>
      <c r="K174" s="13"/>
      <c r="L174" s="13"/>
      <c r="M174" s="13"/>
      <c r="N174" s="13"/>
      <c r="O174" s="13"/>
      <c r="P174" s="13"/>
      <c r="Q174" s="13"/>
      <c r="R174" s="13"/>
      <c r="S174" s="13"/>
      <c r="T174" s="13"/>
      <c r="U174" s="13"/>
    </row>
    <row r="175" spans="1:21">
      <c r="A175" s="13"/>
      <c r="B175" s="46" t="s">
        <v>661</v>
      </c>
      <c r="C175" s="46">
        <v>220.99</v>
      </c>
      <c r="D175" s="49">
        <v>-3.8999999999999998E-3</v>
      </c>
      <c r="E175" s="13"/>
      <c r="F175" s="13"/>
      <c r="G175" s="13"/>
      <c r="H175" s="46" t="s">
        <v>661</v>
      </c>
      <c r="I175" s="48">
        <v>16631</v>
      </c>
      <c r="J175" s="49">
        <v>-5.3E-3</v>
      </c>
      <c r="K175" s="13"/>
      <c r="L175" s="13"/>
      <c r="M175" s="13"/>
      <c r="N175" s="13"/>
      <c r="O175" s="13"/>
      <c r="P175" s="13"/>
      <c r="Q175" s="13"/>
      <c r="R175" s="13"/>
      <c r="S175" s="13"/>
      <c r="T175" s="13"/>
      <c r="U175" s="13"/>
    </row>
    <row r="176" spans="1:21">
      <c r="A176" s="13"/>
      <c r="B176" s="46" t="s">
        <v>662</v>
      </c>
      <c r="C176" s="46">
        <v>221.85</v>
      </c>
      <c r="D176" s="49">
        <v>5.0000000000000001E-4</v>
      </c>
      <c r="E176" s="13"/>
      <c r="F176" s="13"/>
      <c r="G176" s="13"/>
      <c r="H176" s="46" t="s">
        <v>662</v>
      </c>
      <c r="I176" s="48">
        <v>16719.45</v>
      </c>
      <c r="J176" s="49">
        <v>6.8999999999999999E-3</v>
      </c>
      <c r="K176" s="13"/>
      <c r="L176" s="13"/>
      <c r="M176" s="13"/>
      <c r="N176" s="13"/>
      <c r="O176" s="13"/>
      <c r="P176" s="13"/>
      <c r="Q176" s="13"/>
      <c r="R176" s="13"/>
      <c r="S176" s="13"/>
      <c r="T176" s="13"/>
      <c r="U176" s="13"/>
    </row>
    <row r="177" spans="1:21">
      <c r="A177" s="13"/>
      <c r="B177" s="46" t="s">
        <v>663</v>
      </c>
      <c r="C177" s="46">
        <v>221.74</v>
      </c>
      <c r="D177" s="49">
        <v>-4.0000000000000001E-3</v>
      </c>
      <c r="E177" s="13"/>
      <c r="F177" s="13"/>
      <c r="G177" s="13"/>
      <c r="H177" s="46" t="s">
        <v>663</v>
      </c>
      <c r="I177" s="48">
        <v>16605.25</v>
      </c>
      <c r="J177" s="49">
        <v>5.1000000000000004E-3</v>
      </c>
      <c r="K177" s="13"/>
      <c r="L177" s="13"/>
      <c r="M177" s="13"/>
      <c r="N177" s="13"/>
      <c r="O177" s="13"/>
      <c r="P177" s="13"/>
      <c r="Q177" s="13"/>
      <c r="R177" s="13"/>
      <c r="S177" s="13"/>
      <c r="T177" s="13"/>
      <c r="U177" s="13"/>
    </row>
    <row r="178" spans="1:21">
      <c r="A178" s="13"/>
      <c r="B178" s="46" t="s">
        <v>664</v>
      </c>
      <c r="C178" s="46">
        <v>222.63</v>
      </c>
      <c r="D178" s="49">
        <v>-4.4999999999999997E-3</v>
      </c>
      <c r="E178" s="13"/>
      <c r="F178" s="13"/>
      <c r="G178" s="13"/>
      <c r="H178" s="46" t="s">
        <v>664</v>
      </c>
      <c r="I178" s="48">
        <v>16520.849999999999</v>
      </c>
      <c r="J178" s="49">
        <v>1.0999999999999999E-2</v>
      </c>
      <c r="K178" s="13"/>
      <c r="L178" s="13"/>
      <c r="M178" s="13"/>
      <c r="N178" s="13"/>
      <c r="O178" s="13"/>
      <c r="P178" s="13"/>
      <c r="Q178" s="13"/>
      <c r="R178" s="13"/>
      <c r="S178" s="13"/>
      <c r="T178" s="13"/>
      <c r="U178" s="13"/>
    </row>
    <row r="179" spans="1:21">
      <c r="A179" s="13"/>
      <c r="B179" s="46" t="s">
        <v>665</v>
      </c>
      <c r="C179" s="46">
        <v>223.64</v>
      </c>
      <c r="D179" s="49">
        <v>9.7000000000000003E-3</v>
      </c>
      <c r="E179" s="13"/>
      <c r="F179" s="13"/>
      <c r="G179" s="13"/>
      <c r="H179" s="46" t="s">
        <v>665</v>
      </c>
      <c r="I179" s="48">
        <v>16340.55</v>
      </c>
      <c r="J179" s="49">
        <v>3.8E-3</v>
      </c>
      <c r="K179" s="13"/>
      <c r="L179" s="13"/>
      <c r="M179" s="13"/>
      <c r="N179" s="13"/>
      <c r="O179" s="13"/>
      <c r="P179" s="13"/>
      <c r="Q179" s="13"/>
      <c r="R179" s="13"/>
      <c r="S179" s="13"/>
      <c r="T179" s="13"/>
      <c r="U179" s="13"/>
    </row>
    <row r="180" spans="1:21">
      <c r="A180" s="13"/>
      <c r="B180" s="46" t="s">
        <v>666</v>
      </c>
      <c r="C180" s="46">
        <v>221.49</v>
      </c>
      <c r="D180" s="49">
        <v>6.1000000000000004E-3</v>
      </c>
      <c r="E180" s="13"/>
      <c r="F180" s="13"/>
      <c r="G180" s="13"/>
      <c r="H180" s="46" t="s">
        <v>666</v>
      </c>
      <c r="I180" s="48">
        <v>16278.5</v>
      </c>
      <c r="J180" s="49">
        <v>1.43E-2</v>
      </c>
      <c r="K180" s="13"/>
      <c r="L180" s="13"/>
      <c r="M180" s="13"/>
      <c r="N180" s="13"/>
      <c r="O180" s="13"/>
      <c r="P180" s="13"/>
      <c r="Q180" s="13"/>
      <c r="R180" s="13"/>
      <c r="S180" s="13"/>
      <c r="T180" s="13"/>
      <c r="U180" s="13"/>
    </row>
    <row r="181" spans="1:21">
      <c r="A181" s="13"/>
      <c r="B181" s="46" t="s">
        <v>667</v>
      </c>
      <c r="C181" s="46">
        <v>220.15</v>
      </c>
      <c r="D181" s="49">
        <v>1.0699999999999999E-2</v>
      </c>
      <c r="E181" s="13"/>
      <c r="F181" s="13"/>
      <c r="G181" s="13"/>
      <c r="H181" s="46" t="s">
        <v>667</v>
      </c>
      <c r="I181" s="48">
        <v>16049.2</v>
      </c>
      <c r="J181" s="49">
        <v>6.8999999999999999E-3</v>
      </c>
      <c r="K181" s="13"/>
      <c r="L181" s="13"/>
      <c r="M181" s="13"/>
      <c r="N181" s="13"/>
      <c r="O181" s="13"/>
      <c r="P181" s="13"/>
      <c r="Q181" s="13"/>
      <c r="R181" s="13"/>
      <c r="S181" s="13"/>
      <c r="T181" s="13"/>
      <c r="U181" s="13"/>
    </row>
    <row r="182" spans="1:21">
      <c r="A182" s="13"/>
      <c r="B182" s="46" t="s">
        <v>668</v>
      </c>
      <c r="C182" s="46">
        <v>217.82</v>
      </c>
      <c r="D182" s="49">
        <v>-1.18E-2</v>
      </c>
      <c r="E182" s="13"/>
      <c r="F182" s="13"/>
      <c r="G182" s="13"/>
      <c r="H182" s="46" t="s">
        <v>668</v>
      </c>
      <c r="I182" s="48">
        <v>15938.65</v>
      </c>
      <c r="J182" s="49">
        <v>-1.8E-3</v>
      </c>
      <c r="K182" s="13"/>
      <c r="L182" s="13"/>
      <c r="M182" s="13"/>
      <c r="N182" s="13"/>
      <c r="O182" s="13"/>
      <c r="P182" s="13"/>
      <c r="Q182" s="13"/>
      <c r="R182" s="13"/>
      <c r="S182" s="13"/>
      <c r="T182" s="13"/>
      <c r="U182" s="13"/>
    </row>
    <row r="183" spans="1:21">
      <c r="A183" s="13"/>
      <c r="B183" s="46" t="s">
        <v>669</v>
      </c>
      <c r="C183" s="46">
        <v>220.43</v>
      </c>
      <c r="D183" s="49">
        <v>1.23E-2</v>
      </c>
      <c r="E183" s="13"/>
      <c r="F183" s="13"/>
      <c r="G183" s="13"/>
      <c r="H183" s="46" t="s">
        <v>669</v>
      </c>
      <c r="I183" s="48">
        <v>15966.65</v>
      </c>
      <c r="J183" s="49">
        <v>-5.7000000000000002E-3</v>
      </c>
      <c r="K183" s="13"/>
      <c r="L183" s="13"/>
      <c r="M183" s="13"/>
      <c r="N183" s="13"/>
      <c r="O183" s="13"/>
      <c r="P183" s="13"/>
      <c r="Q183" s="13"/>
      <c r="R183" s="13"/>
      <c r="S183" s="13"/>
      <c r="T183" s="13"/>
      <c r="U183" s="13"/>
    </row>
    <row r="184" spans="1:21">
      <c r="A184" s="13"/>
      <c r="B184" s="47">
        <v>44902</v>
      </c>
      <c r="C184" s="46">
        <v>217.76</v>
      </c>
      <c r="D184" s="49">
        <v>-1.41E-2</v>
      </c>
      <c r="E184" s="13"/>
      <c r="F184" s="13"/>
      <c r="G184" s="13"/>
      <c r="H184" s="47">
        <v>44902</v>
      </c>
      <c r="I184" s="48">
        <v>16058.3</v>
      </c>
      <c r="J184" s="49">
        <v>-9.7000000000000003E-3</v>
      </c>
      <c r="K184" s="13"/>
      <c r="L184" s="13"/>
      <c r="M184" s="13"/>
      <c r="N184" s="13"/>
      <c r="O184" s="13"/>
      <c r="P184" s="13"/>
      <c r="Q184" s="13"/>
      <c r="R184" s="13"/>
      <c r="S184" s="13"/>
      <c r="T184" s="13"/>
      <c r="U184" s="13"/>
    </row>
    <row r="185" spans="1:21">
      <c r="A185" s="13"/>
      <c r="B185" s="47">
        <v>44872</v>
      </c>
      <c r="C185" s="46">
        <v>220.87</v>
      </c>
      <c r="D185" s="49">
        <v>-1.49E-2</v>
      </c>
      <c r="E185" s="13"/>
      <c r="F185" s="13"/>
      <c r="G185" s="13"/>
      <c r="H185" s="47">
        <v>44872</v>
      </c>
      <c r="I185" s="48">
        <v>16216</v>
      </c>
      <c r="J185" s="49">
        <v>-2.9999999999999997E-4</v>
      </c>
      <c r="K185" s="13"/>
      <c r="L185" s="13"/>
      <c r="M185" s="13"/>
      <c r="N185" s="13"/>
      <c r="O185" s="13"/>
      <c r="P185" s="13"/>
      <c r="Q185" s="13"/>
      <c r="R185" s="13"/>
      <c r="S185" s="13"/>
      <c r="T185" s="13"/>
      <c r="U185" s="13"/>
    </row>
    <row r="186" spans="1:21">
      <c r="A186" s="13"/>
      <c r="B186" s="47">
        <v>44780</v>
      </c>
      <c r="C186" s="46">
        <v>224.2</v>
      </c>
      <c r="D186" s="49">
        <v>2.2000000000000001E-3</v>
      </c>
      <c r="E186" s="13"/>
      <c r="F186" s="13"/>
      <c r="G186" s="13"/>
      <c r="H186" s="47">
        <v>44780</v>
      </c>
      <c r="I186" s="48">
        <v>16220.6</v>
      </c>
      <c r="J186" s="49">
        <v>5.4000000000000003E-3</v>
      </c>
      <c r="K186" s="13"/>
      <c r="L186" s="13"/>
      <c r="M186" s="13"/>
      <c r="N186" s="13"/>
      <c r="O186" s="13"/>
      <c r="P186" s="13"/>
      <c r="Q186" s="13"/>
      <c r="R186" s="13"/>
      <c r="S186" s="13"/>
      <c r="T186" s="13"/>
      <c r="U186" s="13"/>
    </row>
    <row r="187" spans="1:21">
      <c r="A187" s="13"/>
      <c r="B187" s="47">
        <v>44749</v>
      </c>
      <c r="C187" s="46">
        <v>223.71</v>
      </c>
      <c r="D187" s="49">
        <v>-2.2200000000000001E-2</v>
      </c>
      <c r="E187" s="13"/>
      <c r="F187" s="13"/>
      <c r="G187" s="13"/>
      <c r="H187" s="47">
        <v>44749</v>
      </c>
      <c r="I187" s="48">
        <v>16132.9</v>
      </c>
      <c r="J187" s="49">
        <v>8.8999999999999999E-3</v>
      </c>
      <c r="K187" s="13"/>
      <c r="L187" s="13"/>
      <c r="M187" s="13"/>
      <c r="N187" s="13"/>
      <c r="O187" s="13"/>
      <c r="P187" s="13"/>
      <c r="Q187" s="13"/>
      <c r="R187" s="13"/>
      <c r="S187" s="13"/>
      <c r="T187" s="13"/>
      <c r="U187" s="13"/>
    </row>
    <row r="188" spans="1:21">
      <c r="A188" s="13"/>
      <c r="B188" s="47">
        <v>44719</v>
      </c>
      <c r="C188" s="46">
        <v>228.78</v>
      </c>
      <c r="D188" s="49">
        <v>9.2999999999999992E-3</v>
      </c>
      <c r="E188" s="13"/>
      <c r="F188" s="13"/>
      <c r="G188" s="13"/>
      <c r="H188" s="47">
        <v>44719</v>
      </c>
      <c r="I188" s="48">
        <v>15989.8</v>
      </c>
      <c r="J188" s="49">
        <v>1.1299999999999999E-2</v>
      </c>
      <c r="K188" s="13"/>
      <c r="L188" s="13"/>
      <c r="M188" s="13"/>
      <c r="N188" s="13"/>
      <c r="O188" s="13"/>
      <c r="P188" s="13"/>
      <c r="Q188" s="13"/>
      <c r="R188" s="13"/>
      <c r="S188" s="13"/>
      <c r="T188" s="13"/>
      <c r="U188" s="13"/>
    </row>
    <row r="189" spans="1:21">
      <c r="A189" s="13"/>
      <c r="B189" s="47">
        <v>44688</v>
      </c>
      <c r="C189" s="46">
        <v>226.67</v>
      </c>
      <c r="D189" s="49">
        <v>2.4199999999999999E-2</v>
      </c>
      <c r="E189" s="13"/>
      <c r="F189" s="13"/>
      <c r="G189" s="13"/>
      <c r="H189" s="47">
        <v>44688</v>
      </c>
      <c r="I189" s="48">
        <v>15810.85</v>
      </c>
      <c r="J189" s="49">
        <v>-1.5E-3</v>
      </c>
      <c r="K189" s="13"/>
      <c r="L189" s="13"/>
      <c r="M189" s="13"/>
      <c r="N189" s="13"/>
      <c r="O189" s="13"/>
      <c r="P189" s="13"/>
      <c r="Q189" s="13"/>
      <c r="R189" s="13"/>
      <c r="S189" s="13"/>
      <c r="T189" s="13"/>
      <c r="U189" s="13"/>
    </row>
    <row r="190" spans="1:21">
      <c r="A190" s="13"/>
      <c r="B190" s="47">
        <v>44658</v>
      </c>
      <c r="C190" s="46">
        <v>221.31</v>
      </c>
      <c r="D190" s="49">
        <v>2.1700000000000001E-2</v>
      </c>
      <c r="E190" s="13"/>
      <c r="F190" s="13"/>
      <c r="G190" s="13"/>
      <c r="H190" s="47">
        <v>44658</v>
      </c>
      <c r="I190" s="48">
        <v>15835.35</v>
      </c>
      <c r="J190" s="49">
        <v>5.3E-3</v>
      </c>
      <c r="K190" s="13"/>
      <c r="L190" s="13"/>
      <c r="M190" s="13"/>
      <c r="N190" s="13"/>
      <c r="O190" s="13"/>
      <c r="P190" s="13"/>
      <c r="Q190" s="13"/>
      <c r="R190" s="13"/>
      <c r="S190" s="13"/>
      <c r="T190" s="13"/>
      <c r="U190" s="13"/>
    </row>
    <row r="191" spans="1:21">
      <c r="A191" s="13"/>
      <c r="B191" s="47">
        <v>44568</v>
      </c>
      <c r="C191" s="46">
        <v>216.61</v>
      </c>
      <c r="D191" s="49">
        <v>-2.3E-3</v>
      </c>
      <c r="E191" s="13"/>
      <c r="F191" s="13"/>
      <c r="G191" s="13"/>
      <c r="H191" s="47">
        <v>44568</v>
      </c>
      <c r="I191" s="48">
        <v>15752.05</v>
      </c>
      <c r="J191" s="49">
        <v>-1.8E-3</v>
      </c>
      <c r="K191" s="13"/>
      <c r="L191" s="13"/>
      <c r="M191" s="13"/>
      <c r="N191" s="13"/>
      <c r="O191" s="13"/>
      <c r="P191" s="13"/>
      <c r="Q191" s="13"/>
      <c r="R191" s="13"/>
      <c r="S191" s="13"/>
      <c r="T191" s="13"/>
      <c r="U191" s="13"/>
    </row>
    <row r="192" spans="1:21">
      <c r="A192" s="13"/>
      <c r="B192" s="46" t="s">
        <v>670</v>
      </c>
      <c r="C192" s="46">
        <v>217.11</v>
      </c>
      <c r="D192" s="49">
        <v>2.01E-2</v>
      </c>
      <c r="E192" s="13"/>
      <c r="F192" s="13"/>
      <c r="G192" s="13"/>
      <c r="H192" s="46" t="s">
        <v>670</v>
      </c>
      <c r="I192" s="48">
        <v>15780.25</v>
      </c>
      <c r="J192" s="49">
        <v>-1.1999999999999999E-3</v>
      </c>
      <c r="K192" s="13"/>
      <c r="L192" s="13"/>
      <c r="M192" s="13"/>
      <c r="N192" s="13"/>
      <c r="O192" s="13"/>
      <c r="P192" s="13"/>
      <c r="Q192" s="13"/>
      <c r="R192" s="13"/>
      <c r="S192" s="13"/>
      <c r="T192" s="13"/>
      <c r="U192" s="13"/>
    </row>
    <row r="193" spans="1:21">
      <c r="A193" s="13"/>
      <c r="B193" s="46" t="s">
        <v>671</v>
      </c>
      <c r="C193" s="46">
        <v>212.84</v>
      </c>
      <c r="D193" s="49">
        <v>2.35E-2</v>
      </c>
      <c r="E193" s="13"/>
      <c r="F193" s="13"/>
      <c r="G193" s="13"/>
      <c r="H193" s="46" t="s">
        <v>671</v>
      </c>
      <c r="I193" s="48">
        <v>15799.1</v>
      </c>
      <c r="J193" s="49">
        <v>-3.2000000000000002E-3</v>
      </c>
      <c r="K193" s="13"/>
      <c r="L193" s="13"/>
      <c r="M193" s="13"/>
      <c r="N193" s="13"/>
      <c r="O193" s="13"/>
      <c r="P193" s="13"/>
      <c r="Q193" s="13"/>
      <c r="R193" s="13"/>
      <c r="S193" s="13"/>
      <c r="T193" s="13"/>
      <c r="U193" s="13"/>
    </row>
    <row r="194" spans="1:21">
      <c r="A194" s="13"/>
      <c r="B194" s="46" t="s">
        <v>672</v>
      </c>
      <c r="C194" s="46">
        <v>207.95</v>
      </c>
      <c r="D194" s="49">
        <v>1.9599999999999999E-2</v>
      </c>
      <c r="E194" s="13"/>
      <c r="F194" s="13"/>
      <c r="G194" s="13"/>
      <c r="H194" s="46" t="s">
        <v>672</v>
      </c>
      <c r="I194" s="48">
        <v>15850.2</v>
      </c>
      <c r="J194" s="49">
        <v>1.1000000000000001E-3</v>
      </c>
      <c r="K194" s="13"/>
      <c r="L194" s="13"/>
      <c r="M194" s="13"/>
      <c r="N194" s="13"/>
      <c r="O194" s="13"/>
      <c r="P194" s="13"/>
      <c r="Q194" s="13"/>
      <c r="R194" s="13"/>
      <c r="S194" s="13"/>
      <c r="T194" s="13"/>
      <c r="U194" s="13"/>
    </row>
    <row r="195" spans="1:21">
      <c r="A195" s="13"/>
      <c r="B195" s="46" t="s">
        <v>673</v>
      </c>
      <c r="C195" s="46">
        <v>203.95</v>
      </c>
      <c r="D195" s="49">
        <v>-3.1300000000000001E-2</v>
      </c>
      <c r="E195" s="13"/>
      <c r="F195" s="13"/>
      <c r="G195" s="13"/>
      <c r="H195" s="46" t="s">
        <v>673</v>
      </c>
      <c r="I195" s="48">
        <v>15832.05</v>
      </c>
      <c r="J195" s="49">
        <v>8.5000000000000006E-3</v>
      </c>
      <c r="K195" s="13"/>
      <c r="L195" s="13"/>
      <c r="M195" s="13"/>
      <c r="N195" s="13"/>
      <c r="O195" s="13"/>
      <c r="P195" s="13"/>
      <c r="Q195" s="13"/>
      <c r="R195" s="13"/>
      <c r="S195" s="13"/>
      <c r="T195" s="13"/>
      <c r="U195" s="13"/>
    </row>
    <row r="196" spans="1:21">
      <c r="A196" s="13"/>
      <c r="B196" s="46" t="s">
        <v>674</v>
      </c>
      <c r="C196" s="46">
        <v>210.55</v>
      </c>
      <c r="D196" s="49">
        <v>2.2200000000000001E-2</v>
      </c>
      <c r="E196" s="13"/>
      <c r="F196" s="13"/>
      <c r="G196" s="13"/>
      <c r="H196" s="46" t="s">
        <v>674</v>
      </c>
      <c r="I196" s="48">
        <v>15699.25</v>
      </c>
      <c r="J196" s="49">
        <v>9.1999999999999998E-3</v>
      </c>
      <c r="K196" s="13"/>
      <c r="L196" s="13"/>
      <c r="M196" s="13"/>
      <c r="N196" s="13"/>
      <c r="O196" s="13"/>
      <c r="P196" s="13"/>
      <c r="Q196" s="13"/>
      <c r="R196" s="13"/>
      <c r="S196" s="13"/>
      <c r="T196" s="13"/>
      <c r="U196" s="13"/>
    </row>
    <row r="197" spans="1:21">
      <c r="A197" s="13"/>
      <c r="B197" s="46" t="s">
        <v>675</v>
      </c>
      <c r="C197" s="46">
        <v>205.97</v>
      </c>
      <c r="D197" s="49">
        <v>5.8500000000000003E-2</v>
      </c>
      <c r="E197" s="13"/>
      <c r="F197" s="13"/>
      <c r="G197" s="13"/>
      <c r="H197" s="46" t="s">
        <v>675</v>
      </c>
      <c r="I197" s="48">
        <v>15556.65</v>
      </c>
      <c r="J197" s="49">
        <v>9.2999999999999992E-3</v>
      </c>
      <c r="K197" s="13"/>
      <c r="L197" s="13"/>
      <c r="M197" s="13"/>
      <c r="N197" s="13"/>
      <c r="O197" s="13"/>
      <c r="P197" s="13"/>
      <c r="Q197" s="13"/>
      <c r="R197" s="13"/>
      <c r="S197" s="13"/>
      <c r="T197" s="13"/>
      <c r="U197" s="13"/>
    </row>
    <row r="198" spans="1:21">
      <c r="A198" s="13"/>
      <c r="B198" s="46" t="s">
        <v>676</v>
      </c>
      <c r="C198" s="46">
        <v>194.58</v>
      </c>
      <c r="D198" s="49">
        <v>2.2100000000000002E-2</v>
      </c>
      <c r="E198" s="13"/>
      <c r="F198" s="13"/>
      <c r="G198" s="13"/>
      <c r="H198" s="46" t="s">
        <v>676</v>
      </c>
      <c r="I198" s="48">
        <v>15413.3</v>
      </c>
      <c r="J198" s="49">
        <v>-1.44E-2</v>
      </c>
      <c r="K198" s="13"/>
      <c r="L198" s="13"/>
      <c r="M198" s="13"/>
      <c r="N198" s="13"/>
      <c r="O198" s="13"/>
      <c r="P198" s="13"/>
      <c r="Q198" s="13"/>
      <c r="R198" s="13"/>
      <c r="S198" s="13"/>
      <c r="T198" s="13"/>
      <c r="U198" s="13"/>
    </row>
    <row r="199" spans="1:21">
      <c r="A199" s="13"/>
      <c r="B199" s="46" t="s">
        <v>677</v>
      </c>
      <c r="C199" s="46">
        <v>190.38</v>
      </c>
      <c r="D199" s="49">
        <v>-3.0999999999999999E-3</v>
      </c>
      <c r="E199" s="13"/>
      <c r="F199" s="13"/>
      <c r="G199" s="13"/>
      <c r="H199" s="46" t="s">
        <v>677</v>
      </c>
      <c r="I199" s="48">
        <v>15638.8</v>
      </c>
      <c r="J199" s="49">
        <v>1.8800000000000001E-2</v>
      </c>
      <c r="K199" s="13"/>
      <c r="L199" s="13"/>
      <c r="M199" s="13"/>
      <c r="N199" s="13"/>
      <c r="O199" s="13"/>
      <c r="P199" s="13"/>
      <c r="Q199" s="13"/>
      <c r="R199" s="13"/>
      <c r="S199" s="13"/>
      <c r="T199" s="13"/>
      <c r="U199" s="13"/>
    </row>
    <row r="200" spans="1:21">
      <c r="A200" s="13"/>
      <c r="B200" s="46" t="s">
        <v>678</v>
      </c>
      <c r="C200" s="46">
        <v>190.97</v>
      </c>
      <c r="D200" s="49">
        <v>4.8999999999999998E-3</v>
      </c>
      <c r="E200" s="13"/>
      <c r="F200" s="13"/>
      <c r="G200" s="13"/>
      <c r="H200" s="46" t="s">
        <v>678</v>
      </c>
      <c r="I200" s="48">
        <v>15350.15</v>
      </c>
      <c r="J200" s="49">
        <v>3.7000000000000002E-3</v>
      </c>
      <c r="K200" s="13"/>
      <c r="L200" s="13"/>
      <c r="M200" s="13"/>
      <c r="N200" s="13"/>
      <c r="O200" s="13"/>
      <c r="P200" s="13"/>
      <c r="Q200" s="13"/>
      <c r="R200" s="13"/>
      <c r="S200" s="13"/>
      <c r="T200" s="13"/>
      <c r="U200" s="13"/>
    </row>
    <row r="201" spans="1:21">
      <c r="A201" s="13"/>
      <c r="B201" s="46" t="s">
        <v>679</v>
      </c>
      <c r="C201" s="46">
        <v>190.04</v>
      </c>
      <c r="D201" s="49">
        <v>-1.8499999999999999E-2</v>
      </c>
      <c r="E201" s="13"/>
      <c r="F201" s="13"/>
      <c r="G201" s="13"/>
      <c r="H201" s="46" t="s">
        <v>679</v>
      </c>
      <c r="I201" s="48">
        <v>15293.5</v>
      </c>
      <c r="J201" s="49">
        <v>-4.4000000000000003E-3</v>
      </c>
      <c r="K201" s="13"/>
      <c r="L201" s="13"/>
      <c r="M201" s="13"/>
      <c r="N201" s="13"/>
      <c r="O201" s="13"/>
      <c r="P201" s="13"/>
      <c r="Q201" s="13"/>
      <c r="R201" s="13"/>
      <c r="S201" s="13"/>
      <c r="T201" s="13"/>
      <c r="U201" s="13"/>
    </row>
    <row r="202" spans="1:21">
      <c r="A202" s="13"/>
      <c r="B202" s="46" t="s">
        <v>680</v>
      </c>
      <c r="C202" s="46">
        <v>193.62</v>
      </c>
      <c r="D202" s="49">
        <v>-2.5000000000000001E-3</v>
      </c>
      <c r="E202" s="13"/>
      <c r="F202" s="13"/>
      <c r="G202" s="13"/>
      <c r="H202" s="46" t="s">
        <v>680</v>
      </c>
      <c r="I202" s="48">
        <v>15360.6</v>
      </c>
      <c r="J202" s="49">
        <v>-2.1100000000000001E-2</v>
      </c>
      <c r="K202" s="13"/>
      <c r="L202" s="13"/>
      <c r="M202" s="13"/>
      <c r="N202" s="13"/>
      <c r="O202" s="13"/>
      <c r="P202" s="13"/>
      <c r="Q202" s="13"/>
      <c r="R202" s="13"/>
      <c r="S202" s="13"/>
      <c r="T202" s="13"/>
      <c r="U202" s="13"/>
    </row>
    <row r="203" spans="1:21">
      <c r="A203" s="13"/>
      <c r="B203" s="46" t="s">
        <v>681</v>
      </c>
      <c r="C203" s="46">
        <v>194.11</v>
      </c>
      <c r="D203" s="49">
        <v>7.3000000000000001E-3</v>
      </c>
      <c r="E203" s="13"/>
      <c r="F203" s="13"/>
      <c r="G203" s="13"/>
      <c r="H203" s="46" t="s">
        <v>681</v>
      </c>
      <c r="I203" s="48">
        <v>15692.15</v>
      </c>
      <c r="J203" s="49">
        <v>-2.5000000000000001E-3</v>
      </c>
      <c r="K203" s="13"/>
      <c r="L203" s="13"/>
      <c r="M203" s="13"/>
      <c r="N203" s="13"/>
      <c r="O203" s="13"/>
      <c r="P203" s="13"/>
      <c r="Q203" s="13"/>
      <c r="R203" s="13"/>
      <c r="S203" s="13"/>
      <c r="T203" s="13"/>
      <c r="U203" s="13"/>
    </row>
    <row r="204" spans="1:21">
      <c r="A204" s="13"/>
      <c r="B204" s="46" t="s">
        <v>682</v>
      </c>
      <c r="C204" s="46">
        <v>192.71</v>
      </c>
      <c r="D204" s="49">
        <v>-1.24E-2</v>
      </c>
      <c r="E204" s="13"/>
      <c r="F204" s="13"/>
      <c r="G204" s="13"/>
      <c r="H204" s="46" t="s">
        <v>682</v>
      </c>
      <c r="I204" s="48">
        <v>15732.1</v>
      </c>
      <c r="J204" s="49">
        <v>-2.7000000000000001E-3</v>
      </c>
      <c r="K204" s="13"/>
      <c r="L204" s="13"/>
      <c r="M204" s="13"/>
      <c r="N204" s="13"/>
      <c r="O204" s="13"/>
      <c r="P204" s="13"/>
      <c r="Q204" s="13"/>
      <c r="R204" s="13"/>
      <c r="S204" s="13"/>
      <c r="T204" s="13"/>
      <c r="U204" s="13"/>
    </row>
    <row r="205" spans="1:21">
      <c r="A205" s="13"/>
      <c r="B205" s="46" t="s">
        <v>683</v>
      </c>
      <c r="C205" s="46">
        <v>195.12</v>
      </c>
      <c r="D205" s="49">
        <v>-3.3799999999999997E-2</v>
      </c>
      <c r="E205" s="13"/>
      <c r="F205" s="13"/>
      <c r="G205" s="13"/>
      <c r="H205" s="46" t="s">
        <v>683</v>
      </c>
      <c r="I205" s="48">
        <v>15774.4</v>
      </c>
      <c r="J205" s="49">
        <v>-2.64E-2</v>
      </c>
      <c r="K205" s="13"/>
      <c r="L205" s="13"/>
      <c r="M205" s="13"/>
      <c r="N205" s="13"/>
      <c r="O205" s="13"/>
      <c r="P205" s="13"/>
      <c r="Q205" s="13"/>
      <c r="R205" s="13"/>
      <c r="S205" s="13"/>
      <c r="T205" s="13"/>
      <c r="U205" s="13"/>
    </row>
    <row r="206" spans="1:21">
      <c r="A206" s="13"/>
      <c r="B206" s="47">
        <v>44840</v>
      </c>
      <c r="C206" s="46">
        <v>201.95</v>
      </c>
      <c r="D206" s="49">
        <v>3.0599999999999999E-2</v>
      </c>
      <c r="E206" s="13"/>
      <c r="F206" s="13"/>
      <c r="G206" s="13"/>
      <c r="H206" s="47">
        <v>44840</v>
      </c>
      <c r="I206" s="48">
        <v>16201.8</v>
      </c>
      <c r="J206" s="49">
        <v>-1.6799999999999999E-2</v>
      </c>
      <c r="K206" s="13"/>
      <c r="L206" s="13"/>
      <c r="M206" s="13"/>
      <c r="N206" s="13"/>
      <c r="O206" s="13"/>
      <c r="P206" s="13"/>
      <c r="Q206" s="13"/>
      <c r="R206" s="13"/>
      <c r="S206" s="13"/>
      <c r="T206" s="13"/>
      <c r="U206" s="13"/>
    </row>
    <row r="207" spans="1:21">
      <c r="A207" s="13"/>
      <c r="B207" s="47">
        <v>44810</v>
      </c>
      <c r="C207" s="46">
        <v>195.96</v>
      </c>
      <c r="D207" s="49">
        <v>4.7699999999999999E-2</v>
      </c>
      <c r="E207" s="13"/>
      <c r="F207" s="13"/>
      <c r="G207" s="13"/>
      <c r="H207" s="47">
        <v>44810</v>
      </c>
      <c r="I207" s="48">
        <v>16478.099999999999</v>
      </c>
      <c r="J207" s="49">
        <v>7.4000000000000003E-3</v>
      </c>
      <c r="K207" s="13"/>
      <c r="L207" s="13"/>
      <c r="M207" s="13"/>
      <c r="N207" s="13"/>
      <c r="O207" s="13"/>
      <c r="P207" s="13"/>
      <c r="Q207" s="13"/>
      <c r="R207" s="13"/>
      <c r="S207" s="13"/>
      <c r="T207" s="13"/>
      <c r="U207" s="13"/>
    </row>
    <row r="208" spans="1:21">
      <c r="A208" s="13"/>
      <c r="B208" s="47">
        <v>44779</v>
      </c>
      <c r="C208" s="46">
        <v>187.04</v>
      </c>
      <c r="D208" s="49">
        <v>-2.7300000000000001E-2</v>
      </c>
      <c r="E208" s="13"/>
      <c r="F208" s="13"/>
      <c r="G208" s="13"/>
      <c r="H208" s="47">
        <v>44779</v>
      </c>
      <c r="I208" s="48">
        <v>16356.25</v>
      </c>
      <c r="J208" s="49">
        <v>-3.7000000000000002E-3</v>
      </c>
      <c r="K208" s="13"/>
      <c r="L208" s="13"/>
      <c r="M208" s="13"/>
      <c r="N208" s="13"/>
      <c r="O208" s="13"/>
      <c r="P208" s="13"/>
      <c r="Q208" s="13"/>
      <c r="R208" s="13"/>
      <c r="S208" s="13"/>
      <c r="T208" s="13"/>
      <c r="U208" s="13"/>
    </row>
    <row r="209" spans="1:21">
      <c r="A209" s="13"/>
      <c r="B209" s="47">
        <v>44748</v>
      </c>
      <c r="C209" s="46">
        <v>192.28</v>
      </c>
      <c r="D209" s="49">
        <v>-1.7399999999999999E-2</v>
      </c>
      <c r="E209" s="13"/>
      <c r="F209" s="13"/>
      <c r="G209" s="13"/>
      <c r="H209" s="47">
        <v>44748</v>
      </c>
      <c r="I209" s="48">
        <v>16416.349999999999</v>
      </c>
      <c r="J209" s="49">
        <v>-9.1999999999999998E-3</v>
      </c>
      <c r="K209" s="13"/>
      <c r="L209" s="13"/>
      <c r="M209" s="13"/>
      <c r="N209" s="13"/>
      <c r="O209" s="13"/>
      <c r="P209" s="13"/>
      <c r="Q209" s="13"/>
      <c r="R209" s="13"/>
      <c r="S209" s="13"/>
      <c r="T209" s="13"/>
      <c r="U209" s="13"/>
    </row>
    <row r="210" spans="1:21">
      <c r="A210" s="13"/>
      <c r="B210" s="47">
        <v>44718</v>
      </c>
      <c r="C210" s="46">
        <v>195.68</v>
      </c>
      <c r="D210" s="49">
        <v>-2.1499999999999998E-2</v>
      </c>
      <c r="E210" s="13"/>
      <c r="F210" s="13"/>
      <c r="G210" s="13"/>
      <c r="H210" s="47">
        <v>44718</v>
      </c>
      <c r="I210" s="48">
        <v>16569.55</v>
      </c>
      <c r="J210" s="49">
        <v>-8.9999999999999998E-4</v>
      </c>
      <c r="K210" s="13"/>
      <c r="L210" s="13"/>
      <c r="M210" s="13"/>
      <c r="N210" s="13"/>
      <c r="O210" s="13"/>
      <c r="P210" s="13"/>
      <c r="Q210" s="13"/>
      <c r="R210" s="13"/>
      <c r="S210" s="13"/>
      <c r="T210" s="13"/>
      <c r="U210" s="13"/>
    </row>
    <row r="211" spans="1:21">
      <c r="A211" s="13"/>
      <c r="B211" s="47">
        <v>44626</v>
      </c>
      <c r="C211" s="46">
        <v>199.97</v>
      </c>
      <c r="D211" s="49">
        <v>-5.0000000000000001E-4</v>
      </c>
      <c r="E211" s="13"/>
      <c r="F211" s="13"/>
      <c r="G211" s="13"/>
      <c r="H211" s="47">
        <v>44626</v>
      </c>
      <c r="I211" s="48">
        <v>16584.3</v>
      </c>
      <c r="J211" s="49">
        <v>-2.5999999999999999E-3</v>
      </c>
      <c r="K211" s="13"/>
      <c r="L211" s="13"/>
      <c r="M211" s="13"/>
      <c r="N211" s="13"/>
      <c r="O211" s="13"/>
      <c r="P211" s="13"/>
      <c r="Q211" s="13"/>
      <c r="R211" s="13"/>
      <c r="S211" s="13"/>
      <c r="T211" s="13"/>
      <c r="U211" s="13"/>
    </row>
    <row r="212" spans="1:21">
      <c r="A212" s="13"/>
      <c r="B212" s="47">
        <v>44598</v>
      </c>
      <c r="C212" s="46">
        <v>200.08</v>
      </c>
      <c r="D212" s="49">
        <v>-1.34E-2</v>
      </c>
      <c r="E212" s="13"/>
      <c r="F212" s="13"/>
      <c r="G212" s="13"/>
      <c r="H212" s="47">
        <v>44598</v>
      </c>
      <c r="I212" s="48">
        <v>16628</v>
      </c>
      <c r="J212" s="49">
        <v>6.4000000000000003E-3</v>
      </c>
      <c r="K212" s="13"/>
      <c r="L212" s="13"/>
      <c r="M212" s="13"/>
      <c r="N212" s="13"/>
      <c r="O212" s="13"/>
      <c r="P212" s="13"/>
      <c r="Q212" s="13"/>
      <c r="R212" s="13"/>
      <c r="S212" s="13"/>
      <c r="T212" s="13"/>
      <c r="U212" s="13"/>
    </row>
    <row r="213" spans="1:21">
      <c r="A213" s="13"/>
      <c r="B213" s="47">
        <v>44567</v>
      </c>
      <c r="C213" s="46">
        <v>202.79</v>
      </c>
      <c r="D213" s="49">
        <v>-4.8099999999999997E-2</v>
      </c>
      <c r="E213" s="13"/>
      <c r="F213" s="13"/>
      <c r="G213" s="13"/>
      <c r="H213" s="47">
        <v>44567</v>
      </c>
      <c r="I213" s="48">
        <v>16522.75</v>
      </c>
      <c r="J213" s="49">
        <v>-3.7000000000000002E-3</v>
      </c>
      <c r="K213" s="13"/>
      <c r="L213" s="13"/>
      <c r="M213" s="13"/>
      <c r="N213" s="13"/>
      <c r="O213" s="13"/>
      <c r="P213" s="13"/>
      <c r="Q213" s="13"/>
      <c r="R213" s="13"/>
      <c r="S213" s="13"/>
      <c r="T213" s="13"/>
      <c r="U213" s="13"/>
    </row>
    <row r="214" spans="1:21">
      <c r="A214" s="13"/>
      <c r="B214" s="46" t="s">
        <v>684</v>
      </c>
      <c r="C214" s="46">
        <v>213.03</v>
      </c>
      <c r="D214" s="49">
        <v>-3.7900000000000003E-2</v>
      </c>
      <c r="E214" s="13"/>
      <c r="F214" s="13"/>
      <c r="G214" s="13"/>
      <c r="H214" s="46" t="s">
        <v>684</v>
      </c>
      <c r="I214" s="48">
        <v>16584.55</v>
      </c>
      <c r="J214" s="49">
        <v>-4.5999999999999999E-3</v>
      </c>
      <c r="K214" s="13"/>
      <c r="L214" s="13"/>
      <c r="M214" s="13"/>
      <c r="N214" s="13"/>
      <c r="O214" s="13"/>
      <c r="P214" s="13"/>
      <c r="Q214" s="13"/>
      <c r="R214" s="13"/>
      <c r="S214" s="13"/>
      <c r="T214" s="13"/>
      <c r="U214" s="13"/>
    </row>
    <row r="215" spans="1:21">
      <c r="A215" s="13"/>
      <c r="B215" s="46" t="s">
        <v>685</v>
      </c>
      <c r="C215" s="46">
        <v>221.42</v>
      </c>
      <c r="D215" s="49">
        <v>5.3499999999999999E-2</v>
      </c>
      <c r="E215" s="13"/>
      <c r="F215" s="13"/>
      <c r="G215" s="13"/>
      <c r="H215" s="46" t="s">
        <v>685</v>
      </c>
      <c r="I215" s="48">
        <v>16661.400000000001</v>
      </c>
      <c r="J215" s="49">
        <v>1.89E-2</v>
      </c>
      <c r="K215" s="13"/>
      <c r="L215" s="13"/>
      <c r="M215" s="13"/>
      <c r="N215" s="13"/>
      <c r="O215" s="13"/>
      <c r="P215" s="13"/>
      <c r="Q215" s="13"/>
      <c r="R215" s="13"/>
      <c r="S215" s="13"/>
      <c r="T215" s="13"/>
      <c r="U215" s="13"/>
    </row>
    <row r="216" spans="1:21">
      <c r="A216" s="13"/>
      <c r="B216" s="46" t="s">
        <v>686</v>
      </c>
      <c r="C216" s="46">
        <v>210.18</v>
      </c>
      <c r="D216" s="49">
        <v>3.3500000000000002E-2</v>
      </c>
      <c r="E216" s="13"/>
      <c r="F216" s="13"/>
      <c r="G216" s="13"/>
      <c r="H216" s="46" t="s">
        <v>686</v>
      </c>
      <c r="I216" s="48">
        <v>16352.45</v>
      </c>
      <c r="J216" s="49">
        <v>1.1299999999999999E-2</v>
      </c>
      <c r="K216" s="13"/>
      <c r="L216" s="13"/>
      <c r="M216" s="13"/>
      <c r="N216" s="13"/>
      <c r="O216" s="13"/>
      <c r="P216" s="13"/>
      <c r="Q216" s="13"/>
      <c r="R216" s="13"/>
      <c r="S216" s="13"/>
      <c r="T216" s="13"/>
      <c r="U216" s="13"/>
    </row>
    <row r="217" spans="1:21">
      <c r="A217" s="13"/>
      <c r="B217" s="46" t="s">
        <v>687</v>
      </c>
      <c r="C217" s="46">
        <v>203.36</v>
      </c>
      <c r="D217" s="49">
        <v>3.5200000000000002E-2</v>
      </c>
      <c r="E217" s="13"/>
      <c r="F217" s="13"/>
      <c r="G217" s="13"/>
      <c r="H217" s="46" t="s">
        <v>687</v>
      </c>
      <c r="I217" s="48">
        <v>16170.15</v>
      </c>
      <c r="J217" s="49">
        <v>8.9999999999999993E-3</v>
      </c>
      <c r="K217" s="13"/>
      <c r="L217" s="13"/>
      <c r="M217" s="13"/>
      <c r="N217" s="13"/>
      <c r="O217" s="13"/>
      <c r="P217" s="13"/>
      <c r="Q217" s="13"/>
      <c r="R217" s="13"/>
      <c r="S217" s="13"/>
      <c r="T217" s="13"/>
      <c r="U217" s="13"/>
    </row>
    <row r="218" spans="1:21">
      <c r="A218" s="13"/>
      <c r="B218" s="46" t="s">
        <v>688</v>
      </c>
      <c r="C218" s="46">
        <v>196.44</v>
      </c>
      <c r="D218" s="49">
        <v>-1.6299999999999999E-2</v>
      </c>
      <c r="E218" s="13"/>
      <c r="F218" s="13"/>
      <c r="G218" s="13"/>
      <c r="H218" s="46" t="s">
        <v>688</v>
      </c>
      <c r="I218" s="48">
        <v>16025.8</v>
      </c>
      <c r="J218" s="49">
        <v>-6.1999999999999998E-3</v>
      </c>
      <c r="K218" s="13"/>
      <c r="L218" s="13"/>
      <c r="M218" s="13"/>
      <c r="N218" s="13"/>
      <c r="O218" s="13"/>
      <c r="P218" s="13"/>
      <c r="Q218" s="13"/>
      <c r="R218" s="13"/>
      <c r="S218" s="13"/>
      <c r="T218" s="13"/>
      <c r="U218" s="13"/>
    </row>
    <row r="219" spans="1:21">
      <c r="A219" s="13"/>
      <c r="B219" s="46" t="s">
        <v>689</v>
      </c>
      <c r="C219" s="46">
        <v>199.69</v>
      </c>
      <c r="D219" s="49">
        <v>-3.5499999999999997E-2</v>
      </c>
      <c r="E219" s="13"/>
      <c r="F219" s="13"/>
      <c r="G219" s="13"/>
      <c r="H219" s="46" t="s">
        <v>689</v>
      </c>
      <c r="I219" s="48">
        <v>16125.15</v>
      </c>
      <c r="J219" s="49">
        <v>-5.4999999999999997E-3</v>
      </c>
      <c r="K219" s="13"/>
      <c r="L219" s="13"/>
      <c r="M219" s="13"/>
      <c r="N219" s="13"/>
      <c r="O219" s="13"/>
      <c r="P219" s="13"/>
      <c r="Q219" s="13"/>
      <c r="R219" s="13"/>
      <c r="S219" s="13"/>
      <c r="T219" s="13"/>
      <c r="U219" s="13"/>
    </row>
    <row r="220" spans="1:21">
      <c r="A220" s="13"/>
      <c r="B220" s="46" t="s">
        <v>690</v>
      </c>
      <c r="C220" s="46">
        <v>207.05</v>
      </c>
      <c r="D220" s="49">
        <v>-2.5000000000000001E-2</v>
      </c>
      <c r="E220" s="13"/>
      <c r="F220" s="13"/>
      <c r="G220" s="13"/>
      <c r="H220" s="46" t="s">
        <v>690</v>
      </c>
      <c r="I220" s="48">
        <v>16214.7</v>
      </c>
      <c r="J220" s="49">
        <v>-3.2000000000000002E-3</v>
      </c>
      <c r="K220" s="13"/>
      <c r="L220" s="13"/>
      <c r="M220" s="13"/>
      <c r="N220" s="13"/>
      <c r="O220" s="13"/>
      <c r="P220" s="13"/>
      <c r="Q220" s="13"/>
      <c r="R220" s="13"/>
      <c r="S220" s="13"/>
      <c r="T220" s="13"/>
      <c r="U220" s="13"/>
    </row>
    <row r="221" spans="1:21">
      <c r="A221" s="13"/>
      <c r="B221" s="46" t="s">
        <v>691</v>
      </c>
      <c r="C221" s="46">
        <v>212.36</v>
      </c>
      <c r="D221" s="49">
        <v>2.46E-2</v>
      </c>
      <c r="E221" s="13"/>
      <c r="F221" s="13"/>
      <c r="G221" s="13"/>
      <c r="H221" s="46" t="s">
        <v>691</v>
      </c>
      <c r="I221" s="48">
        <v>16266.15</v>
      </c>
      <c r="J221" s="49">
        <v>2.8899999999999999E-2</v>
      </c>
      <c r="K221" s="13"/>
      <c r="L221" s="13"/>
      <c r="M221" s="13"/>
      <c r="N221" s="13"/>
      <c r="O221" s="13"/>
      <c r="P221" s="13"/>
      <c r="Q221" s="13"/>
      <c r="R221" s="13"/>
      <c r="S221" s="13"/>
      <c r="T221" s="13"/>
      <c r="U221" s="13"/>
    </row>
    <row r="222" spans="1:21">
      <c r="A222" s="13"/>
      <c r="B222" s="46" t="s">
        <v>692</v>
      </c>
      <c r="C222" s="46">
        <v>207.27</v>
      </c>
      <c r="D222" s="49">
        <v>-3.2800000000000003E-2</v>
      </c>
      <c r="E222" s="13"/>
      <c r="F222" s="13"/>
      <c r="G222" s="13"/>
      <c r="H222" s="46" t="s">
        <v>692</v>
      </c>
      <c r="I222" s="48">
        <v>15809.4</v>
      </c>
      <c r="J222" s="49">
        <v>-2.6499999999999999E-2</v>
      </c>
      <c r="K222" s="13"/>
      <c r="L222" s="13"/>
      <c r="M222" s="13"/>
      <c r="N222" s="13"/>
      <c r="O222" s="13"/>
      <c r="P222" s="13"/>
      <c r="Q222" s="13"/>
      <c r="R222" s="13"/>
      <c r="S222" s="13"/>
      <c r="T222" s="13"/>
      <c r="U222" s="13"/>
    </row>
    <row r="223" spans="1:21">
      <c r="A223" s="13"/>
      <c r="B223" s="46" t="s">
        <v>693</v>
      </c>
      <c r="C223" s="46">
        <v>214.3</v>
      </c>
      <c r="D223" s="49">
        <v>-3.49E-2</v>
      </c>
      <c r="E223" s="13"/>
      <c r="F223" s="13"/>
      <c r="G223" s="13"/>
      <c r="H223" s="46" t="s">
        <v>693</v>
      </c>
      <c r="I223" s="48">
        <v>16240.3</v>
      </c>
      <c r="J223" s="49">
        <v>-1.1999999999999999E-3</v>
      </c>
      <c r="K223" s="13"/>
      <c r="L223" s="13"/>
      <c r="M223" s="13"/>
      <c r="N223" s="13"/>
      <c r="O223" s="13"/>
      <c r="P223" s="13"/>
      <c r="Q223" s="13"/>
      <c r="R223" s="13"/>
      <c r="S223" s="13"/>
      <c r="T223" s="13"/>
      <c r="U223" s="13"/>
    </row>
    <row r="224" spans="1:21">
      <c r="A224" s="13"/>
      <c r="B224" s="46" t="s">
        <v>694</v>
      </c>
      <c r="C224" s="46">
        <v>222.04</v>
      </c>
      <c r="D224" s="49">
        <v>2.5399999999999999E-2</v>
      </c>
      <c r="E224" s="13"/>
      <c r="F224" s="13"/>
      <c r="G224" s="13"/>
      <c r="H224" s="46" t="s">
        <v>694</v>
      </c>
      <c r="I224" s="48">
        <v>16259.3</v>
      </c>
      <c r="J224" s="49">
        <v>2.63E-2</v>
      </c>
      <c r="K224" s="13"/>
      <c r="L224" s="13"/>
      <c r="M224" s="13"/>
      <c r="N224" s="13"/>
      <c r="O224" s="13"/>
      <c r="P224" s="13"/>
      <c r="Q224" s="13"/>
      <c r="R224" s="13"/>
      <c r="S224" s="13"/>
      <c r="T224" s="13"/>
      <c r="U224" s="13"/>
    </row>
    <row r="225" spans="1:21">
      <c r="A225" s="13"/>
      <c r="B225" s="46" t="s">
        <v>695</v>
      </c>
      <c r="C225" s="46">
        <v>216.53</v>
      </c>
      <c r="D225" s="49">
        <v>7.3899999999999993E-2</v>
      </c>
      <c r="E225" s="13"/>
      <c r="F225" s="13"/>
      <c r="G225" s="13"/>
      <c r="H225" s="46" t="s">
        <v>695</v>
      </c>
      <c r="I225" s="48">
        <v>15842.3</v>
      </c>
      <c r="J225" s="49">
        <v>3.8E-3</v>
      </c>
      <c r="K225" s="13"/>
      <c r="L225" s="13"/>
      <c r="M225" s="13"/>
      <c r="N225" s="13"/>
      <c r="O225" s="13"/>
      <c r="P225" s="13"/>
      <c r="Q225" s="13"/>
      <c r="R225" s="13"/>
      <c r="S225" s="13"/>
      <c r="T225" s="13"/>
      <c r="U225" s="13"/>
    </row>
    <row r="226" spans="1:21">
      <c r="A226" s="13"/>
      <c r="B226" s="46" t="s">
        <v>696</v>
      </c>
      <c r="C226" s="46">
        <v>201.63</v>
      </c>
      <c r="D226" s="49">
        <v>-3.2300000000000002E-2</v>
      </c>
      <c r="E226" s="13"/>
      <c r="F226" s="13"/>
      <c r="G226" s="13"/>
      <c r="H226" s="46" t="s">
        <v>696</v>
      </c>
      <c r="I226" s="48">
        <v>15782.15</v>
      </c>
      <c r="J226" s="49">
        <v>-1.6000000000000001E-3</v>
      </c>
      <c r="K226" s="13"/>
      <c r="L226" s="13"/>
      <c r="M226" s="13"/>
      <c r="N226" s="13"/>
      <c r="O226" s="13"/>
      <c r="P226" s="13"/>
      <c r="Q226" s="13"/>
      <c r="R226" s="13"/>
      <c r="S226" s="13"/>
      <c r="T226" s="13"/>
      <c r="U226" s="13"/>
    </row>
    <row r="227" spans="1:21">
      <c r="A227" s="13"/>
      <c r="B227" s="47">
        <v>44900</v>
      </c>
      <c r="C227" s="46">
        <v>208.36</v>
      </c>
      <c r="D227" s="49">
        <v>-4.8500000000000001E-2</v>
      </c>
      <c r="E227" s="13"/>
      <c r="F227" s="13"/>
      <c r="G227" s="13"/>
      <c r="H227" s="47">
        <v>44900</v>
      </c>
      <c r="I227" s="48">
        <v>15808</v>
      </c>
      <c r="J227" s="49">
        <v>-2.2200000000000001E-2</v>
      </c>
      <c r="K227" s="13"/>
      <c r="L227" s="13"/>
      <c r="M227" s="13"/>
      <c r="N227" s="13"/>
      <c r="O227" s="13"/>
      <c r="P227" s="13"/>
      <c r="Q227" s="13"/>
      <c r="R227" s="13"/>
      <c r="S227" s="13"/>
      <c r="T227" s="13"/>
      <c r="U227" s="13"/>
    </row>
    <row r="228" spans="1:21">
      <c r="A228" s="13"/>
      <c r="B228" s="47">
        <v>44870</v>
      </c>
      <c r="C228" s="46">
        <v>218.99</v>
      </c>
      <c r="D228" s="49">
        <v>6.4999999999999997E-3</v>
      </c>
      <c r="E228" s="13"/>
      <c r="F228" s="13"/>
      <c r="G228" s="13"/>
      <c r="H228" s="47">
        <v>44870</v>
      </c>
      <c r="I228" s="48">
        <v>16167.1</v>
      </c>
      <c r="J228" s="49">
        <v>-4.4999999999999997E-3</v>
      </c>
      <c r="K228" s="13"/>
      <c r="L228" s="13"/>
      <c r="M228" s="13"/>
      <c r="N228" s="13"/>
      <c r="O228" s="13"/>
      <c r="P228" s="13"/>
      <c r="Q228" s="13"/>
      <c r="R228" s="13"/>
      <c r="S228" s="13"/>
      <c r="T228" s="13"/>
      <c r="U228" s="13"/>
    </row>
    <row r="229" spans="1:21">
      <c r="A229" s="13"/>
      <c r="B229" s="47">
        <v>44839</v>
      </c>
      <c r="C229" s="46">
        <v>217.58</v>
      </c>
      <c r="D229" s="49">
        <v>-4.7199999999999999E-2</v>
      </c>
      <c r="E229" s="13"/>
      <c r="F229" s="13"/>
      <c r="G229" s="13"/>
      <c r="H229" s="47">
        <v>44839</v>
      </c>
      <c r="I229" s="48">
        <v>16240.05</v>
      </c>
      <c r="J229" s="49">
        <v>-3.8E-3</v>
      </c>
      <c r="K229" s="13"/>
      <c r="L229" s="13"/>
      <c r="M229" s="13"/>
      <c r="N229" s="13"/>
      <c r="O229" s="13"/>
      <c r="P229" s="13"/>
      <c r="Q229" s="13"/>
      <c r="R229" s="13"/>
      <c r="S229" s="13"/>
      <c r="T229" s="13"/>
      <c r="U229" s="13"/>
    </row>
    <row r="230" spans="1:21">
      <c r="A230" s="13"/>
      <c r="B230" s="47">
        <v>44809</v>
      </c>
      <c r="C230" s="46">
        <v>228.37</v>
      </c>
      <c r="D230" s="49">
        <v>-4.8000000000000001E-2</v>
      </c>
      <c r="E230" s="13"/>
      <c r="F230" s="13"/>
      <c r="G230" s="13"/>
      <c r="H230" s="47">
        <v>44809</v>
      </c>
      <c r="I230" s="48">
        <v>16301.85</v>
      </c>
      <c r="J230" s="49">
        <v>-6.7000000000000002E-3</v>
      </c>
      <c r="K230" s="13"/>
      <c r="L230" s="13"/>
      <c r="M230" s="13"/>
      <c r="N230" s="13"/>
      <c r="O230" s="13"/>
      <c r="P230" s="13"/>
      <c r="Q230" s="13"/>
      <c r="R230" s="13"/>
      <c r="S230" s="13"/>
      <c r="T230" s="13"/>
      <c r="U230" s="13"/>
    </row>
    <row r="231" spans="1:21">
      <c r="A231" s="13"/>
      <c r="B231" s="47">
        <v>44717</v>
      </c>
      <c r="C231" s="46">
        <v>239.89</v>
      </c>
      <c r="D231" s="49">
        <v>-4.6899999999999997E-2</v>
      </c>
      <c r="E231" s="13"/>
      <c r="F231" s="13"/>
      <c r="G231" s="13"/>
      <c r="H231" s="47">
        <v>44717</v>
      </c>
      <c r="I231" s="48">
        <v>16411.25</v>
      </c>
      <c r="J231" s="49">
        <v>-1.6299999999999999E-2</v>
      </c>
      <c r="K231" s="13"/>
      <c r="L231" s="13"/>
      <c r="M231" s="13"/>
      <c r="N231" s="13"/>
      <c r="O231" s="13"/>
      <c r="P231" s="13"/>
      <c r="Q231" s="13"/>
      <c r="R231" s="13"/>
      <c r="S231" s="13"/>
      <c r="T231" s="13"/>
      <c r="U231" s="13"/>
    </row>
    <row r="232" spans="1:21">
      <c r="A232" s="13"/>
      <c r="B232" s="47">
        <v>44686</v>
      </c>
      <c r="C232" s="46">
        <v>251.7</v>
      </c>
      <c r="D232" s="49">
        <v>-1.46E-2</v>
      </c>
      <c r="E232" s="13"/>
      <c r="F232" s="13"/>
      <c r="G232" s="13"/>
      <c r="H232" s="47">
        <v>44686</v>
      </c>
      <c r="I232" s="48">
        <v>16682.650000000001</v>
      </c>
      <c r="J232" s="49">
        <v>2.9999999999999997E-4</v>
      </c>
      <c r="K232" s="13"/>
      <c r="L232" s="13"/>
      <c r="M232" s="13"/>
      <c r="N232" s="13"/>
      <c r="O232" s="13"/>
      <c r="P232" s="13"/>
      <c r="Q232" s="13"/>
      <c r="R232" s="13"/>
      <c r="S232" s="13"/>
      <c r="T232" s="13"/>
      <c r="U232" s="13"/>
    </row>
    <row r="233" spans="1:21">
      <c r="A233" s="13"/>
      <c r="B233" s="47">
        <v>44656</v>
      </c>
      <c r="C233" s="46">
        <v>255.44</v>
      </c>
      <c r="D233" s="49">
        <v>-2.1499999999999998E-2</v>
      </c>
      <c r="E233" s="13"/>
      <c r="F233" s="13"/>
      <c r="G233" s="13"/>
      <c r="H233" s="47">
        <v>44656</v>
      </c>
      <c r="I233" s="48">
        <v>16677.599999999999</v>
      </c>
      <c r="J233" s="49">
        <v>-2.29E-2</v>
      </c>
      <c r="K233" s="13"/>
      <c r="L233" s="13"/>
      <c r="M233" s="13"/>
      <c r="N233" s="13"/>
      <c r="O233" s="13"/>
      <c r="P233" s="13"/>
      <c r="Q233" s="13"/>
      <c r="R233" s="13"/>
      <c r="S233" s="13"/>
      <c r="T233" s="13"/>
      <c r="U233" s="13"/>
    </row>
    <row r="234" spans="1:21">
      <c r="A234" s="13"/>
      <c r="B234" s="47">
        <v>44597</v>
      </c>
      <c r="C234" s="46">
        <v>261.06</v>
      </c>
      <c r="D234" s="49">
        <v>-1.6400000000000001E-2</v>
      </c>
      <c r="E234" s="13"/>
      <c r="F234" s="13"/>
      <c r="G234" s="13"/>
      <c r="H234" s="47">
        <v>44597</v>
      </c>
      <c r="I234" s="48">
        <v>17069.099999999999</v>
      </c>
      <c r="J234" s="49">
        <v>-2E-3</v>
      </c>
      <c r="K234" s="13"/>
      <c r="L234" s="13"/>
      <c r="M234" s="13"/>
      <c r="N234" s="13"/>
      <c r="O234" s="13"/>
      <c r="P234" s="13"/>
      <c r="Q234" s="13"/>
      <c r="R234" s="13"/>
      <c r="S234" s="13"/>
      <c r="T234" s="13"/>
      <c r="U234" s="13"/>
    </row>
    <row r="235" spans="1:21">
      <c r="A235" s="13"/>
      <c r="B235" s="46" t="s">
        <v>697</v>
      </c>
      <c r="C235" s="46">
        <v>265.42</v>
      </c>
      <c r="D235" s="49">
        <v>3.0700000000000002E-2</v>
      </c>
      <c r="E235" s="13"/>
      <c r="F235" s="13"/>
      <c r="G235" s="13"/>
      <c r="H235" s="46" t="s">
        <v>697</v>
      </c>
      <c r="I235" s="48">
        <v>17102.55</v>
      </c>
      <c r="J235" s="49">
        <v>-8.3000000000000001E-3</v>
      </c>
      <c r="K235" s="13"/>
      <c r="L235" s="13"/>
      <c r="M235" s="13"/>
      <c r="N235" s="13"/>
      <c r="O235" s="13"/>
      <c r="P235" s="13"/>
      <c r="Q235" s="13"/>
      <c r="R235" s="13"/>
      <c r="S235" s="13"/>
      <c r="T235" s="13"/>
      <c r="U235" s="13"/>
    </row>
    <row r="236" spans="1:21">
      <c r="A236" s="13"/>
      <c r="B236" s="46" t="s">
        <v>698</v>
      </c>
      <c r="C236" s="46">
        <v>257.52</v>
      </c>
      <c r="D236" s="49">
        <v>3.8899999999999997E-2</v>
      </c>
      <c r="E236" s="13"/>
      <c r="F236" s="13"/>
      <c r="G236" s="13"/>
      <c r="H236" s="46" t="s">
        <v>698</v>
      </c>
      <c r="I236" s="48">
        <v>17245.05</v>
      </c>
      <c r="J236" s="49">
        <v>1.21E-2</v>
      </c>
      <c r="K236" s="13"/>
      <c r="L236" s="13"/>
      <c r="M236" s="13"/>
      <c r="N236" s="13"/>
      <c r="O236" s="13"/>
      <c r="P236" s="13"/>
      <c r="Q236" s="13"/>
      <c r="R236" s="13"/>
      <c r="S236" s="13"/>
      <c r="T236" s="13"/>
      <c r="U236" s="13"/>
    </row>
    <row r="237" spans="1:21">
      <c r="A237" s="13"/>
      <c r="B237" s="46" t="s">
        <v>699</v>
      </c>
      <c r="C237" s="46">
        <v>247.87</v>
      </c>
      <c r="D237" s="49">
        <v>-1.0800000000000001E-2</v>
      </c>
      <c r="E237" s="13"/>
      <c r="F237" s="13"/>
      <c r="G237" s="13"/>
      <c r="H237" s="46" t="s">
        <v>699</v>
      </c>
      <c r="I237" s="48">
        <v>17038.400000000001</v>
      </c>
      <c r="J237" s="49">
        <v>-9.4000000000000004E-3</v>
      </c>
      <c r="K237" s="13"/>
      <c r="L237" s="13"/>
      <c r="M237" s="13"/>
      <c r="N237" s="13"/>
      <c r="O237" s="13"/>
      <c r="P237" s="13"/>
      <c r="Q237" s="13"/>
      <c r="R237" s="13"/>
      <c r="S237" s="13"/>
      <c r="T237" s="13"/>
      <c r="U237" s="13"/>
    </row>
    <row r="238" spans="1:21">
      <c r="A238" s="13"/>
      <c r="B238" s="46" t="s">
        <v>700</v>
      </c>
      <c r="C238" s="46">
        <v>250.58</v>
      </c>
      <c r="D238" s="49">
        <v>-1.1599999999999999E-2</v>
      </c>
      <c r="E238" s="13"/>
      <c r="F238" s="13"/>
      <c r="G238" s="13"/>
      <c r="H238" s="46" t="s">
        <v>700</v>
      </c>
      <c r="I238" s="48">
        <v>17200.8</v>
      </c>
      <c r="J238" s="49">
        <v>1.46E-2</v>
      </c>
      <c r="K238" s="13"/>
      <c r="L238" s="13"/>
      <c r="M238" s="13"/>
      <c r="N238" s="13"/>
      <c r="O238" s="13"/>
      <c r="P238" s="13"/>
      <c r="Q238" s="13"/>
      <c r="R238" s="13"/>
      <c r="S238" s="13"/>
      <c r="T238" s="13"/>
      <c r="U238" s="13"/>
    </row>
    <row r="239" spans="1:21">
      <c r="A239" s="13"/>
      <c r="B239" s="46" t="s">
        <v>701</v>
      </c>
      <c r="C239" s="46">
        <v>253.51</v>
      </c>
      <c r="D239" s="49">
        <v>3.3999999999999998E-3</v>
      </c>
      <c r="E239" s="13"/>
      <c r="F239" s="13"/>
      <c r="G239" s="13"/>
      <c r="H239" s="46" t="s">
        <v>701</v>
      </c>
      <c r="I239" s="48">
        <v>16953.95</v>
      </c>
      <c r="J239" s="49">
        <v>-1.2699999999999999E-2</v>
      </c>
      <c r="K239" s="13"/>
      <c r="L239" s="13"/>
      <c r="M239" s="13"/>
      <c r="N239" s="13"/>
      <c r="O239" s="13"/>
      <c r="P239" s="13"/>
      <c r="Q239" s="13"/>
      <c r="R239" s="13"/>
      <c r="S239" s="13"/>
      <c r="T239" s="13"/>
      <c r="U239" s="13"/>
    </row>
    <row r="240" spans="1:21">
      <c r="A240" s="13"/>
      <c r="B240" s="46" t="s">
        <v>702</v>
      </c>
      <c r="C240" s="46">
        <v>252.66</v>
      </c>
      <c r="D240" s="49">
        <v>6.1000000000000004E-3</v>
      </c>
      <c r="E240" s="13"/>
      <c r="F240" s="13"/>
      <c r="G240" s="13"/>
      <c r="H240" s="46" t="s">
        <v>702</v>
      </c>
      <c r="I240" s="48">
        <v>17171.95</v>
      </c>
      <c r="J240" s="49">
        <v>-1.2699999999999999E-2</v>
      </c>
      <c r="K240" s="13"/>
      <c r="L240" s="13"/>
      <c r="M240" s="13"/>
      <c r="N240" s="13"/>
      <c r="O240" s="13"/>
      <c r="P240" s="13"/>
      <c r="Q240" s="13"/>
      <c r="R240" s="13"/>
      <c r="S240" s="13"/>
      <c r="T240" s="13"/>
      <c r="U240" s="13"/>
    </row>
    <row r="241" spans="1:21">
      <c r="A241" s="13"/>
      <c r="B241" s="46" t="s">
        <v>703</v>
      </c>
      <c r="C241" s="46">
        <v>251.12</v>
      </c>
      <c r="D241" s="49">
        <v>1.2999999999999999E-2</v>
      </c>
      <c r="E241" s="13"/>
      <c r="F241" s="13"/>
      <c r="G241" s="13"/>
      <c r="H241" s="46" t="s">
        <v>703</v>
      </c>
      <c r="I241" s="48">
        <v>17392.599999999999</v>
      </c>
      <c r="J241" s="49">
        <v>1.49E-2</v>
      </c>
      <c r="K241" s="13"/>
      <c r="L241" s="13"/>
      <c r="M241" s="13"/>
      <c r="N241" s="13"/>
      <c r="O241" s="13"/>
      <c r="P241" s="13"/>
      <c r="Q241" s="13"/>
      <c r="R241" s="13"/>
      <c r="S241" s="13"/>
      <c r="T241" s="13"/>
      <c r="U241" s="13"/>
    </row>
    <row r="242" spans="1:21">
      <c r="A242" s="13"/>
      <c r="B242" s="46" t="s">
        <v>704</v>
      </c>
      <c r="C242" s="46">
        <v>247.89</v>
      </c>
      <c r="D242" s="49">
        <v>3.0000000000000001E-3</v>
      </c>
      <c r="E242" s="13"/>
      <c r="F242" s="13"/>
      <c r="G242" s="13"/>
      <c r="H242" s="46" t="s">
        <v>704</v>
      </c>
      <c r="I242" s="48">
        <v>17136.55</v>
      </c>
      <c r="J242" s="49">
        <v>1.0500000000000001E-2</v>
      </c>
      <c r="K242" s="13"/>
      <c r="L242" s="13"/>
      <c r="M242" s="13"/>
      <c r="N242" s="13"/>
      <c r="O242" s="13"/>
      <c r="P242" s="13"/>
      <c r="Q242" s="13"/>
      <c r="R242" s="13"/>
      <c r="S242" s="13"/>
      <c r="T242" s="13"/>
      <c r="U242" s="13"/>
    </row>
    <row r="243" spans="1:21">
      <c r="A243" s="13"/>
      <c r="B243" s="46" t="s">
        <v>705</v>
      </c>
      <c r="C243" s="46">
        <v>247.14</v>
      </c>
      <c r="D243" s="49">
        <v>-1.3100000000000001E-2</v>
      </c>
      <c r="E243" s="13"/>
      <c r="F243" s="13"/>
      <c r="G243" s="13"/>
      <c r="H243" s="46" t="s">
        <v>705</v>
      </c>
      <c r="I243" s="48">
        <v>16958.650000000001</v>
      </c>
      <c r="J243" s="49">
        <v>-1.2500000000000001E-2</v>
      </c>
      <c r="K243" s="13"/>
      <c r="L243" s="13"/>
      <c r="M243" s="13"/>
      <c r="N243" s="13"/>
      <c r="O243" s="13"/>
      <c r="P243" s="13"/>
      <c r="Q243" s="13"/>
      <c r="R243" s="13"/>
      <c r="S243" s="13"/>
      <c r="T243" s="13"/>
      <c r="U243" s="13"/>
    </row>
    <row r="244" spans="1:21">
      <c r="A244" s="13"/>
      <c r="B244" s="46" t="s">
        <v>706</v>
      </c>
      <c r="C244" s="46">
        <v>250.43</v>
      </c>
      <c r="D244" s="49">
        <v>-1.4999999999999999E-2</v>
      </c>
      <c r="E244" s="13"/>
      <c r="F244" s="13"/>
      <c r="G244" s="13"/>
      <c r="H244" s="46" t="s">
        <v>706</v>
      </c>
      <c r="I244" s="48">
        <v>17173.650000000001</v>
      </c>
      <c r="J244" s="49">
        <v>-1.7299999999999999E-2</v>
      </c>
      <c r="K244" s="13"/>
      <c r="L244" s="13"/>
      <c r="M244" s="13"/>
      <c r="N244" s="13"/>
      <c r="O244" s="13"/>
      <c r="P244" s="13"/>
      <c r="Q244" s="13"/>
      <c r="R244" s="13"/>
      <c r="S244" s="13"/>
      <c r="T244" s="13"/>
      <c r="U244" s="13"/>
    </row>
    <row r="245" spans="1:21">
      <c r="A245" s="13"/>
      <c r="B245" s="46" t="s">
        <v>707</v>
      </c>
      <c r="C245" s="46">
        <v>254.25</v>
      </c>
      <c r="D245" s="49">
        <v>1.5599999999999999E-2</v>
      </c>
      <c r="E245" s="13"/>
      <c r="F245" s="13"/>
      <c r="G245" s="13"/>
      <c r="H245" s="46" t="s">
        <v>707</v>
      </c>
      <c r="I245" s="48">
        <v>17475.650000000001</v>
      </c>
      <c r="J245" s="49">
        <v>-3.0999999999999999E-3</v>
      </c>
      <c r="K245" s="13"/>
      <c r="L245" s="13"/>
      <c r="M245" s="13"/>
      <c r="N245" s="13"/>
      <c r="O245" s="13"/>
      <c r="P245" s="13"/>
      <c r="Q245" s="13"/>
      <c r="R245" s="13"/>
      <c r="S245" s="13"/>
      <c r="T245" s="13"/>
      <c r="U245" s="13"/>
    </row>
    <row r="246" spans="1:21">
      <c r="A246" s="13"/>
      <c r="B246" s="47">
        <v>44899</v>
      </c>
      <c r="C246" s="46">
        <v>250.34</v>
      </c>
      <c r="D246" s="49">
        <v>-3.39E-2</v>
      </c>
      <c r="E246" s="13"/>
      <c r="F246" s="13"/>
      <c r="G246" s="13"/>
      <c r="H246" s="47">
        <v>44899</v>
      </c>
      <c r="I246" s="48">
        <v>17530.3</v>
      </c>
      <c r="J246" s="49">
        <v>-8.2000000000000007E-3</v>
      </c>
      <c r="K246" s="13"/>
      <c r="L246" s="13"/>
      <c r="M246" s="13"/>
      <c r="N246" s="13"/>
      <c r="O246" s="13"/>
      <c r="P246" s="13"/>
      <c r="Q246" s="13"/>
      <c r="R246" s="13"/>
      <c r="S246" s="13"/>
      <c r="T246" s="13"/>
      <c r="U246" s="13"/>
    </row>
    <row r="247" spans="1:21">
      <c r="A247" s="13"/>
      <c r="B247" s="47">
        <v>44869</v>
      </c>
      <c r="C247" s="46">
        <v>259.12</v>
      </c>
      <c r="D247" s="49">
        <v>-4.2700000000000002E-2</v>
      </c>
      <c r="E247" s="13"/>
      <c r="F247" s="13"/>
      <c r="G247" s="13"/>
      <c r="H247" s="47">
        <v>44869</v>
      </c>
      <c r="I247" s="48">
        <v>17674.95</v>
      </c>
      <c r="J247" s="49">
        <v>-6.1999999999999998E-3</v>
      </c>
      <c r="K247" s="13"/>
      <c r="L247" s="13"/>
      <c r="M247" s="13"/>
      <c r="N247" s="13"/>
      <c r="O247" s="13"/>
      <c r="P247" s="13"/>
      <c r="Q247" s="13"/>
      <c r="R247" s="13"/>
      <c r="S247" s="13"/>
      <c r="T247" s="13"/>
      <c r="U247" s="13"/>
    </row>
    <row r="248" spans="1:21">
      <c r="A248" s="13"/>
      <c r="B248" s="47">
        <v>44777</v>
      </c>
      <c r="C248" s="46">
        <v>270.67</v>
      </c>
      <c r="D248" s="49">
        <v>-8.9999999999999993E-3</v>
      </c>
      <c r="E248" s="13"/>
      <c r="F248" s="13"/>
      <c r="G248" s="13"/>
      <c r="H248" s="47">
        <v>44777</v>
      </c>
      <c r="I248" s="48">
        <v>17784.349999999999</v>
      </c>
      <c r="J248" s="49">
        <v>8.2000000000000007E-3</v>
      </c>
      <c r="K248" s="13"/>
      <c r="L248" s="13"/>
      <c r="M248" s="13"/>
      <c r="N248" s="13"/>
      <c r="O248" s="13"/>
      <c r="P248" s="13"/>
      <c r="Q248" s="13"/>
      <c r="R248" s="13"/>
      <c r="S248" s="13"/>
      <c r="T248" s="13"/>
      <c r="U248" s="13"/>
    </row>
    <row r="249" spans="1:21">
      <c r="A249" s="13"/>
      <c r="B249" s="47">
        <v>44746</v>
      </c>
      <c r="C249" s="46">
        <v>273.14</v>
      </c>
      <c r="D249" s="49">
        <v>-2.52E-2</v>
      </c>
      <c r="E249" s="13"/>
      <c r="F249" s="13"/>
      <c r="G249" s="13"/>
      <c r="H249" s="47">
        <v>44746</v>
      </c>
      <c r="I249" s="48">
        <v>17639.55</v>
      </c>
      <c r="J249" s="49">
        <v>-9.4000000000000004E-3</v>
      </c>
      <c r="K249" s="13"/>
      <c r="L249" s="13"/>
      <c r="M249" s="13"/>
      <c r="N249" s="13"/>
      <c r="O249" s="13"/>
      <c r="P249" s="13"/>
      <c r="Q249" s="13"/>
      <c r="R249" s="13"/>
      <c r="S249" s="13"/>
      <c r="T249" s="13"/>
      <c r="U249" s="13"/>
    </row>
    <row r="250" spans="1:21">
      <c r="A250" s="13"/>
      <c r="B250" s="47">
        <v>44716</v>
      </c>
      <c r="C250" s="46">
        <v>280.19</v>
      </c>
      <c r="D250" s="49">
        <v>-1.3100000000000001E-2</v>
      </c>
      <c r="E250" s="13"/>
      <c r="F250" s="13"/>
      <c r="G250" s="13"/>
      <c r="H250" s="47">
        <v>44716</v>
      </c>
      <c r="I250" s="48">
        <v>17807.650000000001</v>
      </c>
      <c r="J250" s="49">
        <v>-8.3000000000000001E-3</v>
      </c>
      <c r="K250" s="13"/>
      <c r="L250" s="13"/>
      <c r="M250" s="13"/>
      <c r="N250" s="13"/>
      <c r="O250" s="13"/>
      <c r="P250" s="13"/>
      <c r="Q250" s="13"/>
      <c r="R250" s="13"/>
      <c r="S250" s="13"/>
      <c r="T250" s="13"/>
      <c r="U250" s="13"/>
    </row>
    <row r="251" spans="1:21">
      <c r="A251" s="13"/>
      <c r="B251" s="47">
        <v>44685</v>
      </c>
      <c r="C251" s="46">
        <v>283.89999999999998</v>
      </c>
      <c r="D251" s="49">
        <v>4.7000000000000002E-3</v>
      </c>
      <c r="E251" s="13"/>
      <c r="F251" s="13"/>
      <c r="G251" s="13"/>
      <c r="H251" s="47">
        <v>44685</v>
      </c>
      <c r="I251" s="48">
        <v>17957.400000000001</v>
      </c>
      <c r="J251" s="49">
        <v>-5.3E-3</v>
      </c>
      <c r="K251" s="13"/>
      <c r="L251" s="13"/>
      <c r="M251" s="13"/>
      <c r="N251" s="13"/>
      <c r="O251" s="13"/>
      <c r="P251" s="13"/>
      <c r="Q251" s="13"/>
      <c r="R251" s="13"/>
      <c r="S251" s="13"/>
      <c r="T251" s="13"/>
      <c r="U251" s="13"/>
    </row>
    <row r="252" spans="1:21">
      <c r="A252" s="13"/>
      <c r="B252" s="47">
        <v>44655</v>
      </c>
      <c r="C252" s="46">
        <v>282.56</v>
      </c>
      <c r="D252" s="49">
        <v>-2.18E-2</v>
      </c>
      <c r="E252" s="13"/>
      <c r="F252" s="13"/>
      <c r="G252" s="13"/>
      <c r="H252" s="47">
        <v>44655</v>
      </c>
      <c r="I252" s="48">
        <v>18053.400000000001</v>
      </c>
      <c r="J252" s="49">
        <v>2.1700000000000001E-2</v>
      </c>
      <c r="K252" s="13"/>
      <c r="L252" s="13"/>
      <c r="M252" s="13"/>
      <c r="N252" s="13"/>
      <c r="O252" s="13"/>
      <c r="P252" s="13"/>
      <c r="Q252" s="13"/>
      <c r="R252" s="13"/>
      <c r="S252" s="13"/>
      <c r="T252" s="13"/>
      <c r="U252" s="13"/>
    </row>
    <row r="253" spans="1:21">
      <c r="A253" s="13"/>
      <c r="B253" s="47">
        <v>44565</v>
      </c>
      <c r="C253" s="46">
        <v>288.85000000000002</v>
      </c>
      <c r="D253" s="49">
        <v>-2.2200000000000001E-2</v>
      </c>
      <c r="E253" s="13"/>
      <c r="F253" s="13"/>
      <c r="G253" s="13"/>
      <c r="H253" s="47">
        <v>44565</v>
      </c>
      <c r="I253" s="48">
        <v>17670.45</v>
      </c>
      <c r="J253" s="49">
        <v>1.18E-2</v>
      </c>
      <c r="K253" s="13"/>
      <c r="L253" s="13"/>
      <c r="M253" s="13"/>
      <c r="N253" s="13"/>
      <c r="O253" s="13"/>
      <c r="P253" s="13"/>
      <c r="Q253" s="13"/>
      <c r="R253" s="13"/>
      <c r="S253" s="13"/>
      <c r="T253" s="13"/>
      <c r="U253" s="13"/>
    </row>
  </sheetData>
  <mergeCells count="3">
    <mergeCell ref="B3:D3"/>
    <mergeCell ref="Z3:AB3"/>
    <mergeCell ref="AW3:AY3"/>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7A31D6-50EA-4348-B0DF-88667F749BAD}">
  <dimension ref="A1:BQ95"/>
  <sheetViews>
    <sheetView topLeftCell="AU1" workbookViewId="0">
      <selection activeCell="BI23" sqref="BI23"/>
    </sheetView>
  </sheetViews>
  <sheetFormatPr defaultRowHeight="15"/>
  <cols>
    <col min="2" max="2" width="12.5703125" customWidth="1"/>
    <col min="3" max="3" width="11.85546875" customWidth="1"/>
    <col min="8" max="8" width="14" customWidth="1"/>
    <col min="9" max="9" width="12.140625" customWidth="1"/>
    <col min="25" max="25" width="12.28515625" customWidth="1"/>
    <col min="31" max="31" width="12" customWidth="1"/>
    <col min="49" max="49" width="12" customWidth="1"/>
    <col min="55" max="55" width="11.85546875" customWidth="1"/>
    <col min="60" max="60" width="19.28515625" customWidth="1"/>
  </cols>
  <sheetData>
    <row r="1" spans="1:69">
      <c r="A1" s="13"/>
      <c r="B1" s="13"/>
      <c r="C1" s="13"/>
      <c r="D1" s="13"/>
      <c r="E1" s="13"/>
      <c r="F1" s="13"/>
      <c r="G1" s="13"/>
      <c r="H1" s="13"/>
      <c r="I1" s="13"/>
      <c r="J1" s="13"/>
      <c r="K1" s="13"/>
      <c r="L1" s="13"/>
      <c r="M1" s="13"/>
      <c r="N1" s="13"/>
      <c r="O1" s="13"/>
      <c r="P1" s="13"/>
      <c r="Q1" s="13"/>
      <c r="R1" s="13"/>
      <c r="S1" s="13"/>
      <c r="T1" s="13"/>
      <c r="U1" s="13"/>
    </row>
    <row r="2" spans="1:69">
      <c r="A2" s="58" t="s">
        <v>125</v>
      </c>
      <c r="B2" s="51" t="s">
        <v>344</v>
      </c>
      <c r="C2" s="13"/>
      <c r="D2" s="13"/>
      <c r="E2" s="13"/>
      <c r="F2" s="13"/>
      <c r="G2" s="13"/>
      <c r="H2" s="13"/>
      <c r="I2" s="13"/>
      <c r="J2" s="13"/>
      <c r="K2" s="13"/>
      <c r="L2" s="13"/>
      <c r="M2" s="13"/>
      <c r="N2" s="13"/>
      <c r="O2" s="13"/>
      <c r="P2" s="13"/>
      <c r="Q2" s="13"/>
      <c r="R2" s="13"/>
      <c r="S2" s="13"/>
      <c r="T2" s="13"/>
      <c r="U2" s="13"/>
      <c r="X2" s="59" t="s">
        <v>127</v>
      </c>
      <c r="Y2" s="60" t="s">
        <v>345</v>
      </c>
      <c r="AV2" s="59" t="s">
        <v>129</v>
      </c>
      <c r="AW2" s="60" t="s">
        <v>130</v>
      </c>
    </row>
    <row r="3" spans="1:69" ht="18.75">
      <c r="A3" s="46"/>
      <c r="B3" s="110" t="s">
        <v>131</v>
      </c>
      <c r="C3" s="110"/>
      <c r="D3" s="110"/>
      <c r="E3" s="46"/>
      <c r="F3" s="46"/>
      <c r="G3" s="46"/>
      <c r="H3" s="46"/>
      <c r="I3" s="95" t="s">
        <v>132</v>
      </c>
      <c r="J3" s="57"/>
      <c r="K3" s="13"/>
      <c r="L3" s="13"/>
      <c r="M3" s="13"/>
      <c r="N3" s="13"/>
      <c r="O3" s="13"/>
      <c r="P3" s="13"/>
      <c r="Q3" s="13"/>
      <c r="R3" s="13"/>
      <c r="S3" s="13"/>
      <c r="T3" s="13"/>
      <c r="U3" s="13"/>
      <c r="Y3" s="110" t="s">
        <v>131</v>
      </c>
      <c r="Z3" s="110"/>
      <c r="AA3" s="110"/>
      <c r="AB3" s="13"/>
      <c r="AC3" s="13"/>
      <c r="AD3" s="13"/>
      <c r="AE3" s="13"/>
      <c r="AF3" s="96" t="s">
        <v>132</v>
      </c>
      <c r="AG3" s="40"/>
      <c r="AH3" s="13"/>
      <c r="AI3" s="13"/>
      <c r="AJ3" s="13"/>
      <c r="AK3" s="13"/>
      <c r="AL3" s="13"/>
      <c r="AM3" s="13"/>
      <c r="AN3" s="13"/>
      <c r="AO3" s="13"/>
      <c r="AP3" s="13"/>
      <c r="AQ3" s="13"/>
      <c r="AR3" s="13"/>
      <c r="AS3" s="13"/>
      <c r="AW3" s="111" t="s">
        <v>131</v>
      </c>
      <c r="AX3" s="111"/>
      <c r="AY3" s="111"/>
      <c r="AZ3" s="13"/>
      <c r="BA3" s="13"/>
      <c r="BB3" s="13"/>
      <c r="BC3" s="13"/>
      <c r="BD3" s="96" t="s">
        <v>132</v>
      </c>
      <c r="BE3" s="40"/>
      <c r="BF3" s="13"/>
      <c r="BG3" s="13"/>
      <c r="BH3" s="13"/>
      <c r="BI3" s="13"/>
      <c r="BJ3" s="13"/>
      <c r="BK3" s="13"/>
      <c r="BL3" s="13"/>
      <c r="BM3" s="13"/>
      <c r="BN3" s="13"/>
      <c r="BO3" s="13"/>
      <c r="BP3" s="13"/>
      <c r="BQ3" s="13"/>
    </row>
    <row r="4" spans="1:69" ht="15.75">
      <c r="A4" s="46"/>
      <c r="B4" s="50" t="s">
        <v>133</v>
      </c>
      <c r="C4" s="50" t="s">
        <v>134</v>
      </c>
      <c r="D4" s="50" t="s">
        <v>135</v>
      </c>
      <c r="E4" s="46"/>
      <c r="F4" s="46"/>
      <c r="G4" s="46"/>
      <c r="H4" s="50" t="s">
        <v>133</v>
      </c>
      <c r="I4" s="50" t="s">
        <v>134</v>
      </c>
      <c r="J4" s="50" t="s">
        <v>136</v>
      </c>
      <c r="K4" s="13"/>
      <c r="L4" s="13"/>
      <c r="M4" s="13"/>
      <c r="N4" s="13"/>
      <c r="O4" s="13"/>
      <c r="P4" s="13"/>
      <c r="Q4" s="13"/>
      <c r="R4" s="13"/>
      <c r="S4" s="13"/>
      <c r="T4" s="13"/>
      <c r="U4" s="13"/>
      <c r="Y4" s="50" t="s">
        <v>133</v>
      </c>
      <c r="Z4" s="50" t="s">
        <v>134</v>
      </c>
      <c r="AA4" s="50" t="s">
        <v>135</v>
      </c>
      <c r="AB4" s="13"/>
      <c r="AC4" s="13"/>
      <c r="AD4" s="13"/>
      <c r="AE4" s="50" t="s">
        <v>133</v>
      </c>
      <c r="AF4" s="50" t="s">
        <v>134</v>
      </c>
      <c r="AG4" s="50" t="s">
        <v>136</v>
      </c>
      <c r="AH4" s="13"/>
      <c r="AI4" s="13"/>
      <c r="AJ4" s="13" t="s">
        <v>137</v>
      </c>
      <c r="AK4" s="42"/>
      <c r="AL4" s="13"/>
      <c r="AM4" s="13"/>
      <c r="AN4" s="13"/>
      <c r="AO4" s="13"/>
      <c r="AP4" s="13"/>
      <c r="AQ4" s="13"/>
      <c r="AR4" s="13"/>
      <c r="AS4" s="13"/>
      <c r="AW4" s="50" t="s">
        <v>133</v>
      </c>
      <c r="AX4" s="50" t="s">
        <v>134</v>
      </c>
      <c r="AY4" s="50" t="s">
        <v>135</v>
      </c>
      <c r="AZ4" s="13"/>
      <c r="BA4" s="13"/>
      <c r="BB4" s="13"/>
      <c r="BC4" s="50" t="s">
        <v>133</v>
      </c>
      <c r="BD4" s="50" t="s">
        <v>134</v>
      </c>
      <c r="BE4" s="50" t="s">
        <v>136</v>
      </c>
      <c r="BF4" s="13"/>
      <c r="BG4" s="13"/>
      <c r="BH4" s="51" t="s">
        <v>137</v>
      </c>
      <c r="BI4" s="42"/>
      <c r="BJ4" s="13"/>
      <c r="BK4" s="13"/>
      <c r="BL4" s="13"/>
      <c r="BM4" s="13"/>
      <c r="BN4" s="13"/>
      <c r="BO4" s="13"/>
      <c r="BP4" s="13"/>
      <c r="BQ4" s="13"/>
    </row>
    <row r="5" spans="1:69">
      <c r="A5" s="13"/>
      <c r="B5" s="46" t="s">
        <v>708</v>
      </c>
      <c r="C5" s="46">
        <v>295.41000000000003</v>
      </c>
      <c r="D5" s="49">
        <v>3.5999999999999997E-2</v>
      </c>
      <c r="E5" s="13"/>
      <c r="F5" s="13"/>
      <c r="G5" s="13"/>
      <c r="H5" s="46" t="s">
        <v>708</v>
      </c>
      <c r="I5" s="48">
        <v>17464.75</v>
      </c>
      <c r="J5" s="49">
        <v>-1.9E-3</v>
      </c>
      <c r="K5" s="13"/>
      <c r="L5" s="13"/>
      <c r="M5" s="51" t="s">
        <v>137</v>
      </c>
      <c r="N5" s="42"/>
      <c r="O5" s="13"/>
      <c r="P5" s="13"/>
      <c r="Q5" s="13"/>
      <c r="R5" s="13"/>
      <c r="S5" s="13"/>
      <c r="T5" s="13"/>
      <c r="U5" s="13"/>
      <c r="Y5" s="46" t="s">
        <v>709</v>
      </c>
      <c r="Z5" s="46">
        <v>288.85000000000002</v>
      </c>
      <c r="AA5" s="49">
        <v>0.10340000000000001</v>
      </c>
      <c r="AB5" s="13"/>
      <c r="AC5" s="13"/>
      <c r="AD5" s="13"/>
      <c r="AE5" s="46" t="s">
        <v>709</v>
      </c>
      <c r="AF5" s="48">
        <v>17670.45</v>
      </c>
      <c r="AG5" s="49">
        <v>3.0200000000000001E-2</v>
      </c>
      <c r="AH5" s="13"/>
      <c r="AI5" s="13"/>
      <c r="AJ5" s="13"/>
      <c r="AK5" s="13"/>
      <c r="AL5" s="13"/>
      <c r="AM5" s="13"/>
      <c r="AN5" s="13"/>
      <c r="AO5" s="13"/>
      <c r="AP5" s="13"/>
      <c r="AQ5" s="13"/>
      <c r="AR5" s="13"/>
      <c r="AS5" s="13"/>
      <c r="AW5" s="47">
        <v>44564</v>
      </c>
      <c r="AX5" s="46">
        <v>295.41000000000003</v>
      </c>
      <c r="AY5" s="49">
        <v>0.15909999999999999</v>
      </c>
      <c r="AZ5" s="13"/>
      <c r="BA5" s="13"/>
      <c r="BB5" s="13"/>
      <c r="BC5" s="47">
        <v>44564</v>
      </c>
      <c r="BD5" s="48">
        <v>17464.75</v>
      </c>
      <c r="BE5" s="49">
        <v>3.9899999999999998E-2</v>
      </c>
      <c r="BF5" s="13"/>
      <c r="BG5" s="13"/>
      <c r="BH5" s="13"/>
      <c r="BI5" s="13"/>
      <c r="BJ5" s="13"/>
      <c r="BK5" s="13"/>
      <c r="BL5" s="13"/>
      <c r="BM5" s="13"/>
      <c r="BN5" s="13"/>
      <c r="BO5" s="13"/>
      <c r="BP5" s="13"/>
      <c r="BQ5" s="13"/>
    </row>
    <row r="6" spans="1:69">
      <c r="A6" s="13"/>
      <c r="B6" s="46" t="s">
        <v>710</v>
      </c>
      <c r="C6" s="46">
        <v>285.14999999999998</v>
      </c>
      <c r="D6" s="49">
        <v>1.46E-2</v>
      </c>
      <c r="E6" s="13"/>
      <c r="F6" s="13"/>
      <c r="G6" s="13"/>
      <c r="H6" s="46" t="s">
        <v>710</v>
      </c>
      <c r="I6" s="48">
        <v>17498.25</v>
      </c>
      <c r="J6" s="49">
        <v>0.01</v>
      </c>
      <c r="K6" s="13"/>
      <c r="L6" s="13"/>
      <c r="M6" s="13"/>
      <c r="N6" s="13"/>
      <c r="O6" s="13"/>
      <c r="P6" s="13"/>
      <c r="Q6" s="13"/>
      <c r="R6" s="13"/>
      <c r="S6" s="13"/>
      <c r="T6" s="13"/>
      <c r="U6" s="13"/>
      <c r="Y6" s="46" t="s">
        <v>711</v>
      </c>
      <c r="Z6" s="46">
        <v>261.77999999999997</v>
      </c>
      <c r="AA6" s="49">
        <v>2.46E-2</v>
      </c>
      <c r="AB6" s="13"/>
      <c r="AC6" s="13"/>
      <c r="AD6" s="13"/>
      <c r="AE6" s="46" t="s">
        <v>711</v>
      </c>
      <c r="AF6" s="48">
        <v>17153</v>
      </c>
      <c r="AG6" s="49">
        <v>-7.7999999999999996E-3</v>
      </c>
      <c r="AH6" s="13"/>
      <c r="AI6" s="13"/>
      <c r="AJ6" s="43" t="s">
        <v>142</v>
      </c>
      <c r="AK6" s="44"/>
      <c r="AL6" s="13"/>
      <c r="AM6" s="13"/>
      <c r="AN6" s="13"/>
      <c r="AO6" s="13"/>
      <c r="AP6" s="13"/>
      <c r="AQ6" s="13"/>
      <c r="AR6" s="13"/>
      <c r="AS6" s="13"/>
      <c r="AW6" s="47">
        <v>44563</v>
      </c>
      <c r="AX6" s="46">
        <v>254.86</v>
      </c>
      <c r="AY6" s="49">
        <v>-5.4300000000000001E-2</v>
      </c>
      <c r="AZ6" s="13"/>
      <c r="BA6" s="13"/>
      <c r="BB6" s="13"/>
      <c r="BC6" s="47">
        <v>44563</v>
      </c>
      <c r="BD6" s="48">
        <v>16793.900000000001</v>
      </c>
      <c r="BE6" s="49">
        <v>-3.15E-2</v>
      </c>
      <c r="BF6" s="13"/>
      <c r="BG6" s="13"/>
      <c r="BH6" s="43" t="s">
        <v>142</v>
      </c>
      <c r="BI6" s="44"/>
      <c r="BJ6" s="13"/>
      <c r="BK6" s="13"/>
      <c r="BL6" s="13"/>
      <c r="BM6" s="13"/>
      <c r="BN6" s="13"/>
      <c r="BO6" s="13"/>
      <c r="BP6" s="13"/>
      <c r="BQ6" s="13"/>
    </row>
    <row r="7" spans="1:69">
      <c r="A7" s="13"/>
      <c r="B7" s="46" t="s">
        <v>712</v>
      </c>
      <c r="C7" s="46">
        <v>281.05</v>
      </c>
      <c r="D7" s="49">
        <v>5.4199999999999998E-2</v>
      </c>
      <c r="E7" s="13"/>
      <c r="F7" s="13"/>
      <c r="G7" s="13"/>
      <c r="H7" s="46" t="s">
        <v>712</v>
      </c>
      <c r="I7" s="48">
        <v>17325.3</v>
      </c>
      <c r="J7" s="49">
        <v>6.0000000000000001E-3</v>
      </c>
      <c r="K7" s="13"/>
      <c r="L7" s="13"/>
      <c r="M7" s="43" t="s">
        <v>142</v>
      </c>
      <c r="N7" s="44"/>
      <c r="O7" s="13"/>
      <c r="P7" s="13"/>
      <c r="Q7" s="13"/>
      <c r="R7" s="13"/>
      <c r="S7" s="13"/>
      <c r="T7" s="13"/>
      <c r="U7" s="13"/>
      <c r="Y7" s="46" t="s">
        <v>713</v>
      </c>
      <c r="Z7" s="46">
        <v>255.5</v>
      </c>
      <c r="AA7" s="49">
        <v>4.0000000000000001E-3</v>
      </c>
      <c r="AB7" s="13"/>
      <c r="AC7" s="13"/>
      <c r="AD7" s="13"/>
      <c r="AE7" s="46" t="s">
        <v>713</v>
      </c>
      <c r="AF7" s="48">
        <v>17287.05</v>
      </c>
      <c r="AG7" s="49">
        <v>3.95E-2</v>
      </c>
      <c r="AH7" s="13"/>
      <c r="AI7" s="13"/>
      <c r="AJ7" s="13" t="s">
        <v>145</v>
      </c>
      <c r="AK7" s="13">
        <v>0.56683899999999998</v>
      </c>
      <c r="AL7" s="13"/>
      <c r="AM7" s="13"/>
      <c r="AN7" s="13"/>
      <c r="AO7" s="13"/>
      <c r="AP7" s="13"/>
      <c r="AQ7" s="13"/>
      <c r="AR7" s="13"/>
      <c r="AS7" s="13"/>
      <c r="AW7" s="47">
        <v>44562</v>
      </c>
      <c r="AX7" s="46">
        <v>269.48</v>
      </c>
      <c r="AY7" s="49">
        <v>0.10539999999999999</v>
      </c>
      <c r="AZ7" s="13"/>
      <c r="BA7" s="13"/>
      <c r="BB7" s="13"/>
      <c r="BC7" s="47">
        <v>44562</v>
      </c>
      <c r="BD7" s="48">
        <v>17339.849999999999</v>
      </c>
      <c r="BE7" s="49">
        <v>-8.0000000000000004E-4</v>
      </c>
      <c r="BF7" s="13"/>
      <c r="BG7" s="13"/>
      <c r="BH7" s="13" t="s">
        <v>145</v>
      </c>
      <c r="BI7" s="13">
        <v>0.90891299999999997</v>
      </c>
      <c r="BJ7" s="13"/>
      <c r="BK7" s="13"/>
      <c r="BL7" s="13"/>
      <c r="BM7" s="13"/>
      <c r="BN7" s="13"/>
      <c r="BO7" s="13"/>
      <c r="BP7" s="13"/>
      <c r="BQ7" s="13"/>
    </row>
    <row r="8" spans="1:69">
      <c r="A8" s="13"/>
      <c r="B8" s="46" t="s">
        <v>714</v>
      </c>
      <c r="C8" s="46">
        <v>266.60000000000002</v>
      </c>
      <c r="D8" s="49">
        <v>1.84E-2</v>
      </c>
      <c r="E8" s="13"/>
      <c r="F8" s="13"/>
      <c r="G8" s="13"/>
      <c r="H8" s="46" t="s">
        <v>714</v>
      </c>
      <c r="I8" s="48">
        <v>17222</v>
      </c>
      <c r="J8" s="49">
        <v>4.0000000000000001E-3</v>
      </c>
      <c r="K8" s="13"/>
      <c r="L8" s="13"/>
      <c r="M8" s="13" t="s">
        <v>145</v>
      </c>
      <c r="N8" s="13">
        <v>0.428396</v>
      </c>
      <c r="O8" s="13"/>
      <c r="P8" s="13"/>
      <c r="Q8" s="13"/>
      <c r="R8" s="13"/>
      <c r="S8" s="13"/>
      <c r="T8" s="13"/>
      <c r="U8" s="13"/>
      <c r="Y8" s="47">
        <v>44715</v>
      </c>
      <c r="Z8" s="46">
        <v>254.48</v>
      </c>
      <c r="AA8" s="49">
        <v>2.5600000000000001E-2</v>
      </c>
      <c r="AB8" s="13"/>
      <c r="AC8" s="13"/>
      <c r="AD8" s="13"/>
      <c r="AE8" s="47">
        <v>44715</v>
      </c>
      <c r="AF8" s="48">
        <v>16630.45</v>
      </c>
      <c r="AG8" s="49">
        <v>2.3699999999999999E-2</v>
      </c>
      <c r="AH8" s="13"/>
      <c r="AI8" s="13"/>
      <c r="AJ8" s="13" t="s">
        <v>147</v>
      </c>
      <c r="AK8" s="13">
        <v>0.32130700000000001</v>
      </c>
      <c r="AL8" s="13"/>
      <c r="AM8" s="13"/>
      <c r="AN8" s="13"/>
      <c r="AO8" s="13"/>
      <c r="AP8" s="13"/>
      <c r="AQ8" s="13"/>
      <c r="AR8" s="13"/>
      <c r="AS8" s="13"/>
      <c r="AW8" s="47">
        <v>44208</v>
      </c>
      <c r="AX8" s="46">
        <v>243.79</v>
      </c>
      <c r="AY8" s="49">
        <v>0.1956</v>
      </c>
      <c r="AZ8" s="13"/>
      <c r="BA8" s="13"/>
      <c r="BB8" s="13"/>
      <c r="BC8" s="47">
        <v>44208</v>
      </c>
      <c r="BD8" s="48">
        <v>17354.05</v>
      </c>
      <c r="BE8" s="49">
        <v>2.18E-2</v>
      </c>
      <c r="BF8" s="13"/>
      <c r="BG8" s="13"/>
      <c r="BH8" s="13" t="s">
        <v>147</v>
      </c>
      <c r="BI8" s="13">
        <v>0.82612399999999997</v>
      </c>
      <c r="BJ8" s="13"/>
      <c r="BK8" s="13"/>
      <c r="BL8" s="13"/>
      <c r="BM8" s="13"/>
      <c r="BN8" s="13"/>
      <c r="BO8" s="13"/>
      <c r="BP8" s="13"/>
      <c r="BQ8" s="13"/>
    </row>
    <row r="9" spans="1:69">
      <c r="A9" s="13"/>
      <c r="B9" s="46" t="s">
        <v>715</v>
      </c>
      <c r="C9" s="46">
        <v>261.77999999999997</v>
      </c>
      <c r="D9" s="49">
        <v>6.8999999999999999E-3</v>
      </c>
      <c r="E9" s="13"/>
      <c r="F9" s="13"/>
      <c r="G9" s="13"/>
      <c r="H9" s="46" t="s">
        <v>715</v>
      </c>
      <c r="I9" s="48">
        <v>17153</v>
      </c>
      <c r="J9" s="49">
        <v>-4.0000000000000001E-3</v>
      </c>
      <c r="K9" s="13"/>
      <c r="L9" s="13"/>
      <c r="M9" s="13" t="s">
        <v>147</v>
      </c>
      <c r="N9" s="13">
        <v>0.18352299999999999</v>
      </c>
      <c r="O9" s="13"/>
      <c r="P9" s="13"/>
      <c r="Q9" s="13"/>
      <c r="R9" s="13"/>
      <c r="S9" s="13"/>
      <c r="T9" s="13"/>
      <c r="U9" s="13"/>
      <c r="Y9" s="46" t="s">
        <v>716</v>
      </c>
      <c r="Z9" s="46">
        <v>248.13</v>
      </c>
      <c r="AA9" s="49">
        <v>-4.1200000000000001E-2</v>
      </c>
      <c r="AB9" s="13"/>
      <c r="AC9" s="13"/>
      <c r="AD9" s="13"/>
      <c r="AE9" s="46" t="s">
        <v>716</v>
      </c>
      <c r="AF9" s="48">
        <v>16245.35</v>
      </c>
      <c r="AG9" s="49">
        <v>-2.4799999999999999E-2</v>
      </c>
      <c r="AH9" s="13"/>
      <c r="AI9" s="13"/>
      <c r="AJ9" s="13" t="s">
        <v>149</v>
      </c>
      <c r="AK9" s="13">
        <v>0.278889</v>
      </c>
      <c r="AL9" s="13"/>
      <c r="AM9" s="13"/>
      <c r="AN9" s="13"/>
      <c r="AO9" s="13"/>
      <c r="AP9" s="13"/>
      <c r="AQ9" s="13"/>
      <c r="AR9" s="13"/>
      <c r="AS9" s="13"/>
      <c r="AW9" s="13"/>
      <c r="AX9" s="13"/>
      <c r="AY9" s="13"/>
      <c r="AZ9" s="13"/>
      <c r="BA9" s="13"/>
      <c r="BB9" s="13"/>
      <c r="BC9" s="13"/>
      <c r="BD9" s="13"/>
      <c r="BE9" s="13"/>
      <c r="BF9" s="13"/>
      <c r="BG9" s="13"/>
      <c r="BH9" s="13" t="s">
        <v>149</v>
      </c>
      <c r="BI9" s="13">
        <v>0.73918499999999998</v>
      </c>
      <c r="BJ9" s="13"/>
      <c r="BK9" s="13"/>
      <c r="BL9" s="13"/>
      <c r="BM9" s="13"/>
      <c r="BN9" s="13"/>
      <c r="BO9" s="13"/>
      <c r="BP9" s="13"/>
      <c r="BQ9" s="13"/>
    </row>
    <row r="10" spans="1:69">
      <c r="A10" s="13"/>
      <c r="B10" s="46" t="s">
        <v>717</v>
      </c>
      <c r="C10" s="46">
        <v>259.98</v>
      </c>
      <c r="D10" s="49">
        <v>-1.5900000000000001E-2</v>
      </c>
      <c r="E10" s="13"/>
      <c r="F10" s="13"/>
      <c r="G10" s="13"/>
      <c r="H10" s="46" t="s">
        <v>717</v>
      </c>
      <c r="I10" s="48">
        <v>17222.75</v>
      </c>
      <c r="J10" s="49">
        <v>-1.2999999999999999E-3</v>
      </c>
      <c r="K10" s="13"/>
      <c r="L10" s="13"/>
      <c r="M10" s="13" t="s">
        <v>149</v>
      </c>
      <c r="N10" s="13">
        <v>0.174349</v>
      </c>
      <c r="O10" s="13"/>
      <c r="P10" s="13"/>
      <c r="Q10" s="13"/>
      <c r="R10" s="13"/>
      <c r="S10" s="13"/>
      <c r="T10" s="13"/>
      <c r="U10" s="13"/>
      <c r="Y10" s="46" t="s">
        <v>718</v>
      </c>
      <c r="Z10" s="46">
        <v>258.77999999999997</v>
      </c>
      <c r="AA10" s="49">
        <v>-8.7999999999999995E-2</v>
      </c>
      <c r="AB10" s="13"/>
      <c r="AC10" s="13"/>
      <c r="AD10" s="13"/>
      <c r="AE10" s="46" t="s">
        <v>718</v>
      </c>
      <c r="AF10" s="48">
        <v>16658.400000000001</v>
      </c>
      <c r="AG10" s="49">
        <v>-3.5799999999999998E-2</v>
      </c>
      <c r="AH10" s="13"/>
      <c r="AI10" s="13"/>
      <c r="AJ10" s="13" t="s">
        <v>152</v>
      </c>
      <c r="AK10" s="13">
        <v>5.1414000000000001E-2</v>
      </c>
      <c r="AL10" s="13"/>
      <c r="AM10" s="13"/>
      <c r="AN10" s="13"/>
      <c r="AO10" s="13"/>
      <c r="AP10" s="13"/>
      <c r="AQ10" s="13"/>
      <c r="AR10" s="13"/>
      <c r="AS10" s="13"/>
      <c r="AW10" s="13"/>
      <c r="AX10" s="13"/>
      <c r="AY10" s="13"/>
      <c r="AZ10" s="13"/>
      <c r="BA10" s="13"/>
      <c r="BB10" s="13"/>
      <c r="BC10" s="13"/>
      <c r="BD10" s="13"/>
      <c r="BE10" s="13"/>
      <c r="BF10" s="13"/>
      <c r="BG10" s="13"/>
      <c r="BH10" s="13" t="s">
        <v>152</v>
      </c>
      <c r="BI10" s="13">
        <v>5.6301999999999998E-2</v>
      </c>
      <c r="BJ10" s="13"/>
      <c r="BK10" s="13"/>
      <c r="BL10" s="13"/>
      <c r="BM10" s="13"/>
      <c r="BN10" s="13"/>
      <c r="BO10" s="13"/>
      <c r="BP10" s="13"/>
      <c r="BQ10" s="13"/>
    </row>
    <row r="11" spans="1:69">
      <c r="A11" s="13"/>
      <c r="B11" s="46" t="s">
        <v>719</v>
      </c>
      <c r="C11" s="46">
        <v>264.17</v>
      </c>
      <c r="D11" s="49">
        <v>-3.6600000000000001E-2</v>
      </c>
      <c r="E11" s="13"/>
      <c r="F11" s="13"/>
      <c r="G11" s="13"/>
      <c r="H11" s="46" t="s">
        <v>719</v>
      </c>
      <c r="I11" s="48">
        <v>17245.650000000001</v>
      </c>
      <c r="J11" s="49">
        <v>-4.0000000000000001E-3</v>
      </c>
      <c r="K11" s="13"/>
      <c r="L11" s="13"/>
      <c r="M11" s="13" t="s">
        <v>152</v>
      </c>
      <c r="N11" s="13">
        <v>3.0025E-2</v>
      </c>
      <c r="O11" s="13"/>
      <c r="P11" s="13"/>
      <c r="Q11" s="13"/>
      <c r="R11" s="13"/>
      <c r="S11" s="13"/>
      <c r="T11" s="13"/>
      <c r="U11" s="13"/>
      <c r="Y11" s="46" t="s">
        <v>720</v>
      </c>
      <c r="Z11" s="46">
        <v>283.76</v>
      </c>
      <c r="AA11" s="49">
        <v>-2.46E-2</v>
      </c>
      <c r="AB11" s="13"/>
      <c r="AC11" s="13"/>
      <c r="AD11" s="13"/>
      <c r="AE11" s="46" t="s">
        <v>720</v>
      </c>
      <c r="AF11" s="48">
        <v>17276.3</v>
      </c>
      <c r="AG11" s="49">
        <v>-5.7000000000000002E-3</v>
      </c>
      <c r="AH11" s="13"/>
      <c r="AI11" s="13"/>
      <c r="AJ11" s="45" t="s">
        <v>155</v>
      </c>
      <c r="AK11" s="45">
        <v>18</v>
      </c>
      <c r="AL11" s="13"/>
      <c r="AM11" s="13"/>
      <c r="AN11" s="13"/>
      <c r="AO11" s="13"/>
      <c r="AP11" s="13"/>
      <c r="AQ11" s="13"/>
      <c r="AR11" s="13"/>
      <c r="AS11" s="13"/>
      <c r="AW11" s="13"/>
      <c r="AX11" s="13"/>
      <c r="AY11" s="13"/>
      <c r="AZ11" s="13"/>
      <c r="BA11" s="13"/>
      <c r="BB11" s="13"/>
      <c r="BC11" s="13"/>
      <c r="BD11" s="13"/>
      <c r="BE11" s="13"/>
      <c r="BF11" s="13"/>
      <c r="BG11" s="13"/>
      <c r="BH11" s="45" t="s">
        <v>155</v>
      </c>
      <c r="BI11" s="45">
        <v>4</v>
      </c>
      <c r="BJ11" s="13"/>
      <c r="BK11" s="13"/>
      <c r="BL11" s="13"/>
      <c r="BM11" s="13"/>
      <c r="BN11" s="13"/>
      <c r="BO11" s="13"/>
      <c r="BP11" s="13"/>
      <c r="BQ11" s="13"/>
    </row>
    <row r="12" spans="1:69">
      <c r="A12" s="13"/>
      <c r="B12" s="46" t="s">
        <v>721</v>
      </c>
      <c r="C12" s="46">
        <v>274.2</v>
      </c>
      <c r="D12" s="49">
        <v>6.2399999999999997E-2</v>
      </c>
      <c r="E12" s="13"/>
      <c r="F12" s="13"/>
      <c r="G12" s="13"/>
      <c r="H12" s="46" t="s">
        <v>721</v>
      </c>
      <c r="I12" s="48">
        <v>17315.5</v>
      </c>
      <c r="J12" s="49">
        <v>1.1599999999999999E-2</v>
      </c>
      <c r="K12" s="13"/>
      <c r="L12" s="13"/>
      <c r="M12" s="45" t="s">
        <v>155</v>
      </c>
      <c r="N12" s="45">
        <v>91</v>
      </c>
      <c r="O12" s="13"/>
      <c r="P12" s="13"/>
      <c r="Q12" s="13"/>
      <c r="R12" s="13"/>
      <c r="S12" s="13"/>
      <c r="T12" s="13"/>
      <c r="U12" s="13"/>
      <c r="Y12" s="47">
        <v>44714</v>
      </c>
      <c r="Z12" s="46">
        <v>290.92</v>
      </c>
      <c r="AA12" s="49">
        <v>9.9400000000000002E-2</v>
      </c>
      <c r="AB12" s="13"/>
      <c r="AC12" s="13"/>
      <c r="AD12" s="13"/>
      <c r="AE12" s="47">
        <v>44714</v>
      </c>
      <c r="AF12" s="48">
        <v>17374.75</v>
      </c>
      <c r="AG12" s="49">
        <v>-8.0999999999999996E-3</v>
      </c>
      <c r="AH12" s="13"/>
      <c r="AI12" s="13"/>
      <c r="AJ12" s="13"/>
      <c r="AK12" s="13"/>
      <c r="AL12" s="13"/>
      <c r="AM12" s="13"/>
      <c r="AN12" s="13"/>
      <c r="AO12" s="13"/>
      <c r="AP12" s="13"/>
      <c r="AQ12" s="13"/>
      <c r="AR12" s="13"/>
      <c r="AS12" s="13"/>
      <c r="AW12" s="13"/>
      <c r="AX12" s="13"/>
      <c r="AY12" s="13"/>
      <c r="AZ12" s="13"/>
      <c r="BA12" s="13"/>
      <c r="BB12" s="13"/>
      <c r="BC12" s="13"/>
      <c r="BD12" s="13"/>
      <c r="BE12" s="13"/>
      <c r="BF12" s="13"/>
      <c r="BG12" s="13"/>
      <c r="BH12" s="13"/>
      <c r="BI12" s="13"/>
      <c r="BJ12" s="13"/>
      <c r="BK12" s="13"/>
      <c r="BL12" s="13"/>
      <c r="BM12" s="13"/>
      <c r="BN12" s="13"/>
      <c r="BO12" s="13"/>
      <c r="BP12" s="13"/>
      <c r="BQ12" s="13"/>
    </row>
    <row r="13" spans="1:69">
      <c r="A13" s="13"/>
      <c r="B13" s="46" t="s">
        <v>722</v>
      </c>
      <c r="C13" s="46">
        <v>258.10000000000002</v>
      </c>
      <c r="D13" s="49">
        <v>1.0200000000000001E-2</v>
      </c>
      <c r="E13" s="13"/>
      <c r="F13" s="13"/>
      <c r="G13" s="13"/>
      <c r="H13" s="46" t="s">
        <v>722</v>
      </c>
      <c r="I13" s="48">
        <v>17117.599999999999</v>
      </c>
      <c r="J13" s="49">
        <v>-9.7999999999999997E-3</v>
      </c>
      <c r="K13" s="13"/>
      <c r="L13" s="13"/>
      <c r="M13" s="13"/>
      <c r="N13" s="13"/>
      <c r="O13" s="13"/>
      <c r="P13" s="13"/>
      <c r="Q13" s="13"/>
      <c r="R13" s="13"/>
      <c r="S13" s="13"/>
      <c r="T13" s="13"/>
      <c r="U13" s="13"/>
      <c r="Y13" s="46" t="s">
        <v>723</v>
      </c>
      <c r="Z13" s="46">
        <v>264.62</v>
      </c>
      <c r="AA13" s="49">
        <v>4.3E-3</v>
      </c>
      <c r="AB13" s="13"/>
      <c r="AC13" s="13"/>
      <c r="AD13" s="13"/>
      <c r="AE13" s="46" t="s">
        <v>723</v>
      </c>
      <c r="AF13" s="48">
        <v>17516.3</v>
      </c>
      <c r="AG13" s="49">
        <v>2.4199999999999999E-2</v>
      </c>
      <c r="AH13" s="13"/>
      <c r="AI13" s="13"/>
      <c r="AJ13" s="13" t="s">
        <v>158</v>
      </c>
      <c r="AK13" s="13"/>
      <c r="AL13" s="13"/>
      <c r="AM13" s="13"/>
      <c r="AN13" s="13"/>
      <c r="AO13" s="13"/>
      <c r="AP13" s="13"/>
      <c r="AQ13" s="13"/>
      <c r="AR13" s="13"/>
      <c r="AS13" s="13"/>
      <c r="AW13" s="13"/>
      <c r="AX13" s="13"/>
      <c r="AY13" s="13"/>
      <c r="AZ13" s="13"/>
      <c r="BA13" s="13"/>
      <c r="BB13" s="13"/>
      <c r="BC13" s="13"/>
      <c r="BD13" s="13"/>
      <c r="BE13" s="13"/>
      <c r="BF13" s="13"/>
      <c r="BG13" s="13"/>
      <c r="BH13" s="13" t="s">
        <v>158</v>
      </c>
      <c r="BI13" s="13"/>
      <c r="BJ13" s="13"/>
      <c r="BK13" s="13"/>
      <c r="BL13" s="13"/>
      <c r="BM13" s="13"/>
      <c r="BN13" s="13"/>
      <c r="BO13" s="13"/>
      <c r="BP13" s="13"/>
      <c r="BQ13" s="13"/>
    </row>
    <row r="14" spans="1:69">
      <c r="A14" s="13"/>
      <c r="B14" s="46" t="s">
        <v>724</v>
      </c>
      <c r="C14" s="46">
        <v>255.5</v>
      </c>
      <c r="D14" s="49">
        <v>2.29E-2</v>
      </c>
      <c r="E14" s="13"/>
      <c r="F14" s="13"/>
      <c r="G14" s="13"/>
      <c r="H14" s="46" t="s">
        <v>724</v>
      </c>
      <c r="I14" s="48">
        <v>17287.05</v>
      </c>
      <c r="J14" s="49">
        <v>1.84E-2</v>
      </c>
      <c r="K14" s="13"/>
      <c r="L14" s="13"/>
      <c r="M14" s="13" t="s">
        <v>158</v>
      </c>
      <c r="N14" s="13"/>
      <c r="O14" s="13"/>
      <c r="P14" s="13"/>
      <c r="Q14" s="13"/>
      <c r="R14" s="13"/>
      <c r="S14" s="13"/>
      <c r="T14" s="13"/>
      <c r="U14" s="13"/>
      <c r="Y14" s="46" t="s">
        <v>725</v>
      </c>
      <c r="Z14" s="46">
        <v>263.48</v>
      </c>
      <c r="AA14" s="49">
        <v>-4.5999999999999999E-2</v>
      </c>
      <c r="AB14" s="13"/>
      <c r="AC14" s="13"/>
      <c r="AD14" s="13"/>
      <c r="AE14" s="46" t="s">
        <v>725</v>
      </c>
      <c r="AF14" s="48">
        <v>17101.95</v>
      </c>
      <c r="AG14" s="49">
        <v>-2.92E-2</v>
      </c>
      <c r="AH14" s="13"/>
      <c r="AI14" s="13"/>
      <c r="AJ14" s="43" t="s">
        <v>161</v>
      </c>
      <c r="AK14" s="43" t="s">
        <v>162</v>
      </c>
      <c r="AL14" s="43" t="s">
        <v>163</v>
      </c>
      <c r="AM14" s="43" t="s">
        <v>164</v>
      </c>
      <c r="AN14" s="43" t="s">
        <v>165</v>
      </c>
      <c r="AO14" s="43" t="s">
        <v>166</v>
      </c>
      <c r="AP14" s="13"/>
      <c r="AQ14" s="13"/>
      <c r="AR14" s="13"/>
      <c r="AS14" s="13"/>
      <c r="AW14" s="13"/>
      <c r="AX14" s="13"/>
      <c r="AY14" s="13"/>
      <c r="AZ14" s="13"/>
      <c r="BA14" s="13"/>
      <c r="BB14" s="13"/>
      <c r="BC14" s="13"/>
      <c r="BD14" s="13"/>
      <c r="BE14" s="13"/>
      <c r="BF14" s="13"/>
      <c r="BG14" s="13"/>
      <c r="BH14" s="43" t="s">
        <v>161</v>
      </c>
      <c r="BI14" s="43" t="s">
        <v>162</v>
      </c>
      <c r="BJ14" s="43" t="s">
        <v>163</v>
      </c>
      <c r="BK14" s="43" t="s">
        <v>164</v>
      </c>
      <c r="BL14" s="43" t="s">
        <v>165</v>
      </c>
      <c r="BM14" s="43" t="s">
        <v>166</v>
      </c>
      <c r="BN14" s="13"/>
      <c r="BO14" s="13"/>
      <c r="BP14" s="13"/>
      <c r="BQ14" s="13"/>
    </row>
    <row r="15" spans="1:69">
      <c r="A15" s="13"/>
      <c r="B15" s="46" t="s">
        <v>726</v>
      </c>
      <c r="C15" s="46">
        <v>249.77</v>
      </c>
      <c r="D15" s="49">
        <v>1.21E-2</v>
      </c>
      <c r="E15" s="13"/>
      <c r="F15" s="13"/>
      <c r="G15" s="13"/>
      <c r="H15" s="46" t="s">
        <v>726</v>
      </c>
      <c r="I15" s="48">
        <v>16975.349999999999</v>
      </c>
      <c r="J15" s="49">
        <v>1.8700000000000001E-2</v>
      </c>
      <c r="K15" s="13"/>
      <c r="L15" s="13"/>
      <c r="M15" s="43" t="s">
        <v>161</v>
      </c>
      <c r="N15" s="43" t="s">
        <v>162</v>
      </c>
      <c r="O15" s="43" t="s">
        <v>163</v>
      </c>
      <c r="P15" s="43" t="s">
        <v>164</v>
      </c>
      <c r="Q15" s="43" t="s">
        <v>165</v>
      </c>
      <c r="R15" s="43" t="s">
        <v>166</v>
      </c>
      <c r="S15" s="13"/>
      <c r="T15" s="13"/>
      <c r="U15" s="13"/>
      <c r="Y15" s="46" t="s">
        <v>727</v>
      </c>
      <c r="Z15" s="46">
        <v>276.18</v>
      </c>
      <c r="AA15" s="49">
        <v>-2.3400000000000001E-2</v>
      </c>
      <c r="AB15" s="13"/>
      <c r="AC15" s="13"/>
      <c r="AD15" s="13"/>
      <c r="AE15" s="46" t="s">
        <v>727</v>
      </c>
      <c r="AF15" s="48">
        <v>17617.150000000001</v>
      </c>
      <c r="AG15" s="49">
        <v>-3.5000000000000003E-2</v>
      </c>
      <c r="AH15" s="13"/>
      <c r="AI15" s="13"/>
      <c r="AJ15" s="13" t="s">
        <v>169</v>
      </c>
      <c r="AK15" s="13">
        <v>1</v>
      </c>
      <c r="AL15" s="13">
        <v>2.0022999999999999E-2</v>
      </c>
      <c r="AM15" s="13">
        <v>2.0022999999999999E-2</v>
      </c>
      <c r="AN15" s="13">
        <v>7.5747200000000001</v>
      </c>
      <c r="AO15" s="13">
        <v>1.4168999999999999E-2</v>
      </c>
      <c r="AP15" s="13"/>
      <c r="AQ15" s="13"/>
      <c r="AR15" s="13"/>
      <c r="AS15" s="13"/>
      <c r="AW15" s="13"/>
      <c r="AX15" s="13"/>
      <c r="AY15" s="13"/>
      <c r="AZ15" s="13"/>
      <c r="BA15" s="13"/>
      <c r="BB15" s="13"/>
      <c r="BC15" s="13"/>
      <c r="BD15" s="13"/>
      <c r="BE15" s="13"/>
      <c r="BF15" s="13"/>
      <c r="BG15" s="13"/>
      <c r="BH15" s="13" t="s">
        <v>169</v>
      </c>
      <c r="BI15" s="13">
        <v>1</v>
      </c>
      <c r="BJ15" s="13">
        <v>3.0121999999999999E-2</v>
      </c>
      <c r="BK15" s="13">
        <v>3.0121999999999999E-2</v>
      </c>
      <c r="BL15" s="13">
        <v>9.5024250000000006</v>
      </c>
      <c r="BM15" s="13">
        <v>9.1087000000000001E-2</v>
      </c>
      <c r="BN15" s="13"/>
      <c r="BO15" s="13"/>
      <c r="BP15" s="13"/>
      <c r="BQ15" s="13"/>
    </row>
    <row r="16" spans="1:69">
      <c r="A16" s="13"/>
      <c r="B16" s="46" t="s">
        <v>728</v>
      </c>
      <c r="C16" s="46">
        <v>246.79</v>
      </c>
      <c r="D16" s="49">
        <v>-4.1099999999999998E-2</v>
      </c>
      <c r="E16" s="13"/>
      <c r="F16" s="13"/>
      <c r="G16" s="13"/>
      <c r="H16" s="46" t="s">
        <v>728</v>
      </c>
      <c r="I16" s="48">
        <v>16663</v>
      </c>
      <c r="J16" s="49">
        <v>-1.23E-2</v>
      </c>
      <c r="K16" s="13"/>
      <c r="L16" s="13"/>
      <c r="M16" s="13" t="s">
        <v>169</v>
      </c>
      <c r="N16" s="13">
        <v>1</v>
      </c>
      <c r="O16" s="13">
        <v>1.8034000000000001E-2</v>
      </c>
      <c r="P16" s="13">
        <v>1.8034000000000001E-2</v>
      </c>
      <c r="Q16" s="13">
        <v>20.004950000000001</v>
      </c>
      <c r="R16" s="55">
        <v>2.27E-5</v>
      </c>
      <c r="S16" s="13"/>
      <c r="T16" s="13"/>
      <c r="U16" s="13"/>
      <c r="Y16" s="47">
        <v>44805</v>
      </c>
      <c r="Z16" s="46">
        <v>282.79000000000002</v>
      </c>
      <c r="AA16" s="49">
        <v>5.8999999999999997E-2</v>
      </c>
      <c r="AB16" s="13"/>
      <c r="AC16" s="13"/>
      <c r="AD16" s="13"/>
      <c r="AE16" s="47">
        <v>44805</v>
      </c>
      <c r="AF16" s="48">
        <v>18255.75</v>
      </c>
      <c r="AG16" s="49">
        <v>2.4899999999999999E-2</v>
      </c>
      <c r="AH16" s="13"/>
      <c r="AI16" s="13"/>
      <c r="AJ16" s="13" t="s">
        <v>170</v>
      </c>
      <c r="AK16" s="13">
        <v>16</v>
      </c>
      <c r="AL16" s="13">
        <v>4.2293999999999998E-2</v>
      </c>
      <c r="AM16" s="13">
        <v>2.643E-3</v>
      </c>
      <c r="AN16" s="13"/>
      <c r="AO16" s="13"/>
      <c r="AP16" s="13"/>
      <c r="AQ16" s="13"/>
      <c r="AR16" s="13"/>
      <c r="AS16" s="13"/>
      <c r="AW16" s="13"/>
      <c r="AX16" s="13"/>
      <c r="AY16" s="13"/>
      <c r="AZ16" s="13"/>
      <c r="BA16" s="13"/>
      <c r="BB16" s="13"/>
      <c r="BC16" s="13"/>
      <c r="BD16" s="13"/>
      <c r="BE16" s="13"/>
      <c r="BF16" s="13"/>
      <c r="BG16" s="13"/>
      <c r="BH16" s="13" t="s">
        <v>170</v>
      </c>
      <c r="BI16" s="13">
        <v>2</v>
      </c>
      <c r="BJ16" s="13">
        <v>6.3400000000000001E-3</v>
      </c>
      <c r="BK16" s="13">
        <v>3.1700000000000001E-3</v>
      </c>
      <c r="BL16" s="13"/>
      <c r="BM16" s="13"/>
      <c r="BN16" s="13"/>
      <c r="BO16" s="13"/>
      <c r="BP16" s="13"/>
      <c r="BQ16" s="13"/>
    </row>
    <row r="17" spans="1:69">
      <c r="A17" s="13"/>
      <c r="B17" s="46" t="s">
        <v>729</v>
      </c>
      <c r="C17" s="46">
        <v>257.36</v>
      </c>
      <c r="D17" s="49">
        <v>1.1299999999999999E-2</v>
      </c>
      <c r="E17" s="13"/>
      <c r="F17" s="13"/>
      <c r="G17" s="13"/>
      <c r="H17" s="46" t="s">
        <v>729</v>
      </c>
      <c r="I17" s="48">
        <v>16871.3</v>
      </c>
      <c r="J17" s="49">
        <v>1.4500000000000001E-2</v>
      </c>
      <c r="K17" s="13"/>
      <c r="L17" s="13"/>
      <c r="M17" s="13" t="s">
        <v>170</v>
      </c>
      <c r="N17" s="13">
        <v>89</v>
      </c>
      <c r="O17" s="13">
        <v>8.0231999999999998E-2</v>
      </c>
      <c r="P17" s="13">
        <v>9.01E-4</v>
      </c>
      <c r="Q17" s="13"/>
      <c r="R17" s="13"/>
      <c r="S17" s="13"/>
      <c r="T17" s="13"/>
      <c r="U17" s="13"/>
      <c r="Y17" s="47">
        <v>44593</v>
      </c>
      <c r="Z17" s="46">
        <v>267.02999999999997</v>
      </c>
      <c r="AA17" s="49">
        <v>9.5299999999999996E-2</v>
      </c>
      <c r="AB17" s="13"/>
      <c r="AC17" s="13"/>
      <c r="AD17" s="13"/>
      <c r="AE17" s="47">
        <v>44593</v>
      </c>
      <c r="AF17" s="48">
        <v>17812.7</v>
      </c>
      <c r="AG17" s="49">
        <v>2.64E-2</v>
      </c>
      <c r="AH17" s="13"/>
      <c r="AI17" s="13"/>
      <c r="AJ17" s="45" t="s">
        <v>171</v>
      </c>
      <c r="AK17" s="45">
        <v>17</v>
      </c>
      <c r="AL17" s="45">
        <v>6.2316000000000003E-2</v>
      </c>
      <c r="AM17" s="45" t="s">
        <v>161</v>
      </c>
      <c r="AN17" s="45" t="s">
        <v>161</v>
      </c>
      <c r="AO17" s="45" t="s">
        <v>161</v>
      </c>
      <c r="AP17" s="13"/>
      <c r="AQ17" s="13"/>
      <c r="AR17" s="13"/>
      <c r="AS17" s="13"/>
      <c r="AW17" s="13"/>
      <c r="AX17" s="13"/>
      <c r="AY17" s="13"/>
      <c r="AZ17" s="13"/>
      <c r="BA17" s="13"/>
      <c r="BB17" s="13"/>
      <c r="BC17" s="13"/>
      <c r="BD17" s="13"/>
      <c r="BE17" s="13"/>
      <c r="BF17" s="13"/>
      <c r="BG17" s="13"/>
      <c r="BH17" s="45" t="s">
        <v>171</v>
      </c>
      <c r="BI17" s="45">
        <v>3</v>
      </c>
      <c r="BJ17" s="45">
        <v>3.6461E-2</v>
      </c>
      <c r="BK17" s="45" t="s">
        <v>161</v>
      </c>
      <c r="BL17" s="45" t="s">
        <v>161</v>
      </c>
      <c r="BM17" s="45" t="s">
        <v>161</v>
      </c>
      <c r="BN17" s="13"/>
      <c r="BO17" s="13"/>
      <c r="BP17" s="13"/>
      <c r="BQ17" s="13"/>
    </row>
    <row r="18" spans="1:69">
      <c r="A18" s="13"/>
      <c r="B18" s="47">
        <v>44868</v>
      </c>
      <c r="C18" s="46">
        <v>254.48</v>
      </c>
      <c r="D18" s="49">
        <v>8.2000000000000007E-3</v>
      </c>
      <c r="E18" s="13"/>
      <c r="F18" s="13"/>
      <c r="G18" s="13"/>
      <c r="H18" s="47">
        <v>44868</v>
      </c>
      <c r="I18" s="48">
        <v>16630.45</v>
      </c>
      <c r="J18" s="49">
        <v>2.0999999999999999E-3</v>
      </c>
      <c r="K18" s="13"/>
      <c r="L18" s="13"/>
      <c r="M18" s="45" t="s">
        <v>171</v>
      </c>
      <c r="N18" s="45">
        <v>90</v>
      </c>
      <c r="O18" s="45">
        <v>9.8266000000000006E-2</v>
      </c>
      <c r="P18" s="45" t="s">
        <v>161</v>
      </c>
      <c r="Q18" s="45" t="s">
        <v>161</v>
      </c>
      <c r="R18" s="45" t="s">
        <v>161</v>
      </c>
      <c r="S18" s="13"/>
      <c r="T18" s="13"/>
      <c r="U18" s="13"/>
      <c r="Y18" s="46" t="s">
        <v>730</v>
      </c>
      <c r="Z18" s="46">
        <v>243.79</v>
      </c>
      <c r="AA18" s="49">
        <v>2.12E-2</v>
      </c>
      <c r="AB18" s="13"/>
      <c r="AC18" s="13"/>
      <c r="AD18" s="13"/>
      <c r="AE18" s="46" t="s">
        <v>730</v>
      </c>
      <c r="AF18" s="48">
        <v>17354.05</v>
      </c>
      <c r="AG18" s="49">
        <v>2.06E-2</v>
      </c>
      <c r="AH18" s="13"/>
      <c r="AI18" s="13"/>
      <c r="AJ18" s="13"/>
      <c r="AK18" s="13"/>
      <c r="AL18" s="13"/>
      <c r="AM18" s="13"/>
      <c r="AN18" s="13"/>
      <c r="AO18" s="13"/>
      <c r="AP18" s="13"/>
      <c r="AQ18" s="13"/>
      <c r="AR18" s="13"/>
      <c r="AS18" s="13"/>
      <c r="AW18" s="13"/>
      <c r="AX18" s="13"/>
      <c r="AY18" s="13"/>
      <c r="AZ18" s="13"/>
      <c r="BA18" s="13"/>
      <c r="BB18" s="13"/>
      <c r="BC18" s="13"/>
      <c r="BD18" s="13"/>
      <c r="BE18" s="13"/>
      <c r="BF18" s="13"/>
      <c r="BG18" s="13"/>
      <c r="BH18" s="13"/>
      <c r="BI18" s="13"/>
      <c r="BJ18" s="13"/>
      <c r="BK18" s="13"/>
      <c r="BL18" s="13"/>
      <c r="BM18" s="13"/>
      <c r="BN18" s="13"/>
      <c r="BO18" s="13"/>
      <c r="BP18" s="13"/>
      <c r="BQ18" s="13"/>
    </row>
    <row r="19" spans="1:69">
      <c r="A19" s="13"/>
      <c r="B19" s="47">
        <v>44837</v>
      </c>
      <c r="C19" s="46">
        <v>252.41</v>
      </c>
      <c r="D19" s="49">
        <v>2.0999999999999999E-3</v>
      </c>
      <c r="E19" s="13"/>
      <c r="F19" s="13"/>
      <c r="G19" s="13"/>
      <c r="H19" s="47">
        <v>44837</v>
      </c>
      <c r="I19" s="48">
        <v>16594.900000000001</v>
      </c>
      <c r="J19" s="49">
        <v>1.5299999999999999E-2</v>
      </c>
      <c r="K19" s="13"/>
      <c r="L19" s="13"/>
      <c r="M19" s="13"/>
      <c r="N19" s="13"/>
      <c r="O19" s="13"/>
      <c r="P19" s="13"/>
      <c r="Q19" s="13"/>
      <c r="R19" s="13"/>
      <c r="S19" s="13"/>
      <c r="T19" s="13"/>
      <c r="U19" s="13"/>
      <c r="Y19" s="46" t="s">
        <v>731</v>
      </c>
      <c r="Z19" s="46">
        <v>238.73</v>
      </c>
      <c r="AA19" s="49">
        <v>-2.75E-2</v>
      </c>
      <c r="AB19" s="13"/>
      <c r="AC19" s="13"/>
      <c r="AD19" s="13"/>
      <c r="AE19" s="46" t="s">
        <v>731</v>
      </c>
      <c r="AF19" s="48">
        <v>17003.75</v>
      </c>
      <c r="AG19" s="49">
        <v>1.1000000000000001E-3</v>
      </c>
      <c r="AH19" s="13"/>
      <c r="AI19" s="13"/>
      <c r="AJ19" s="43" t="s">
        <v>161</v>
      </c>
      <c r="AK19" s="43" t="s">
        <v>174</v>
      </c>
      <c r="AL19" s="43" t="s">
        <v>152</v>
      </c>
      <c r="AM19" s="43" t="s">
        <v>175</v>
      </c>
      <c r="AN19" s="43" t="s">
        <v>176</v>
      </c>
      <c r="AO19" s="43" t="s">
        <v>177</v>
      </c>
      <c r="AP19" s="43" t="s">
        <v>178</v>
      </c>
      <c r="AQ19" s="43" t="s">
        <v>179</v>
      </c>
      <c r="AR19" s="43" t="s">
        <v>180</v>
      </c>
      <c r="AS19" s="13"/>
      <c r="AW19" s="13"/>
      <c r="AX19" s="13"/>
      <c r="AY19" s="13"/>
      <c r="AZ19" s="13"/>
      <c r="BA19" s="13"/>
      <c r="BB19" s="13"/>
      <c r="BC19" s="13"/>
      <c r="BD19" s="13"/>
      <c r="BE19" s="13"/>
      <c r="BF19" s="13"/>
      <c r="BG19" s="13"/>
      <c r="BH19" s="43" t="s">
        <v>161</v>
      </c>
      <c r="BI19" s="43" t="s">
        <v>174</v>
      </c>
      <c r="BJ19" s="43" t="s">
        <v>152</v>
      </c>
      <c r="BK19" s="43" t="s">
        <v>175</v>
      </c>
      <c r="BL19" s="43" t="s">
        <v>176</v>
      </c>
      <c r="BM19" s="43" t="s">
        <v>177</v>
      </c>
      <c r="BN19" s="43" t="s">
        <v>178</v>
      </c>
      <c r="BO19" s="43" t="s">
        <v>179</v>
      </c>
      <c r="BP19" s="43" t="s">
        <v>180</v>
      </c>
      <c r="BQ19" s="13"/>
    </row>
    <row r="20" spans="1:69">
      <c r="A20" s="13"/>
      <c r="B20" s="47">
        <v>44807</v>
      </c>
      <c r="C20" s="46">
        <v>251.89</v>
      </c>
      <c r="D20" s="49">
        <v>5.5300000000000002E-2</v>
      </c>
      <c r="E20" s="13"/>
      <c r="F20" s="13"/>
      <c r="G20" s="13"/>
      <c r="H20" s="47">
        <v>44807</v>
      </c>
      <c r="I20" s="48">
        <v>16345.35</v>
      </c>
      <c r="J20" s="49">
        <v>2.07E-2</v>
      </c>
      <c r="K20" s="13"/>
      <c r="L20" s="13"/>
      <c r="M20" s="43" t="s">
        <v>161</v>
      </c>
      <c r="N20" s="43" t="s">
        <v>174</v>
      </c>
      <c r="O20" s="43" t="s">
        <v>152</v>
      </c>
      <c r="P20" s="43" t="s">
        <v>175</v>
      </c>
      <c r="Q20" s="43" t="s">
        <v>176</v>
      </c>
      <c r="R20" s="43" t="s">
        <v>177</v>
      </c>
      <c r="S20" s="43" t="s">
        <v>178</v>
      </c>
      <c r="T20" s="43" t="s">
        <v>179</v>
      </c>
      <c r="U20" s="43" t="s">
        <v>180</v>
      </c>
      <c r="Y20" s="47">
        <v>44542</v>
      </c>
      <c r="Z20" s="46">
        <v>245.48</v>
      </c>
      <c r="AA20" s="49">
        <v>1.5800000000000002E-2</v>
      </c>
      <c r="AB20" s="13"/>
      <c r="AC20" s="13"/>
      <c r="AD20" s="13"/>
      <c r="AE20" s="47">
        <v>44542</v>
      </c>
      <c r="AF20" s="48">
        <v>16985.2</v>
      </c>
      <c r="AG20" s="49">
        <v>-0.03</v>
      </c>
      <c r="AH20" s="13"/>
      <c r="AI20" s="13"/>
      <c r="AJ20" s="13" t="s">
        <v>182</v>
      </c>
      <c r="AK20" s="13">
        <v>1.2897E-2</v>
      </c>
      <c r="AL20" s="13">
        <v>1.2175E-2</v>
      </c>
      <c r="AM20" s="13">
        <v>1.0593060000000001</v>
      </c>
      <c r="AN20" s="13">
        <v>0.30519099999999999</v>
      </c>
      <c r="AO20" s="13">
        <v>-1.291E-2</v>
      </c>
      <c r="AP20" s="13">
        <v>3.8705999999999997E-2</v>
      </c>
      <c r="AQ20" s="13">
        <v>-1.291E-2</v>
      </c>
      <c r="AR20" s="13">
        <v>3.8705999999999997E-2</v>
      </c>
      <c r="AS20" s="13"/>
      <c r="AW20" s="13"/>
      <c r="AX20" s="13"/>
      <c r="AY20" s="13"/>
      <c r="AZ20" s="13"/>
      <c r="BA20" s="13"/>
      <c r="BB20" s="13"/>
      <c r="BC20" s="13"/>
      <c r="BD20" s="13"/>
      <c r="BE20" s="13"/>
      <c r="BF20" s="13"/>
      <c r="BG20" s="13"/>
      <c r="BH20" s="13" t="s">
        <v>182</v>
      </c>
      <c r="BI20" s="13">
        <v>7.7530000000000002E-2</v>
      </c>
      <c r="BJ20" s="13">
        <v>2.9201000000000001E-2</v>
      </c>
      <c r="BK20" s="13">
        <v>2.6550739999999999</v>
      </c>
      <c r="BL20" s="13">
        <v>0.117395</v>
      </c>
      <c r="BM20" s="13">
        <v>-4.811E-2</v>
      </c>
      <c r="BN20" s="13">
        <v>0.20317099999999999</v>
      </c>
      <c r="BO20" s="13">
        <v>-4.811E-2</v>
      </c>
      <c r="BP20" s="13">
        <v>0.20317099999999999</v>
      </c>
      <c r="BQ20" s="13"/>
    </row>
    <row r="21" spans="1:69">
      <c r="A21" s="13"/>
      <c r="B21" s="47">
        <v>44776</v>
      </c>
      <c r="C21" s="46">
        <v>238.68</v>
      </c>
      <c r="D21" s="49">
        <v>3.0000000000000001E-3</v>
      </c>
      <c r="E21" s="13"/>
      <c r="F21" s="13"/>
      <c r="G21" s="13"/>
      <c r="H21" s="47">
        <v>44776</v>
      </c>
      <c r="I21" s="48">
        <v>16013.45</v>
      </c>
      <c r="J21" s="49">
        <v>9.4999999999999998E-3</v>
      </c>
      <c r="K21" s="13"/>
      <c r="L21" s="13"/>
      <c r="M21" s="13" t="s">
        <v>182</v>
      </c>
      <c r="N21" s="13">
        <v>2.7820000000000002E-3</v>
      </c>
      <c r="O21" s="13">
        <v>3.1480000000000002E-3</v>
      </c>
      <c r="P21" s="13">
        <v>0.88386299999999995</v>
      </c>
      <c r="Q21" s="13">
        <v>0.37915100000000002</v>
      </c>
      <c r="R21" s="13">
        <v>-3.47E-3</v>
      </c>
      <c r="S21" s="13">
        <v>9.0360000000000006E-3</v>
      </c>
      <c r="T21" s="13">
        <v>-3.47E-3</v>
      </c>
      <c r="U21" s="13">
        <v>9.0360000000000006E-3</v>
      </c>
      <c r="Y21" s="47">
        <v>44328</v>
      </c>
      <c r="Z21" s="46">
        <v>241.65</v>
      </c>
      <c r="AA21" s="49">
        <v>0.1293</v>
      </c>
      <c r="AB21" s="13"/>
      <c r="AC21" s="13"/>
      <c r="AD21" s="13"/>
      <c r="AE21" s="47">
        <v>44328</v>
      </c>
      <c r="AF21" s="48">
        <v>17511.3</v>
      </c>
      <c r="AG21" s="49">
        <v>1.83E-2</v>
      </c>
      <c r="AH21" s="13"/>
      <c r="AI21" s="13"/>
      <c r="AJ21" s="45" t="s">
        <v>183</v>
      </c>
      <c r="AK21" s="45">
        <v>1.3660350000000001</v>
      </c>
      <c r="AL21" s="45">
        <v>0.49633899999999997</v>
      </c>
      <c r="AM21" s="45">
        <v>2.752221</v>
      </c>
      <c r="AN21" s="45">
        <v>1.4168999999999999E-2</v>
      </c>
      <c r="AO21" s="45">
        <v>0.31384299999999998</v>
      </c>
      <c r="AP21" s="45">
        <v>2.4182269999999999</v>
      </c>
      <c r="AQ21" s="45">
        <v>0.31384299999999998</v>
      </c>
      <c r="AR21" s="45">
        <v>2.4182269999999999</v>
      </c>
      <c r="AS21" s="13"/>
      <c r="AW21" s="13"/>
      <c r="AX21" s="13"/>
      <c r="AY21" s="13"/>
      <c r="AZ21" s="13"/>
      <c r="BA21" s="13"/>
      <c r="BB21" s="13"/>
      <c r="BC21" s="13"/>
      <c r="BD21" s="13"/>
      <c r="BE21" s="13"/>
      <c r="BF21" s="13"/>
      <c r="BG21" s="13"/>
      <c r="BH21" s="45" t="s">
        <v>183</v>
      </c>
      <c r="BI21" s="45">
        <v>3.2543980000000001</v>
      </c>
      <c r="BJ21" s="45">
        <v>1.055731</v>
      </c>
      <c r="BK21" s="45">
        <v>3.0825999999999998</v>
      </c>
      <c r="BL21" s="45">
        <v>9.1087000000000001E-2</v>
      </c>
      <c r="BM21" s="45">
        <v>-1.2880499999999999</v>
      </c>
      <c r="BN21" s="45">
        <v>7.796843</v>
      </c>
      <c r="BO21" s="45">
        <v>-1.2880499999999999</v>
      </c>
      <c r="BP21" s="45">
        <v>7.796843</v>
      </c>
      <c r="BQ21" s="13"/>
    </row>
    <row r="22" spans="1:69">
      <c r="A22" s="13"/>
      <c r="B22" s="47">
        <v>44745</v>
      </c>
      <c r="C22" s="46">
        <v>237.97</v>
      </c>
      <c r="D22" s="49">
        <v>-4.0899999999999999E-2</v>
      </c>
      <c r="E22" s="13"/>
      <c r="F22" s="13"/>
      <c r="G22" s="13"/>
      <c r="H22" s="47">
        <v>44745</v>
      </c>
      <c r="I22" s="48">
        <v>15863.15</v>
      </c>
      <c r="J22" s="49">
        <v>-2.35E-2</v>
      </c>
      <c r="K22" s="13"/>
      <c r="L22" s="13"/>
      <c r="M22" s="45" t="s">
        <v>183</v>
      </c>
      <c r="N22" s="45">
        <v>1.0864940000000001</v>
      </c>
      <c r="O22" s="45">
        <v>0.24291699999999999</v>
      </c>
      <c r="P22" s="45">
        <v>4.4726900000000001</v>
      </c>
      <c r="Q22" s="56">
        <v>2.27E-5</v>
      </c>
      <c r="R22" s="45">
        <v>0.60382199999999997</v>
      </c>
      <c r="S22" s="45">
        <v>1.5691660000000001</v>
      </c>
      <c r="T22" s="45">
        <v>0.60382199999999997</v>
      </c>
      <c r="U22" s="45">
        <v>1.5691660000000001</v>
      </c>
      <c r="Y22" s="46" t="s">
        <v>732</v>
      </c>
      <c r="Z22" s="46">
        <v>213.98</v>
      </c>
      <c r="AA22" s="49">
        <v>-4.1000000000000002E-2</v>
      </c>
      <c r="AB22" s="13"/>
      <c r="AC22" s="13"/>
      <c r="AD22" s="13"/>
      <c r="AE22" s="46" t="s">
        <v>732</v>
      </c>
      <c r="AF22" s="48">
        <v>17196.7</v>
      </c>
      <c r="AG22" s="49">
        <v>0.01</v>
      </c>
      <c r="AH22" s="13"/>
      <c r="AI22" s="13"/>
      <c r="AJ22" s="13"/>
      <c r="AK22" s="13"/>
      <c r="AL22" s="13"/>
      <c r="AM22" s="13"/>
      <c r="AN22" s="13"/>
      <c r="AO22" s="13"/>
      <c r="AP22" s="13"/>
      <c r="AQ22" s="13"/>
      <c r="AR22" s="13"/>
      <c r="AS22" s="13"/>
      <c r="AW22" s="13"/>
      <c r="AX22" s="13"/>
      <c r="AY22" s="13"/>
      <c r="AZ22" s="13"/>
      <c r="BA22" s="13"/>
      <c r="BB22" s="13"/>
      <c r="BC22" s="13"/>
      <c r="BD22" s="13"/>
      <c r="BE22" s="13"/>
      <c r="BF22" s="13"/>
      <c r="BG22" s="13"/>
      <c r="BH22" s="13"/>
      <c r="BI22" s="13"/>
      <c r="BJ22" s="13"/>
      <c r="BK22" s="13"/>
      <c r="BL22" s="13"/>
      <c r="BM22" s="13"/>
      <c r="BN22" s="13"/>
      <c r="BO22" s="13"/>
      <c r="BP22" s="13"/>
      <c r="BQ22" s="13"/>
    </row>
    <row r="23" spans="1:69">
      <c r="A23" s="13"/>
      <c r="B23" s="47">
        <v>44654</v>
      </c>
      <c r="C23" s="46">
        <v>248.13</v>
      </c>
      <c r="D23" s="49">
        <v>-1.14E-2</v>
      </c>
      <c r="E23" s="13"/>
      <c r="F23" s="13"/>
      <c r="G23" s="13"/>
      <c r="H23" s="47">
        <v>44654</v>
      </c>
      <c r="I23" s="48">
        <v>16245.35</v>
      </c>
      <c r="J23" s="49">
        <v>-1.5299999999999999E-2</v>
      </c>
      <c r="K23" s="13"/>
      <c r="L23" s="13"/>
      <c r="M23" s="13"/>
      <c r="N23" s="13"/>
      <c r="O23" s="13"/>
      <c r="P23" s="13"/>
      <c r="Q23" s="13"/>
      <c r="R23" s="13"/>
      <c r="S23" s="13"/>
      <c r="T23" s="13"/>
      <c r="U23" s="13"/>
      <c r="AJ23" s="60" t="s">
        <v>185</v>
      </c>
      <c r="AK23" s="60">
        <v>1.3660350000000001</v>
      </c>
      <c r="BH23" s="60" t="s">
        <v>185</v>
      </c>
      <c r="BI23" s="60">
        <v>3.2543980000000001</v>
      </c>
    </row>
    <row r="24" spans="1:69">
      <c r="A24" s="13"/>
      <c r="B24" s="47">
        <v>44623</v>
      </c>
      <c r="C24" s="46">
        <v>251</v>
      </c>
      <c r="D24" s="49">
        <v>-1.67E-2</v>
      </c>
      <c r="E24" s="13"/>
      <c r="F24" s="13"/>
      <c r="G24" s="13"/>
      <c r="H24" s="47">
        <v>44623</v>
      </c>
      <c r="I24" s="48">
        <v>16498.05</v>
      </c>
      <c r="J24" s="49">
        <v>-6.4999999999999997E-3</v>
      </c>
      <c r="K24" s="13"/>
      <c r="L24" s="13"/>
      <c r="M24" s="51" t="s">
        <v>185</v>
      </c>
      <c r="N24" s="51">
        <v>1.0864940000000001</v>
      </c>
      <c r="O24" s="13"/>
      <c r="P24" s="13"/>
      <c r="Q24" s="13"/>
      <c r="R24" s="13"/>
      <c r="S24" s="13"/>
      <c r="T24" s="13"/>
      <c r="U24" s="13"/>
    </row>
    <row r="25" spans="1:69">
      <c r="A25" s="13"/>
      <c r="B25" s="47">
        <v>44595</v>
      </c>
      <c r="C25" s="46">
        <v>255.25</v>
      </c>
      <c r="D25" s="49">
        <v>1.5E-3</v>
      </c>
      <c r="E25" s="13"/>
      <c r="F25" s="13"/>
      <c r="G25" s="13"/>
      <c r="H25" s="47">
        <v>44595</v>
      </c>
      <c r="I25" s="48">
        <v>16605.95</v>
      </c>
      <c r="J25" s="49">
        <v>-1.12E-2</v>
      </c>
      <c r="K25" s="13"/>
      <c r="L25" s="13"/>
      <c r="M25" s="13"/>
      <c r="N25" s="13"/>
      <c r="O25" s="13"/>
      <c r="P25" s="13"/>
      <c r="Q25" s="13"/>
      <c r="R25" s="13"/>
      <c r="S25" s="13"/>
      <c r="T25" s="13"/>
      <c r="U25" s="13"/>
    </row>
    <row r="26" spans="1:69">
      <c r="A26" s="13"/>
      <c r="B26" s="46" t="s">
        <v>733</v>
      </c>
      <c r="C26" s="46">
        <v>254.86</v>
      </c>
      <c r="D26" s="49">
        <v>-1.5100000000000001E-2</v>
      </c>
      <c r="E26" s="13"/>
      <c r="F26" s="13"/>
      <c r="G26" s="13"/>
      <c r="H26" s="46" t="s">
        <v>733</v>
      </c>
      <c r="I26" s="48">
        <v>16793.900000000001</v>
      </c>
      <c r="J26" s="49">
        <v>8.0999999999999996E-3</v>
      </c>
      <c r="K26" s="13"/>
      <c r="L26" s="13"/>
      <c r="M26" s="13"/>
      <c r="N26" s="13"/>
      <c r="O26" s="13"/>
      <c r="P26" s="13"/>
      <c r="Q26" s="13"/>
      <c r="R26" s="13"/>
      <c r="S26" s="13"/>
      <c r="T26" s="13"/>
      <c r="U26" s="13"/>
    </row>
    <row r="27" spans="1:69">
      <c r="A27" s="13"/>
      <c r="B27" s="46" t="s">
        <v>734</v>
      </c>
      <c r="C27" s="46">
        <v>258.77999999999997</v>
      </c>
      <c r="D27" s="49">
        <v>8.0999999999999996E-3</v>
      </c>
      <c r="E27" s="13"/>
      <c r="F27" s="13"/>
      <c r="G27" s="13"/>
      <c r="H27" s="46" t="s">
        <v>734</v>
      </c>
      <c r="I27" s="48">
        <v>16658.400000000001</v>
      </c>
      <c r="J27" s="49">
        <v>2.53E-2</v>
      </c>
      <c r="K27" s="13"/>
      <c r="L27" s="13"/>
      <c r="M27" s="13"/>
      <c r="N27" s="13"/>
      <c r="O27" s="13"/>
      <c r="P27" s="13"/>
      <c r="Q27" s="13"/>
      <c r="R27" s="13"/>
      <c r="S27" s="13"/>
      <c r="T27" s="13"/>
      <c r="U27" s="13"/>
    </row>
    <row r="28" spans="1:69">
      <c r="A28" s="13"/>
      <c r="B28" s="46" t="s">
        <v>735</v>
      </c>
      <c r="C28" s="46">
        <v>256.7</v>
      </c>
      <c r="D28" s="49">
        <v>-5.11E-2</v>
      </c>
      <c r="E28" s="13"/>
      <c r="F28" s="13"/>
      <c r="G28" s="13"/>
      <c r="H28" s="46" t="s">
        <v>735</v>
      </c>
      <c r="I28" s="48">
        <v>16247.95</v>
      </c>
      <c r="J28" s="49">
        <v>-4.7800000000000002E-2</v>
      </c>
      <c r="K28" s="13"/>
      <c r="L28" s="13"/>
      <c r="M28" s="13"/>
      <c r="N28" s="13"/>
      <c r="O28" s="13"/>
      <c r="P28" s="13"/>
      <c r="Q28" s="13"/>
      <c r="R28" s="13"/>
      <c r="S28" s="13"/>
      <c r="T28" s="13"/>
      <c r="U28" s="13"/>
    </row>
    <row r="29" spans="1:69">
      <c r="A29" s="13"/>
      <c r="B29" s="46" t="s">
        <v>736</v>
      </c>
      <c r="C29" s="46">
        <v>270.52</v>
      </c>
      <c r="D29" s="49">
        <v>3.2800000000000003E-2</v>
      </c>
      <c r="E29" s="13"/>
      <c r="F29" s="13"/>
      <c r="G29" s="13"/>
      <c r="H29" s="46" t="s">
        <v>736</v>
      </c>
      <c r="I29" s="48">
        <v>17063.25</v>
      </c>
      <c r="J29" s="49">
        <v>-1.6999999999999999E-3</v>
      </c>
      <c r="K29" s="13"/>
      <c r="L29" s="13"/>
      <c r="M29" s="13"/>
      <c r="N29" s="13"/>
      <c r="O29" s="13"/>
      <c r="P29" s="13"/>
      <c r="Q29" s="13"/>
      <c r="R29" s="13"/>
      <c r="S29" s="13"/>
      <c r="T29" s="13"/>
      <c r="U29" s="13"/>
    </row>
    <row r="30" spans="1:69">
      <c r="A30" s="13"/>
      <c r="B30" s="46" t="s">
        <v>737</v>
      </c>
      <c r="C30" s="46">
        <v>261.92</v>
      </c>
      <c r="D30" s="49">
        <v>-1.32E-2</v>
      </c>
      <c r="E30" s="13"/>
      <c r="F30" s="13"/>
      <c r="G30" s="13"/>
      <c r="H30" s="46" t="s">
        <v>737</v>
      </c>
      <c r="I30" s="48">
        <v>17092.2</v>
      </c>
      <c r="J30" s="49">
        <v>-6.7000000000000002E-3</v>
      </c>
      <c r="K30" s="13"/>
      <c r="L30" s="13"/>
      <c r="M30" s="13"/>
      <c r="N30" s="13"/>
      <c r="O30" s="13"/>
      <c r="P30" s="13"/>
      <c r="Q30" s="13"/>
      <c r="R30" s="13"/>
      <c r="S30" s="13"/>
      <c r="T30" s="13"/>
      <c r="U30" s="13"/>
    </row>
    <row r="31" spans="1:69">
      <c r="A31" s="13"/>
      <c r="B31" s="46" t="s">
        <v>738</v>
      </c>
      <c r="C31" s="46">
        <v>265.43</v>
      </c>
      <c r="D31" s="49">
        <v>-6.4600000000000005E-2</v>
      </c>
      <c r="E31" s="13"/>
      <c r="F31" s="13"/>
      <c r="G31" s="13"/>
      <c r="H31" s="46" t="s">
        <v>738</v>
      </c>
      <c r="I31" s="48">
        <v>17206.650000000001</v>
      </c>
      <c r="J31" s="49">
        <v>-4.0000000000000001E-3</v>
      </c>
      <c r="K31" s="13"/>
      <c r="L31" s="13"/>
      <c r="M31" s="13"/>
      <c r="N31" s="13"/>
      <c r="O31" s="13"/>
      <c r="P31" s="13"/>
      <c r="Q31" s="13"/>
      <c r="R31" s="13"/>
      <c r="S31" s="13"/>
      <c r="T31" s="13"/>
      <c r="U31" s="13"/>
    </row>
    <row r="32" spans="1:69">
      <c r="A32" s="13"/>
      <c r="B32" s="46" t="s">
        <v>739</v>
      </c>
      <c r="C32" s="46">
        <v>283.76</v>
      </c>
      <c r="D32" s="49">
        <v>-3.3799999999999997E-2</v>
      </c>
      <c r="E32" s="13"/>
      <c r="F32" s="13"/>
      <c r="G32" s="13"/>
      <c r="H32" s="46" t="s">
        <v>739</v>
      </c>
      <c r="I32" s="48">
        <v>17276.3</v>
      </c>
      <c r="J32" s="49">
        <v>-1.6000000000000001E-3</v>
      </c>
      <c r="K32" s="13"/>
      <c r="L32" s="13"/>
      <c r="M32" s="13"/>
      <c r="N32" s="13"/>
      <c r="O32" s="13"/>
      <c r="P32" s="13"/>
      <c r="Q32" s="13"/>
      <c r="R32" s="13"/>
      <c r="S32" s="13"/>
      <c r="T32" s="13"/>
      <c r="U32" s="13"/>
    </row>
    <row r="33" spans="1:21">
      <c r="A33" s="13"/>
      <c r="B33" s="46" t="s">
        <v>740</v>
      </c>
      <c r="C33" s="46">
        <v>293.69</v>
      </c>
      <c r="D33" s="49">
        <v>5.8999999999999999E-3</v>
      </c>
      <c r="E33" s="13"/>
      <c r="F33" s="13"/>
      <c r="G33" s="13"/>
      <c r="H33" s="46" t="s">
        <v>740</v>
      </c>
      <c r="I33" s="48">
        <v>17304.599999999999</v>
      </c>
      <c r="J33" s="49">
        <v>-1E-3</v>
      </c>
      <c r="K33" s="13"/>
      <c r="L33" s="13"/>
      <c r="M33" s="13"/>
      <c r="N33" s="13"/>
      <c r="O33" s="13"/>
      <c r="P33" s="13"/>
      <c r="Q33" s="13"/>
      <c r="R33" s="13"/>
      <c r="S33" s="13"/>
      <c r="T33" s="13"/>
      <c r="U33" s="13"/>
    </row>
    <row r="34" spans="1:21">
      <c r="A34" s="13"/>
      <c r="B34" s="46" t="s">
        <v>741</v>
      </c>
      <c r="C34" s="46">
        <v>291.95999999999998</v>
      </c>
      <c r="D34" s="49">
        <v>2.2200000000000001E-2</v>
      </c>
      <c r="E34" s="13"/>
      <c r="F34" s="13"/>
      <c r="G34" s="13"/>
      <c r="H34" s="46" t="s">
        <v>741</v>
      </c>
      <c r="I34" s="48">
        <v>17322.2</v>
      </c>
      <c r="J34" s="49">
        <v>-1.6999999999999999E-3</v>
      </c>
      <c r="K34" s="13"/>
      <c r="L34" s="13"/>
      <c r="M34" s="13"/>
      <c r="N34" s="13"/>
      <c r="O34" s="13"/>
      <c r="P34" s="13"/>
      <c r="Q34" s="13"/>
      <c r="R34" s="13"/>
      <c r="S34" s="13"/>
      <c r="T34" s="13"/>
      <c r="U34" s="13"/>
    </row>
    <row r="35" spans="1:21">
      <c r="A35" s="13"/>
      <c r="B35" s="46" t="s">
        <v>742</v>
      </c>
      <c r="C35" s="46">
        <v>285.62</v>
      </c>
      <c r="D35" s="49">
        <v>3.3E-3</v>
      </c>
      <c r="E35" s="13"/>
      <c r="F35" s="13"/>
      <c r="G35" s="13"/>
      <c r="H35" s="46" t="s">
        <v>742</v>
      </c>
      <c r="I35" s="48">
        <v>17352.45</v>
      </c>
      <c r="J35" s="49">
        <v>3.0300000000000001E-2</v>
      </c>
      <c r="K35" s="13"/>
      <c r="L35" s="13"/>
      <c r="M35" s="13"/>
      <c r="N35" s="13"/>
      <c r="O35" s="13"/>
      <c r="P35" s="13"/>
      <c r="Q35" s="13"/>
      <c r="R35" s="13"/>
      <c r="S35" s="13"/>
      <c r="T35" s="13"/>
      <c r="U35" s="13"/>
    </row>
    <row r="36" spans="1:21">
      <c r="A36" s="13"/>
      <c r="B36" s="46" t="s">
        <v>743</v>
      </c>
      <c r="C36" s="46">
        <v>284.68</v>
      </c>
      <c r="D36" s="49">
        <v>-2.1399999999999999E-2</v>
      </c>
      <c r="E36" s="13"/>
      <c r="F36" s="13"/>
      <c r="G36" s="13"/>
      <c r="H36" s="46" t="s">
        <v>743</v>
      </c>
      <c r="I36" s="48">
        <v>16842.8</v>
      </c>
      <c r="J36" s="49">
        <v>-3.0599999999999999E-2</v>
      </c>
      <c r="K36" s="13"/>
      <c r="L36" s="13"/>
      <c r="M36" s="13"/>
      <c r="N36" s="13"/>
      <c r="O36" s="13"/>
      <c r="P36" s="13"/>
      <c r="Q36" s="13"/>
      <c r="R36" s="13"/>
      <c r="S36" s="13"/>
      <c r="T36" s="13"/>
      <c r="U36" s="13"/>
    </row>
    <row r="37" spans="1:21">
      <c r="A37" s="13"/>
      <c r="B37" s="47">
        <v>44867</v>
      </c>
      <c r="C37" s="46">
        <v>290.92</v>
      </c>
      <c r="D37" s="49">
        <v>0.1206</v>
      </c>
      <c r="E37" s="13"/>
      <c r="F37" s="13"/>
      <c r="G37" s="13"/>
      <c r="H37" s="47">
        <v>44867</v>
      </c>
      <c r="I37" s="48">
        <v>17374.75</v>
      </c>
      <c r="J37" s="49">
        <v>-1.3100000000000001E-2</v>
      </c>
      <c r="K37" s="13"/>
      <c r="L37" s="13"/>
      <c r="M37" s="13"/>
      <c r="N37" s="13"/>
      <c r="O37" s="13"/>
      <c r="P37" s="13"/>
      <c r="Q37" s="13"/>
      <c r="R37" s="13"/>
      <c r="S37" s="13"/>
      <c r="T37" s="13"/>
      <c r="U37" s="13"/>
    </row>
    <row r="38" spans="1:21">
      <c r="A38" s="13"/>
      <c r="B38" s="47">
        <v>44836</v>
      </c>
      <c r="C38" s="46">
        <v>259.60000000000002</v>
      </c>
      <c r="D38" s="49">
        <v>2.2200000000000001E-2</v>
      </c>
      <c r="E38" s="13"/>
      <c r="F38" s="13"/>
      <c r="G38" s="13"/>
      <c r="H38" s="47">
        <v>44836</v>
      </c>
      <c r="I38" s="48">
        <v>17605.849999999999</v>
      </c>
      <c r="J38" s="49">
        <v>8.0999999999999996E-3</v>
      </c>
      <c r="K38" s="13"/>
      <c r="L38" s="13"/>
      <c r="M38" s="13"/>
      <c r="N38" s="13"/>
      <c r="O38" s="13"/>
      <c r="P38" s="13"/>
      <c r="Q38" s="13"/>
      <c r="R38" s="13"/>
      <c r="S38" s="13"/>
      <c r="T38" s="13"/>
      <c r="U38" s="13"/>
    </row>
    <row r="39" spans="1:21">
      <c r="A39" s="13"/>
      <c r="B39" s="47">
        <v>44806</v>
      </c>
      <c r="C39" s="46">
        <v>253.96</v>
      </c>
      <c r="D39" s="49">
        <v>8.9999999999999998E-4</v>
      </c>
      <c r="E39" s="13"/>
      <c r="F39" s="13"/>
      <c r="G39" s="13"/>
      <c r="H39" s="47">
        <v>44806</v>
      </c>
      <c r="I39" s="48">
        <v>17463.8</v>
      </c>
      <c r="J39" s="49">
        <v>1.14E-2</v>
      </c>
      <c r="K39" s="13"/>
      <c r="L39" s="13"/>
      <c r="M39" s="13"/>
      <c r="N39" s="13"/>
      <c r="O39" s="13"/>
      <c r="P39" s="13"/>
      <c r="Q39" s="13"/>
      <c r="R39" s="13"/>
      <c r="S39" s="13"/>
      <c r="T39" s="13"/>
      <c r="U39" s="13"/>
    </row>
    <row r="40" spans="1:21">
      <c r="A40" s="13"/>
      <c r="B40" s="47">
        <v>44775</v>
      </c>
      <c r="C40" s="46">
        <v>253.73</v>
      </c>
      <c r="D40" s="49">
        <v>-2.46E-2</v>
      </c>
      <c r="E40" s="13"/>
      <c r="F40" s="13"/>
      <c r="G40" s="13"/>
      <c r="H40" s="47">
        <v>44775</v>
      </c>
      <c r="I40" s="48">
        <v>17266.75</v>
      </c>
      <c r="J40" s="49">
        <v>3.0999999999999999E-3</v>
      </c>
      <c r="K40" s="13"/>
      <c r="L40" s="13"/>
      <c r="M40" s="13"/>
      <c r="N40" s="13"/>
      <c r="O40" s="13"/>
      <c r="P40" s="13"/>
      <c r="Q40" s="13"/>
      <c r="R40" s="13"/>
      <c r="S40" s="13"/>
      <c r="T40" s="13"/>
      <c r="U40" s="13"/>
    </row>
    <row r="41" spans="1:21">
      <c r="A41" s="13"/>
      <c r="B41" s="47">
        <v>44744</v>
      </c>
      <c r="C41" s="46">
        <v>260.12</v>
      </c>
      <c r="D41" s="49">
        <v>-1.7000000000000001E-2</v>
      </c>
      <c r="E41" s="13"/>
      <c r="F41" s="13"/>
      <c r="G41" s="13"/>
      <c r="H41" s="47">
        <v>44744</v>
      </c>
      <c r="I41" s="48">
        <v>17213.599999999999</v>
      </c>
      <c r="J41" s="49">
        <v>-1.7299999999999999E-2</v>
      </c>
      <c r="K41" s="13"/>
      <c r="L41" s="13"/>
      <c r="M41" s="13"/>
      <c r="N41" s="13"/>
      <c r="O41" s="13"/>
      <c r="P41" s="13"/>
      <c r="Q41" s="13"/>
      <c r="R41" s="13"/>
      <c r="S41" s="13"/>
      <c r="T41" s="13"/>
      <c r="U41" s="13"/>
    </row>
    <row r="42" spans="1:21">
      <c r="A42" s="13"/>
      <c r="B42" s="47">
        <v>44653</v>
      </c>
      <c r="C42" s="46">
        <v>264.62</v>
      </c>
      <c r="D42" s="49">
        <v>-2.4899999999999999E-2</v>
      </c>
      <c r="E42" s="13"/>
      <c r="F42" s="13"/>
      <c r="G42" s="13"/>
      <c r="H42" s="47">
        <v>44653</v>
      </c>
      <c r="I42" s="48">
        <v>17516.3</v>
      </c>
      <c r="J42" s="49">
        <v>-2.5000000000000001E-3</v>
      </c>
      <c r="K42" s="13"/>
      <c r="L42" s="13"/>
      <c r="M42" s="13"/>
      <c r="N42" s="13"/>
      <c r="O42" s="13"/>
      <c r="P42" s="13"/>
      <c r="Q42" s="13"/>
      <c r="R42" s="13"/>
      <c r="S42" s="13"/>
      <c r="T42" s="13"/>
      <c r="U42" s="13"/>
    </row>
    <row r="43" spans="1:21">
      <c r="A43" s="13"/>
      <c r="B43" s="47">
        <v>44622</v>
      </c>
      <c r="C43" s="46">
        <v>271.37</v>
      </c>
      <c r="D43" s="49">
        <v>-2E-3</v>
      </c>
      <c r="E43" s="13"/>
      <c r="F43" s="13"/>
      <c r="G43" s="13"/>
      <c r="H43" s="47">
        <v>44622</v>
      </c>
      <c r="I43" s="48">
        <v>17560.2</v>
      </c>
      <c r="J43" s="49">
        <v>-1.24E-2</v>
      </c>
      <c r="K43" s="13"/>
      <c r="L43" s="13"/>
      <c r="M43" s="13"/>
      <c r="N43" s="13"/>
      <c r="O43" s="13"/>
      <c r="P43" s="13"/>
      <c r="Q43" s="13"/>
      <c r="R43" s="13"/>
      <c r="S43" s="13"/>
      <c r="T43" s="13"/>
      <c r="U43" s="13"/>
    </row>
    <row r="44" spans="1:21">
      <c r="A44" s="13"/>
      <c r="B44" s="47">
        <v>44594</v>
      </c>
      <c r="C44" s="46">
        <v>271.92</v>
      </c>
      <c r="D44" s="49">
        <v>5.5999999999999999E-3</v>
      </c>
      <c r="E44" s="13"/>
      <c r="F44" s="13"/>
      <c r="G44" s="13"/>
      <c r="H44" s="47">
        <v>44594</v>
      </c>
      <c r="I44" s="48">
        <v>17780</v>
      </c>
      <c r="J44" s="49">
        <v>1.1599999999999999E-2</v>
      </c>
      <c r="K44" s="13"/>
      <c r="L44" s="13"/>
      <c r="M44" s="13"/>
      <c r="N44" s="13"/>
      <c r="O44" s="13"/>
      <c r="P44" s="13"/>
      <c r="Q44" s="13"/>
      <c r="R44" s="13"/>
      <c r="S44" s="13"/>
      <c r="T44" s="13"/>
      <c r="U44" s="13"/>
    </row>
    <row r="45" spans="1:21">
      <c r="A45" s="13"/>
      <c r="B45" s="47">
        <v>44563</v>
      </c>
      <c r="C45" s="46">
        <v>270.41000000000003</v>
      </c>
      <c r="D45" s="49">
        <v>3.5000000000000001E-3</v>
      </c>
      <c r="E45" s="13"/>
      <c r="F45" s="13"/>
      <c r="G45" s="13"/>
      <c r="H45" s="47">
        <v>44563</v>
      </c>
      <c r="I45" s="48">
        <v>17576.849999999999</v>
      </c>
      <c r="J45" s="49">
        <v>1.37E-2</v>
      </c>
      <c r="K45" s="13"/>
      <c r="L45" s="13"/>
      <c r="M45" s="13"/>
      <c r="N45" s="13"/>
      <c r="O45" s="13"/>
      <c r="P45" s="13"/>
      <c r="Q45" s="13"/>
      <c r="R45" s="13"/>
      <c r="S45" s="13"/>
      <c r="T45" s="13"/>
      <c r="U45" s="13"/>
    </row>
    <row r="46" spans="1:21">
      <c r="A46" s="13"/>
      <c r="B46" s="46" t="s">
        <v>744</v>
      </c>
      <c r="C46" s="46">
        <v>269.48</v>
      </c>
      <c r="D46" s="49">
        <v>2.2800000000000001E-2</v>
      </c>
      <c r="E46" s="13"/>
      <c r="F46" s="13"/>
      <c r="G46" s="13"/>
      <c r="H46" s="46" t="s">
        <v>744</v>
      </c>
      <c r="I46" s="48">
        <v>17339.849999999999</v>
      </c>
      <c r="J46" s="49">
        <v>1.3899999999999999E-2</v>
      </c>
      <c r="K46" s="13"/>
      <c r="L46" s="13"/>
      <c r="M46" s="13"/>
      <c r="N46" s="13"/>
      <c r="O46" s="13"/>
      <c r="P46" s="13"/>
      <c r="Q46" s="13"/>
      <c r="R46" s="13"/>
      <c r="S46" s="13"/>
      <c r="T46" s="13"/>
      <c r="U46" s="13"/>
    </row>
    <row r="47" spans="1:21">
      <c r="A47" s="13"/>
      <c r="B47" s="46" t="s">
        <v>745</v>
      </c>
      <c r="C47" s="46">
        <v>263.48</v>
      </c>
      <c r="D47" s="49">
        <v>5.5500000000000001E-2</v>
      </c>
      <c r="E47" s="13"/>
      <c r="F47" s="13"/>
      <c r="G47" s="13"/>
      <c r="H47" s="46" t="s">
        <v>745</v>
      </c>
      <c r="I47" s="48">
        <v>17101.95</v>
      </c>
      <c r="J47" s="49">
        <v>-5.0000000000000001E-4</v>
      </c>
      <c r="K47" s="13"/>
      <c r="L47" s="13"/>
      <c r="M47" s="13"/>
      <c r="N47" s="13"/>
      <c r="O47" s="13"/>
      <c r="P47" s="13"/>
      <c r="Q47" s="13"/>
      <c r="R47" s="13"/>
      <c r="S47" s="13"/>
      <c r="T47" s="13"/>
      <c r="U47" s="13"/>
    </row>
    <row r="48" spans="1:21">
      <c r="A48" s="13"/>
      <c r="B48" s="46" t="s">
        <v>746</v>
      </c>
      <c r="C48" s="46">
        <v>249.62</v>
      </c>
      <c r="D48" s="49">
        <v>-1.1900000000000001E-2</v>
      </c>
      <c r="E48" s="13"/>
      <c r="F48" s="13"/>
      <c r="G48" s="13"/>
      <c r="H48" s="46" t="s">
        <v>746</v>
      </c>
      <c r="I48" s="48">
        <v>17110.150000000001</v>
      </c>
      <c r="J48" s="49">
        <v>-9.7000000000000003E-3</v>
      </c>
      <c r="K48" s="13"/>
      <c r="L48" s="13"/>
      <c r="M48" s="13"/>
      <c r="N48" s="13"/>
      <c r="O48" s="13"/>
      <c r="P48" s="13"/>
      <c r="Q48" s="13"/>
      <c r="R48" s="13"/>
      <c r="S48" s="13"/>
      <c r="T48" s="13"/>
      <c r="U48" s="13"/>
    </row>
    <row r="49" spans="1:21">
      <c r="A49" s="13"/>
      <c r="B49" s="46" t="s">
        <v>747</v>
      </c>
      <c r="C49" s="46">
        <v>252.62</v>
      </c>
      <c r="D49" s="49">
        <v>-1.72E-2</v>
      </c>
      <c r="E49" s="13"/>
      <c r="F49" s="13"/>
      <c r="G49" s="13"/>
      <c r="H49" s="46" t="s">
        <v>747</v>
      </c>
      <c r="I49" s="48">
        <v>17277.95</v>
      </c>
      <c r="J49" s="49">
        <v>7.4999999999999997E-3</v>
      </c>
      <c r="K49" s="13"/>
      <c r="L49" s="13"/>
      <c r="M49" s="13"/>
      <c r="N49" s="13"/>
      <c r="O49" s="13"/>
      <c r="P49" s="13"/>
      <c r="Q49" s="13"/>
      <c r="R49" s="13"/>
      <c r="S49" s="13"/>
      <c r="T49" s="13"/>
      <c r="U49" s="13"/>
    </row>
    <row r="50" spans="1:21">
      <c r="A50" s="13"/>
      <c r="B50" s="46" t="s">
        <v>748</v>
      </c>
      <c r="C50" s="46">
        <v>257.04000000000002</v>
      </c>
      <c r="D50" s="49">
        <v>-6.93E-2</v>
      </c>
      <c r="E50" s="13"/>
      <c r="F50" s="13"/>
      <c r="G50" s="13"/>
      <c r="H50" s="46" t="s">
        <v>748</v>
      </c>
      <c r="I50" s="48">
        <v>17149.099999999999</v>
      </c>
      <c r="J50" s="49">
        <v>-2.6599999999999999E-2</v>
      </c>
      <c r="K50" s="13"/>
      <c r="L50" s="13"/>
      <c r="M50" s="13"/>
      <c r="N50" s="13"/>
      <c r="O50" s="13"/>
      <c r="P50" s="13"/>
      <c r="Q50" s="13"/>
      <c r="R50" s="13"/>
      <c r="S50" s="13"/>
      <c r="T50" s="13"/>
      <c r="U50" s="13"/>
    </row>
    <row r="51" spans="1:21">
      <c r="A51" s="13"/>
      <c r="B51" s="46" t="s">
        <v>749</v>
      </c>
      <c r="C51" s="46">
        <v>276.18</v>
      </c>
      <c r="D51" s="49">
        <v>-2.6499999999999999E-2</v>
      </c>
      <c r="E51" s="13"/>
      <c r="F51" s="13"/>
      <c r="G51" s="13"/>
      <c r="H51" s="46" t="s">
        <v>749</v>
      </c>
      <c r="I51" s="48">
        <v>17617.150000000001</v>
      </c>
      <c r="J51" s="49">
        <v>-7.9000000000000008E-3</v>
      </c>
      <c r="K51" s="13"/>
      <c r="L51" s="13"/>
      <c r="M51" s="13"/>
      <c r="N51" s="13"/>
      <c r="O51" s="13"/>
      <c r="P51" s="13"/>
      <c r="Q51" s="13"/>
      <c r="R51" s="13"/>
      <c r="S51" s="13"/>
      <c r="T51" s="13"/>
      <c r="U51" s="13"/>
    </row>
    <row r="52" spans="1:21">
      <c r="A52" s="13"/>
      <c r="B52" s="46" t="s">
        <v>750</v>
      </c>
      <c r="C52" s="46">
        <v>283.7</v>
      </c>
      <c r="D52" s="49">
        <v>8.0999999999999996E-3</v>
      </c>
      <c r="E52" s="13"/>
      <c r="F52" s="13"/>
      <c r="G52" s="13"/>
      <c r="H52" s="46" t="s">
        <v>750</v>
      </c>
      <c r="I52" s="48">
        <v>17757</v>
      </c>
      <c r="J52" s="49">
        <v>-1.01E-2</v>
      </c>
      <c r="K52" s="13"/>
      <c r="L52" s="13"/>
      <c r="M52" s="13"/>
      <c r="N52" s="13"/>
      <c r="O52" s="13"/>
      <c r="P52" s="13"/>
      <c r="Q52" s="13"/>
      <c r="R52" s="13"/>
      <c r="S52" s="13"/>
      <c r="T52" s="13"/>
      <c r="U52" s="13"/>
    </row>
    <row r="53" spans="1:21">
      <c r="A53" s="13"/>
      <c r="B53" s="46" t="s">
        <v>751</v>
      </c>
      <c r="C53" s="46">
        <v>281.41000000000003</v>
      </c>
      <c r="D53" s="49">
        <v>-1.9599999999999999E-2</v>
      </c>
      <c r="E53" s="13"/>
      <c r="F53" s="13"/>
      <c r="G53" s="13"/>
      <c r="H53" s="46" t="s">
        <v>751</v>
      </c>
      <c r="I53" s="48">
        <v>17938.400000000001</v>
      </c>
      <c r="J53" s="49">
        <v>-9.5999999999999992E-3</v>
      </c>
      <c r="K53" s="13"/>
      <c r="L53" s="13"/>
      <c r="M53" s="13"/>
      <c r="N53" s="13"/>
      <c r="O53" s="13"/>
      <c r="P53" s="13"/>
      <c r="Q53" s="13"/>
      <c r="R53" s="13"/>
      <c r="S53" s="13"/>
      <c r="T53" s="13"/>
      <c r="U53" s="13"/>
    </row>
    <row r="54" spans="1:21">
      <c r="A54" s="13"/>
      <c r="B54" s="46" t="s">
        <v>752</v>
      </c>
      <c r="C54" s="46">
        <v>287.05</v>
      </c>
      <c r="D54" s="49">
        <v>-3.3E-3</v>
      </c>
      <c r="E54" s="13"/>
      <c r="F54" s="13"/>
      <c r="G54" s="13"/>
      <c r="H54" s="46" t="s">
        <v>752</v>
      </c>
      <c r="I54" s="48">
        <v>18113.05</v>
      </c>
      <c r="J54" s="49">
        <v>-1.0699999999999999E-2</v>
      </c>
      <c r="K54" s="13"/>
      <c r="L54" s="13"/>
      <c r="M54" s="13"/>
      <c r="N54" s="13"/>
      <c r="O54" s="13"/>
      <c r="P54" s="13"/>
      <c r="Q54" s="13"/>
      <c r="R54" s="13"/>
      <c r="S54" s="13"/>
      <c r="T54" s="13"/>
      <c r="U54" s="13"/>
    </row>
    <row r="55" spans="1:21">
      <c r="A55" s="13"/>
      <c r="B55" s="46" t="s">
        <v>753</v>
      </c>
      <c r="C55" s="46">
        <v>288</v>
      </c>
      <c r="D55" s="49">
        <v>1.84E-2</v>
      </c>
      <c r="E55" s="13"/>
      <c r="F55" s="13"/>
      <c r="G55" s="13"/>
      <c r="H55" s="46" t="s">
        <v>753</v>
      </c>
      <c r="I55" s="48">
        <v>18308.099999999999</v>
      </c>
      <c r="J55" s="49">
        <v>2.8999999999999998E-3</v>
      </c>
      <c r="K55" s="13"/>
      <c r="L55" s="13"/>
      <c r="M55" s="13"/>
      <c r="N55" s="13"/>
      <c r="O55" s="13"/>
      <c r="P55" s="13"/>
      <c r="Q55" s="13"/>
      <c r="R55" s="13"/>
      <c r="S55" s="13"/>
      <c r="T55" s="13"/>
      <c r="U55" s="13"/>
    </row>
    <row r="56" spans="1:21">
      <c r="A56" s="13"/>
      <c r="B56" s="46" t="s">
        <v>754</v>
      </c>
      <c r="C56" s="46">
        <v>282.79000000000002</v>
      </c>
      <c r="D56" s="49">
        <v>1.4E-3</v>
      </c>
      <c r="E56" s="13"/>
      <c r="F56" s="13"/>
      <c r="G56" s="13"/>
      <c r="H56" s="46" t="s">
        <v>754</v>
      </c>
      <c r="I56" s="48">
        <v>18255.75</v>
      </c>
      <c r="J56" s="49">
        <v>-1E-4</v>
      </c>
      <c r="K56" s="13"/>
      <c r="L56" s="13"/>
      <c r="M56" s="13"/>
      <c r="N56" s="13"/>
      <c r="O56" s="13"/>
      <c r="P56" s="13"/>
      <c r="Q56" s="13"/>
      <c r="R56" s="13"/>
      <c r="S56" s="13"/>
      <c r="T56" s="13"/>
      <c r="U56" s="13"/>
    </row>
    <row r="57" spans="1:21">
      <c r="A57" s="13"/>
      <c r="B57" s="46" t="s">
        <v>755</v>
      </c>
      <c r="C57" s="46">
        <v>282.39</v>
      </c>
      <c r="D57" s="49">
        <v>3.56E-2</v>
      </c>
      <c r="E57" s="13"/>
      <c r="F57" s="13"/>
      <c r="G57" s="13"/>
      <c r="H57" s="46" t="s">
        <v>755</v>
      </c>
      <c r="I57" s="48">
        <v>18257.8</v>
      </c>
      <c r="J57" s="49">
        <v>2.5000000000000001E-3</v>
      </c>
      <c r="K57" s="13"/>
      <c r="L57" s="13"/>
      <c r="M57" s="13"/>
      <c r="N57" s="13"/>
      <c r="O57" s="13"/>
      <c r="P57" s="13"/>
      <c r="Q57" s="13"/>
      <c r="R57" s="13"/>
      <c r="S57" s="13"/>
      <c r="T57" s="13"/>
      <c r="U57" s="13"/>
    </row>
    <row r="58" spans="1:21">
      <c r="A58" s="13"/>
      <c r="B58" s="47">
        <v>44896</v>
      </c>
      <c r="C58" s="46">
        <v>272.68</v>
      </c>
      <c r="D58" s="49">
        <v>-1.49E-2</v>
      </c>
      <c r="E58" s="13"/>
      <c r="F58" s="13"/>
      <c r="G58" s="13"/>
      <c r="H58" s="47">
        <v>44896</v>
      </c>
      <c r="I58" s="48">
        <v>18212.349999999999</v>
      </c>
      <c r="J58" s="49">
        <v>8.6999999999999994E-3</v>
      </c>
      <c r="K58" s="13"/>
      <c r="L58" s="13"/>
      <c r="M58" s="13"/>
      <c r="N58" s="13"/>
      <c r="O58" s="13"/>
      <c r="P58" s="13"/>
      <c r="Q58" s="13"/>
      <c r="R58" s="13"/>
      <c r="S58" s="13"/>
      <c r="T58" s="13"/>
      <c r="U58" s="13"/>
    </row>
    <row r="59" spans="1:21">
      <c r="A59" s="13"/>
      <c r="B59" s="47">
        <v>44866</v>
      </c>
      <c r="C59" s="46">
        <v>276.8</v>
      </c>
      <c r="D59" s="49">
        <v>-2.0999999999999999E-3</v>
      </c>
      <c r="E59" s="13"/>
      <c r="F59" s="13"/>
      <c r="G59" s="13"/>
      <c r="H59" s="47">
        <v>44866</v>
      </c>
      <c r="I59" s="48">
        <v>18055.75</v>
      </c>
      <c r="J59" s="49">
        <v>2.8999999999999998E-3</v>
      </c>
      <c r="K59" s="13"/>
      <c r="L59" s="13"/>
      <c r="M59" s="13"/>
      <c r="N59" s="13"/>
      <c r="O59" s="13"/>
      <c r="P59" s="13"/>
      <c r="Q59" s="13"/>
      <c r="R59" s="13"/>
      <c r="S59" s="13"/>
      <c r="T59" s="13"/>
      <c r="U59" s="13"/>
    </row>
    <row r="60" spans="1:21">
      <c r="A60" s="13"/>
      <c r="B60" s="47">
        <v>44835</v>
      </c>
      <c r="C60" s="46">
        <v>277.37</v>
      </c>
      <c r="D60" s="49">
        <v>3.8699999999999998E-2</v>
      </c>
      <c r="E60" s="13"/>
      <c r="F60" s="13"/>
      <c r="G60" s="13"/>
      <c r="H60" s="47">
        <v>44835</v>
      </c>
      <c r="I60" s="48">
        <v>18003.3</v>
      </c>
      <c r="J60" s="49">
        <v>1.0699999999999999E-2</v>
      </c>
      <c r="K60" s="13"/>
      <c r="L60" s="13"/>
      <c r="M60" s="13"/>
      <c r="N60" s="13"/>
      <c r="O60" s="13"/>
      <c r="P60" s="13"/>
      <c r="Q60" s="13"/>
      <c r="R60" s="13"/>
      <c r="S60" s="13"/>
      <c r="T60" s="13"/>
      <c r="U60" s="13"/>
    </row>
    <row r="61" spans="1:21">
      <c r="A61" s="13"/>
      <c r="B61" s="47">
        <v>44743</v>
      </c>
      <c r="C61" s="46">
        <v>267.02999999999997</v>
      </c>
      <c r="D61" s="49">
        <v>7.4499999999999997E-2</v>
      </c>
      <c r="E61" s="13"/>
      <c r="F61" s="13"/>
      <c r="G61" s="13"/>
      <c r="H61" s="47">
        <v>44743</v>
      </c>
      <c r="I61" s="48">
        <v>17812.7</v>
      </c>
      <c r="J61" s="49">
        <v>3.8E-3</v>
      </c>
      <c r="K61" s="13"/>
      <c r="L61" s="13"/>
      <c r="M61" s="13"/>
      <c r="N61" s="13"/>
      <c r="O61" s="13"/>
      <c r="P61" s="13"/>
      <c r="Q61" s="13"/>
      <c r="R61" s="13"/>
      <c r="S61" s="13"/>
      <c r="T61" s="13"/>
      <c r="U61" s="13"/>
    </row>
    <row r="62" spans="1:21">
      <c r="A62" s="13"/>
      <c r="B62" s="47">
        <v>44713</v>
      </c>
      <c r="C62" s="46">
        <v>248.52</v>
      </c>
      <c r="D62" s="49">
        <v>-2.4299999999999999E-2</v>
      </c>
      <c r="E62" s="13"/>
      <c r="F62" s="13"/>
      <c r="G62" s="13"/>
      <c r="H62" s="47">
        <v>44713</v>
      </c>
      <c r="I62" s="48">
        <v>17745.900000000001</v>
      </c>
      <c r="J62" s="49">
        <v>-0.01</v>
      </c>
      <c r="K62" s="13"/>
      <c r="L62" s="13"/>
      <c r="M62" s="13"/>
      <c r="N62" s="13"/>
      <c r="O62" s="13"/>
      <c r="P62" s="13"/>
      <c r="Q62" s="13"/>
      <c r="R62" s="13"/>
      <c r="S62" s="13"/>
      <c r="T62" s="13"/>
      <c r="U62" s="13"/>
    </row>
    <row r="63" spans="1:21">
      <c r="A63" s="13"/>
      <c r="B63" s="47">
        <v>44682</v>
      </c>
      <c r="C63" s="46">
        <v>254.72</v>
      </c>
      <c r="D63" s="49">
        <v>5.7299999999999997E-2</v>
      </c>
      <c r="E63" s="13"/>
      <c r="F63" s="13"/>
      <c r="G63" s="13"/>
      <c r="H63" s="47">
        <v>44682</v>
      </c>
      <c r="I63" s="48">
        <v>17925.25</v>
      </c>
      <c r="J63" s="49">
        <v>6.7000000000000002E-3</v>
      </c>
      <c r="K63" s="13"/>
      <c r="L63" s="13"/>
      <c r="M63" s="13"/>
      <c r="N63" s="13"/>
      <c r="O63" s="13"/>
      <c r="P63" s="13"/>
      <c r="Q63" s="13"/>
      <c r="R63" s="13"/>
      <c r="S63" s="13"/>
      <c r="T63" s="13"/>
      <c r="U63" s="13"/>
    </row>
    <row r="64" spans="1:21">
      <c r="A64" s="13"/>
      <c r="B64" s="47">
        <v>44652</v>
      </c>
      <c r="C64" s="46">
        <v>240.92</v>
      </c>
      <c r="D64" s="49">
        <v>5.0000000000000001E-4</v>
      </c>
      <c r="E64" s="13"/>
      <c r="F64" s="13"/>
      <c r="G64" s="13"/>
      <c r="H64" s="47">
        <v>44652</v>
      </c>
      <c r="I64" s="48">
        <v>17805.25</v>
      </c>
      <c r="J64" s="49">
        <v>1.0200000000000001E-2</v>
      </c>
      <c r="K64" s="13"/>
      <c r="L64" s="13"/>
      <c r="M64" s="13"/>
      <c r="N64" s="13"/>
      <c r="O64" s="13"/>
      <c r="P64" s="13"/>
      <c r="Q64" s="13"/>
      <c r="R64" s="13"/>
      <c r="S64" s="13"/>
      <c r="T64" s="13"/>
      <c r="U64" s="13"/>
    </row>
    <row r="65" spans="1:21">
      <c r="A65" s="13"/>
      <c r="B65" s="47">
        <v>44621</v>
      </c>
      <c r="C65" s="46">
        <v>240.8</v>
      </c>
      <c r="D65" s="49">
        <v>-1.23E-2</v>
      </c>
      <c r="E65" s="13"/>
      <c r="F65" s="13"/>
      <c r="G65" s="13"/>
      <c r="H65" s="47">
        <v>44621</v>
      </c>
      <c r="I65" s="48">
        <v>17625.7</v>
      </c>
      <c r="J65" s="49">
        <v>1.5699999999999999E-2</v>
      </c>
      <c r="K65" s="13"/>
      <c r="L65" s="13"/>
      <c r="M65" s="13"/>
      <c r="N65" s="13"/>
      <c r="O65" s="13"/>
      <c r="P65" s="13"/>
      <c r="Q65" s="13"/>
      <c r="R65" s="13"/>
      <c r="S65" s="13"/>
      <c r="T65" s="13"/>
      <c r="U65" s="13"/>
    </row>
    <row r="66" spans="1:21">
      <c r="A66" s="13"/>
      <c r="B66" s="46" t="s">
        <v>756</v>
      </c>
      <c r="C66" s="46">
        <v>243.79</v>
      </c>
      <c r="D66" s="49">
        <v>1.6299999999999999E-2</v>
      </c>
      <c r="E66" s="13"/>
      <c r="F66" s="13"/>
      <c r="G66" s="13"/>
      <c r="H66" s="46" t="s">
        <v>756</v>
      </c>
      <c r="I66" s="48">
        <v>17354.05</v>
      </c>
      <c r="J66" s="49">
        <v>8.6999999999999994E-3</v>
      </c>
      <c r="K66" s="13"/>
      <c r="L66" s="13"/>
      <c r="M66" s="13"/>
      <c r="N66" s="13"/>
      <c r="O66" s="13"/>
      <c r="P66" s="13"/>
      <c r="Q66" s="13"/>
      <c r="R66" s="13"/>
      <c r="S66" s="13"/>
      <c r="T66" s="13"/>
      <c r="U66" s="13"/>
    </row>
    <row r="67" spans="1:21">
      <c r="A67" s="13"/>
      <c r="B67" s="46" t="s">
        <v>757</v>
      </c>
      <c r="C67" s="46">
        <v>239.89</v>
      </c>
      <c r="D67" s="49">
        <v>-3.7000000000000002E-3</v>
      </c>
      <c r="E67" s="13"/>
      <c r="F67" s="13"/>
      <c r="G67" s="13"/>
      <c r="H67" s="46" t="s">
        <v>757</v>
      </c>
      <c r="I67" s="48">
        <v>17203.95</v>
      </c>
      <c r="J67" s="49">
        <v>-5.9999999999999995E-4</v>
      </c>
      <c r="K67" s="13"/>
      <c r="L67" s="13"/>
      <c r="M67" s="13"/>
      <c r="N67" s="13"/>
      <c r="O67" s="13"/>
      <c r="P67" s="13"/>
      <c r="Q67" s="13"/>
      <c r="R67" s="13"/>
      <c r="S67" s="13"/>
      <c r="T67" s="13"/>
      <c r="U67" s="13"/>
    </row>
    <row r="68" spans="1:21">
      <c r="A68" s="13"/>
      <c r="B68" s="46" t="s">
        <v>758</v>
      </c>
      <c r="C68" s="46">
        <v>240.78</v>
      </c>
      <c r="D68" s="49">
        <v>2.9999999999999997E-4</v>
      </c>
      <c r="E68" s="13"/>
      <c r="F68" s="13"/>
      <c r="G68" s="13"/>
      <c r="H68" s="46" t="s">
        <v>758</v>
      </c>
      <c r="I68" s="48">
        <v>17213.599999999999</v>
      </c>
      <c r="J68" s="49">
        <v>-1.1000000000000001E-3</v>
      </c>
      <c r="K68" s="13"/>
      <c r="L68" s="13"/>
      <c r="M68" s="13"/>
      <c r="N68" s="13"/>
      <c r="O68" s="13"/>
      <c r="P68" s="13"/>
      <c r="Q68" s="13"/>
      <c r="R68" s="13"/>
      <c r="S68" s="13"/>
      <c r="T68" s="13"/>
      <c r="U68" s="13"/>
    </row>
    <row r="69" spans="1:21">
      <c r="A69" s="13"/>
      <c r="B69" s="46" t="s">
        <v>759</v>
      </c>
      <c r="C69" s="46">
        <v>240.7</v>
      </c>
      <c r="D69" s="49">
        <v>3.5999999999999999E-3</v>
      </c>
      <c r="E69" s="13"/>
      <c r="F69" s="13"/>
      <c r="G69" s="13"/>
      <c r="H69" s="46" t="s">
        <v>759</v>
      </c>
      <c r="I69" s="48">
        <v>17233.25</v>
      </c>
      <c r="J69" s="49">
        <v>8.6E-3</v>
      </c>
      <c r="K69" s="13"/>
      <c r="L69" s="13"/>
      <c r="M69" s="13"/>
      <c r="N69" s="13"/>
      <c r="O69" s="13"/>
      <c r="P69" s="13"/>
      <c r="Q69" s="13"/>
      <c r="R69" s="13"/>
      <c r="S69" s="13"/>
      <c r="T69" s="13"/>
      <c r="U69" s="13"/>
    </row>
    <row r="70" spans="1:21">
      <c r="A70" s="13"/>
      <c r="B70" s="46" t="s">
        <v>760</v>
      </c>
      <c r="C70" s="46">
        <v>239.83</v>
      </c>
      <c r="D70" s="49">
        <v>4.5999999999999999E-3</v>
      </c>
      <c r="E70" s="13"/>
      <c r="F70" s="13"/>
      <c r="G70" s="13"/>
      <c r="H70" s="46" t="s">
        <v>760</v>
      </c>
      <c r="I70" s="48">
        <v>17086.25</v>
      </c>
      <c r="J70" s="49">
        <v>4.8999999999999998E-3</v>
      </c>
      <c r="K70" s="13"/>
      <c r="L70" s="13"/>
      <c r="M70" s="13"/>
      <c r="N70" s="13"/>
      <c r="O70" s="13"/>
      <c r="P70" s="13"/>
      <c r="Q70" s="13"/>
      <c r="R70" s="13"/>
      <c r="S70" s="13"/>
      <c r="T70" s="13"/>
      <c r="U70" s="13"/>
    </row>
    <row r="71" spans="1:21">
      <c r="A71" s="13"/>
      <c r="B71" s="46" t="s">
        <v>761</v>
      </c>
      <c r="C71" s="46">
        <v>238.73</v>
      </c>
      <c r="D71" s="49">
        <v>-2.3E-3</v>
      </c>
      <c r="E71" s="13"/>
      <c r="F71" s="13"/>
      <c r="G71" s="13"/>
      <c r="H71" s="46" t="s">
        <v>761</v>
      </c>
      <c r="I71" s="48">
        <v>17003.75</v>
      </c>
      <c r="J71" s="49">
        <v>-4.0000000000000001E-3</v>
      </c>
      <c r="K71" s="13"/>
      <c r="L71" s="13"/>
      <c r="M71" s="13"/>
      <c r="N71" s="13"/>
      <c r="O71" s="13"/>
      <c r="P71" s="13"/>
      <c r="Q71" s="13"/>
      <c r="R71" s="13"/>
      <c r="S71" s="13"/>
      <c r="T71" s="13"/>
      <c r="U71" s="13"/>
    </row>
    <row r="72" spans="1:21">
      <c r="A72" s="13"/>
      <c r="B72" s="46" t="s">
        <v>762</v>
      </c>
      <c r="C72" s="46">
        <v>239.28</v>
      </c>
      <c r="D72" s="49">
        <v>-0.02</v>
      </c>
      <c r="E72" s="13"/>
      <c r="F72" s="13"/>
      <c r="G72" s="13"/>
      <c r="H72" s="46" t="s">
        <v>762</v>
      </c>
      <c r="I72" s="48">
        <v>17072.599999999999</v>
      </c>
      <c r="J72" s="49">
        <v>6.8999999999999999E-3</v>
      </c>
      <c r="K72" s="13"/>
      <c r="L72" s="13"/>
      <c r="M72" s="13"/>
      <c r="N72" s="13"/>
      <c r="O72" s="13"/>
      <c r="P72" s="13"/>
      <c r="Q72" s="13"/>
      <c r="R72" s="13"/>
      <c r="S72" s="13"/>
      <c r="T72" s="13"/>
      <c r="U72" s="13"/>
    </row>
    <row r="73" spans="1:21">
      <c r="A73" s="13"/>
      <c r="B73" s="46" t="s">
        <v>763</v>
      </c>
      <c r="C73" s="46">
        <v>244.16</v>
      </c>
      <c r="D73" s="49">
        <v>2.0500000000000001E-2</v>
      </c>
      <c r="E73" s="13"/>
      <c r="F73" s="13"/>
      <c r="G73" s="13"/>
      <c r="H73" s="46" t="s">
        <v>763</v>
      </c>
      <c r="I73" s="48">
        <v>16955.45</v>
      </c>
      <c r="J73" s="49">
        <v>1.0999999999999999E-2</v>
      </c>
      <c r="K73" s="13"/>
      <c r="L73" s="13"/>
      <c r="M73" s="13"/>
      <c r="N73" s="13"/>
      <c r="O73" s="13"/>
      <c r="P73" s="13"/>
      <c r="Q73" s="13"/>
      <c r="R73" s="13"/>
      <c r="S73" s="13"/>
      <c r="T73" s="13"/>
      <c r="U73" s="13"/>
    </row>
    <row r="74" spans="1:21">
      <c r="A74" s="13"/>
      <c r="B74" s="46" t="s">
        <v>764</v>
      </c>
      <c r="C74" s="46">
        <v>239.25</v>
      </c>
      <c r="D74" s="49">
        <v>6.9999999999999999E-4</v>
      </c>
      <c r="E74" s="13"/>
      <c r="F74" s="13"/>
      <c r="G74" s="13"/>
      <c r="H74" s="46" t="s">
        <v>764</v>
      </c>
      <c r="I74" s="48">
        <v>16770.849999999999</v>
      </c>
      <c r="J74" s="49">
        <v>9.4000000000000004E-3</v>
      </c>
      <c r="K74" s="13"/>
      <c r="L74" s="13"/>
      <c r="M74" s="13"/>
      <c r="N74" s="13"/>
      <c r="O74" s="13"/>
      <c r="P74" s="13"/>
      <c r="Q74" s="13"/>
      <c r="R74" s="13"/>
      <c r="S74" s="13"/>
      <c r="T74" s="13"/>
      <c r="U74" s="13"/>
    </row>
    <row r="75" spans="1:21">
      <c r="A75" s="13"/>
      <c r="B75" s="46" t="s">
        <v>765</v>
      </c>
      <c r="C75" s="46">
        <v>239.09</v>
      </c>
      <c r="D75" s="49">
        <v>-2.5999999999999999E-2</v>
      </c>
      <c r="E75" s="13"/>
      <c r="F75" s="13"/>
      <c r="G75" s="13"/>
      <c r="H75" s="46" t="s">
        <v>765</v>
      </c>
      <c r="I75" s="48">
        <v>16614.2</v>
      </c>
      <c r="J75" s="49">
        <v>-2.18E-2</v>
      </c>
      <c r="K75" s="13"/>
      <c r="L75" s="13"/>
      <c r="M75" s="13"/>
      <c r="N75" s="13"/>
      <c r="O75" s="13"/>
      <c r="P75" s="13"/>
      <c r="Q75" s="13"/>
      <c r="R75" s="13"/>
      <c r="S75" s="13"/>
      <c r="T75" s="13"/>
      <c r="U75" s="13"/>
    </row>
    <row r="76" spans="1:21">
      <c r="A76" s="13"/>
      <c r="B76" s="46" t="s">
        <v>766</v>
      </c>
      <c r="C76" s="46">
        <v>245.48</v>
      </c>
      <c r="D76" s="49">
        <v>1.5699999999999999E-2</v>
      </c>
      <c r="E76" s="13"/>
      <c r="F76" s="13"/>
      <c r="G76" s="13"/>
      <c r="H76" s="46" t="s">
        <v>766</v>
      </c>
      <c r="I76" s="48">
        <v>16985.2</v>
      </c>
      <c r="J76" s="49">
        <v>-1.5299999999999999E-2</v>
      </c>
      <c r="K76" s="13"/>
      <c r="L76" s="13"/>
      <c r="M76" s="13"/>
      <c r="N76" s="13"/>
      <c r="O76" s="13"/>
      <c r="P76" s="13"/>
      <c r="Q76" s="13"/>
      <c r="R76" s="13"/>
      <c r="S76" s="13"/>
      <c r="T76" s="13"/>
      <c r="U76" s="13"/>
    </row>
    <row r="77" spans="1:21">
      <c r="A77" s="13"/>
      <c r="B77" s="46" t="s">
        <v>767</v>
      </c>
      <c r="C77" s="46">
        <v>241.68</v>
      </c>
      <c r="D77" s="49">
        <v>1.8499999999999999E-2</v>
      </c>
      <c r="E77" s="13"/>
      <c r="F77" s="13"/>
      <c r="G77" s="13"/>
      <c r="H77" s="46" t="s">
        <v>767</v>
      </c>
      <c r="I77" s="48">
        <v>17248.400000000001</v>
      </c>
      <c r="J77" s="49">
        <v>1.6000000000000001E-3</v>
      </c>
      <c r="K77" s="13"/>
      <c r="L77" s="13"/>
      <c r="M77" s="13"/>
      <c r="N77" s="13"/>
      <c r="O77" s="13"/>
      <c r="P77" s="13"/>
      <c r="Q77" s="13"/>
      <c r="R77" s="13"/>
      <c r="S77" s="13"/>
      <c r="T77" s="13"/>
      <c r="U77" s="13"/>
    </row>
    <row r="78" spans="1:21">
      <c r="A78" s="13"/>
      <c r="B78" s="46" t="s">
        <v>768</v>
      </c>
      <c r="C78" s="46">
        <v>237.28</v>
      </c>
      <c r="D78" s="49">
        <v>-3.4599999999999999E-2</v>
      </c>
      <c r="E78" s="13"/>
      <c r="F78" s="13"/>
      <c r="G78" s="13"/>
      <c r="H78" s="46" t="s">
        <v>768</v>
      </c>
      <c r="I78" s="48">
        <v>17221.400000000001</v>
      </c>
      <c r="J78" s="49">
        <v>-6.0000000000000001E-3</v>
      </c>
      <c r="K78" s="13"/>
      <c r="L78" s="13"/>
      <c r="M78" s="13"/>
      <c r="N78" s="13"/>
      <c r="O78" s="13"/>
      <c r="P78" s="13"/>
      <c r="Q78" s="13"/>
      <c r="R78" s="13"/>
      <c r="S78" s="13"/>
      <c r="T78" s="13"/>
      <c r="U78" s="13"/>
    </row>
    <row r="79" spans="1:21">
      <c r="A79" s="13"/>
      <c r="B79" s="46" t="s">
        <v>769</v>
      </c>
      <c r="C79" s="46">
        <v>245.78</v>
      </c>
      <c r="D79" s="49">
        <v>1.72E-2</v>
      </c>
      <c r="E79" s="13"/>
      <c r="F79" s="13"/>
      <c r="G79" s="13"/>
      <c r="H79" s="46" t="s">
        <v>769</v>
      </c>
      <c r="I79" s="48">
        <v>17324.900000000001</v>
      </c>
      <c r="J79" s="49">
        <v>-2.5000000000000001E-3</v>
      </c>
      <c r="K79" s="13"/>
      <c r="L79" s="13"/>
      <c r="M79" s="13"/>
      <c r="N79" s="13"/>
      <c r="O79" s="13"/>
      <c r="P79" s="13"/>
      <c r="Q79" s="13"/>
      <c r="R79" s="13"/>
      <c r="S79" s="13"/>
      <c r="T79" s="13"/>
      <c r="U79" s="13"/>
    </row>
    <row r="80" spans="1:21">
      <c r="A80" s="13"/>
      <c r="B80" s="46" t="s">
        <v>770</v>
      </c>
      <c r="C80" s="46">
        <v>241.62</v>
      </c>
      <c r="D80" s="49">
        <v>-1E-4</v>
      </c>
      <c r="E80" s="13"/>
      <c r="F80" s="13"/>
      <c r="G80" s="13"/>
      <c r="H80" s="46" t="s">
        <v>770</v>
      </c>
      <c r="I80" s="48">
        <v>17368.25</v>
      </c>
      <c r="J80" s="49">
        <v>-8.2000000000000007E-3</v>
      </c>
      <c r="K80" s="13"/>
      <c r="L80" s="13"/>
      <c r="M80" s="13"/>
      <c r="N80" s="13"/>
      <c r="O80" s="13"/>
      <c r="P80" s="13"/>
      <c r="Q80" s="13"/>
      <c r="R80" s="13"/>
      <c r="S80" s="13"/>
      <c r="T80" s="13"/>
      <c r="U80" s="13"/>
    </row>
    <row r="81" spans="1:21">
      <c r="A81" s="13"/>
      <c r="B81" s="47">
        <v>44481</v>
      </c>
      <c r="C81" s="46">
        <v>241.65</v>
      </c>
      <c r="D81" s="49">
        <v>2.2200000000000001E-2</v>
      </c>
      <c r="E81" s="13"/>
      <c r="F81" s="13"/>
      <c r="G81" s="13"/>
      <c r="H81" s="47">
        <v>44481</v>
      </c>
      <c r="I81" s="48">
        <v>17511.3</v>
      </c>
      <c r="J81" s="49">
        <v>-2.9999999999999997E-4</v>
      </c>
      <c r="K81" s="13"/>
      <c r="L81" s="13"/>
      <c r="M81" s="13"/>
      <c r="N81" s="13"/>
      <c r="O81" s="13"/>
      <c r="P81" s="13"/>
      <c r="Q81" s="13"/>
      <c r="R81" s="13"/>
      <c r="S81" s="13"/>
      <c r="T81" s="13"/>
      <c r="U81" s="13"/>
    </row>
    <row r="82" spans="1:21">
      <c r="A82" s="13"/>
      <c r="B82" s="47">
        <v>44451</v>
      </c>
      <c r="C82" s="46">
        <v>236.4</v>
      </c>
      <c r="D82" s="49">
        <v>2.29E-2</v>
      </c>
      <c r="E82" s="13"/>
      <c r="F82" s="13"/>
      <c r="G82" s="13"/>
      <c r="H82" s="47">
        <v>44451</v>
      </c>
      <c r="I82" s="48">
        <v>17516.849999999999</v>
      </c>
      <c r="J82" s="49">
        <v>2.7000000000000001E-3</v>
      </c>
      <c r="K82" s="13"/>
      <c r="L82" s="13"/>
      <c r="M82" s="13"/>
      <c r="N82" s="13"/>
      <c r="O82" s="13"/>
      <c r="P82" s="13"/>
      <c r="Q82" s="13"/>
      <c r="R82" s="13"/>
      <c r="S82" s="13"/>
      <c r="T82" s="13"/>
      <c r="U82" s="13"/>
    </row>
    <row r="83" spans="1:21">
      <c r="A83" s="13"/>
      <c r="B83" s="47">
        <v>44420</v>
      </c>
      <c r="C83" s="46">
        <v>231.1</v>
      </c>
      <c r="D83" s="49">
        <v>2.23E-2</v>
      </c>
      <c r="E83" s="13"/>
      <c r="F83" s="13"/>
      <c r="G83" s="13"/>
      <c r="H83" s="47">
        <v>44420</v>
      </c>
      <c r="I83" s="48">
        <v>17469.75</v>
      </c>
      <c r="J83" s="49">
        <v>1.7100000000000001E-2</v>
      </c>
      <c r="K83" s="13"/>
      <c r="L83" s="13"/>
      <c r="M83" s="13"/>
      <c r="N83" s="13"/>
      <c r="O83" s="13"/>
      <c r="P83" s="13"/>
      <c r="Q83" s="13"/>
      <c r="R83" s="13"/>
      <c r="S83" s="13"/>
      <c r="T83" s="13"/>
      <c r="U83" s="13"/>
    </row>
    <row r="84" spans="1:21">
      <c r="A84" s="13"/>
      <c r="B84" s="47">
        <v>44389</v>
      </c>
      <c r="C84" s="46">
        <v>226.05</v>
      </c>
      <c r="D84" s="49">
        <v>6.5500000000000003E-2</v>
      </c>
      <c r="E84" s="13"/>
      <c r="F84" s="13"/>
      <c r="G84" s="13"/>
      <c r="H84" s="47">
        <v>44389</v>
      </c>
      <c r="I84" s="48">
        <v>17176.7</v>
      </c>
      <c r="J84" s="49">
        <v>1.5599999999999999E-2</v>
      </c>
      <c r="K84" s="13"/>
      <c r="L84" s="13"/>
      <c r="M84" s="13"/>
      <c r="N84" s="13"/>
      <c r="O84" s="13"/>
      <c r="P84" s="13"/>
      <c r="Q84" s="13"/>
      <c r="R84" s="13"/>
      <c r="S84" s="13"/>
      <c r="T84" s="13"/>
      <c r="U84" s="13"/>
    </row>
    <row r="85" spans="1:21">
      <c r="A85" s="13"/>
      <c r="B85" s="47">
        <v>44359</v>
      </c>
      <c r="C85" s="46">
        <v>212.16</v>
      </c>
      <c r="D85" s="49">
        <v>-8.5000000000000006E-3</v>
      </c>
      <c r="E85" s="13"/>
      <c r="F85" s="13"/>
      <c r="G85" s="13"/>
      <c r="H85" s="47">
        <v>44359</v>
      </c>
      <c r="I85" s="48">
        <v>16912.25</v>
      </c>
      <c r="J85" s="49">
        <v>-1.6500000000000001E-2</v>
      </c>
      <c r="K85" s="13"/>
      <c r="L85" s="13"/>
      <c r="M85" s="13"/>
      <c r="N85" s="13"/>
      <c r="O85" s="13"/>
      <c r="P85" s="13"/>
      <c r="Q85" s="13"/>
      <c r="R85" s="13"/>
      <c r="S85" s="13"/>
      <c r="T85" s="13"/>
      <c r="U85" s="13"/>
    </row>
    <row r="86" spans="1:21">
      <c r="A86" s="13"/>
      <c r="B86" s="47">
        <v>44267</v>
      </c>
      <c r="C86" s="46">
        <v>213.98</v>
      </c>
      <c r="D86" s="49">
        <v>3.0999999999999999E-3</v>
      </c>
      <c r="E86" s="13"/>
      <c r="F86" s="13"/>
      <c r="G86" s="13"/>
      <c r="H86" s="47">
        <v>44267</v>
      </c>
      <c r="I86" s="48">
        <v>17196.7</v>
      </c>
      <c r="J86" s="49">
        <v>-1.18E-2</v>
      </c>
      <c r="K86" s="13"/>
      <c r="L86" s="13"/>
      <c r="M86" s="13"/>
      <c r="N86" s="13"/>
      <c r="O86" s="13"/>
      <c r="P86" s="13"/>
      <c r="Q86" s="13"/>
      <c r="R86" s="13"/>
      <c r="S86" s="13"/>
      <c r="T86" s="13"/>
      <c r="U86" s="13"/>
    </row>
    <row r="87" spans="1:21">
      <c r="A87" s="13"/>
      <c r="B87" s="47">
        <v>44239</v>
      </c>
      <c r="C87" s="46">
        <v>213.32</v>
      </c>
      <c r="D87" s="49">
        <v>3.0300000000000001E-2</v>
      </c>
      <c r="E87" s="13"/>
      <c r="F87" s="13"/>
      <c r="G87" s="13"/>
      <c r="H87" s="47">
        <v>44239</v>
      </c>
      <c r="I87" s="48">
        <v>17401.650000000001</v>
      </c>
      <c r="J87" s="49">
        <v>1.37E-2</v>
      </c>
      <c r="K87" s="13"/>
      <c r="L87" s="13"/>
      <c r="M87" s="13"/>
      <c r="N87" s="13"/>
      <c r="O87" s="13"/>
      <c r="P87" s="13"/>
      <c r="Q87" s="13"/>
      <c r="R87" s="13"/>
      <c r="S87" s="13"/>
      <c r="T87" s="13"/>
      <c r="U87" s="13"/>
    </row>
    <row r="88" spans="1:21">
      <c r="A88" s="13"/>
      <c r="B88" s="47">
        <v>44208</v>
      </c>
      <c r="C88" s="46">
        <v>207.05</v>
      </c>
      <c r="D88" s="49">
        <v>1.54E-2</v>
      </c>
      <c r="E88" s="13"/>
      <c r="F88" s="13"/>
      <c r="G88" s="13"/>
      <c r="H88" s="47">
        <v>44208</v>
      </c>
      <c r="I88" s="48">
        <v>17166.900000000001</v>
      </c>
      <c r="J88" s="49">
        <v>1.0800000000000001E-2</v>
      </c>
      <c r="K88" s="13"/>
      <c r="L88" s="13"/>
      <c r="M88" s="13"/>
      <c r="N88" s="13"/>
      <c r="O88" s="13"/>
      <c r="P88" s="13"/>
      <c r="Q88" s="13"/>
      <c r="R88" s="13"/>
      <c r="S88" s="13"/>
      <c r="T88" s="13"/>
      <c r="U88" s="13"/>
    </row>
    <row r="89" spans="1:21">
      <c r="A89" s="13"/>
      <c r="B89" s="46" t="s">
        <v>771</v>
      </c>
      <c r="C89" s="46">
        <v>203.91</v>
      </c>
      <c r="D89" s="49">
        <v>2.7400000000000001E-2</v>
      </c>
      <c r="E89" s="13"/>
      <c r="F89" s="13"/>
      <c r="G89" s="13"/>
      <c r="H89" s="46" t="s">
        <v>771</v>
      </c>
      <c r="I89" s="48">
        <v>16983.2</v>
      </c>
      <c r="J89" s="49">
        <v>-4.1000000000000003E-3</v>
      </c>
      <c r="K89" s="13"/>
      <c r="L89" s="13"/>
      <c r="M89" s="13"/>
      <c r="N89" s="13"/>
      <c r="O89" s="13"/>
      <c r="P89" s="13"/>
      <c r="Q89" s="13"/>
      <c r="R89" s="13"/>
      <c r="S89" s="13"/>
      <c r="T89" s="13"/>
      <c r="U89" s="13"/>
    </row>
    <row r="90" spans="1:21">
      <c r="A90" s="13"/>
      <c r="B90" s="46" t="s">
        <v>772</v>
      </c>
      <c r="C90" s="46">
        <v>198.48</v>
      </c>
      <c r="D90" s="49">
        <v>-0.1104</v>
      </c>
      <c r="E90" s="13"/>
      <c r="F90" s="13"/>
      <c r="G90" s="13"/>
      <c r="H90" s="46" t="s">
        <v>772</v>
      </c>
      <c r="I90" s="48">
        <v>17053.95</v>
      </c>
      <c r="J90" s="49">
        <v>1.6000000000000001E-3</v>
      </c>
      <c r="K90" s="13"/>
      <c r="L90" s="13"/>
      <c r="M90" s="13"/>
      <c r="N90" s="13"/>
      <c r="O90" s="13"/>
      <c r="P90" s="13"/>
      <c r="Q90" s="13"/>
      <c r="R90" s="13"/>
      <c r="S90" s="13"/>
      <c r="T90" s="13"/>
      <c r="U90" s="13"/>
    </row>
    <row r="91" spans="1:21">
      <c r="A91" s="13"/>
      <c r="B91" s="46" t="s">
        <v>773</v>
      </c>
      <c r="C91" s="46">
        <v>223.12</v>
      </c>
      <c r="D91" s="49">
        <v>-6.5299999999999997E-2</v>
      </c>
      <c r="E91" s="13"/>
      <c r="F91" s="13"/>
      <c r="G91" s="13"/>
      <c r="H91" s="46" t="s">
        <v>773</v>
      </c>
      <c r="I91" s="48">
        <v>17026.45</v>
      </c>
      <c r="J91" s="49">
        <v>-2.9100000000000001E-2</v>
      </c>
      <c r="K91" s="13"/>
      <c r="L91" s="13"/>
      <c r="M91" s="13"/>
      <c r="N91" s="13"/>
      <c r="O91" s="13"/>
      <c r="P91" s="13"/>
      <c r="Q91" s="13"/>
      <c r="R91" s="13"/>
      <c r="S91" s="13"/>
      <c r="T91" s="13"/>
      <c r="U91" s="13"/>
    </row>
    <row r="92" spans="1:21">
      <c r="A92" s="13"/>
      <c r="B92" s="46" t="s">
        <v>774</v>
      </c>
      <c r="C92" s="46">
        <v>238.7</v>
      </c>
      <c r="D92" s="49">
        <v>2.9000000000000001E-2</v>
      </c>
      <c r="E92" s="13"/>
      <c r="F92" s="13"/>
      <c r="G92" s="13"/>
      <c r="H92" s="46" t="s">
        <v>774</v>
      </c>
      <c r="I92" s="48">
        <v>17536.25</v>
      </c>
      <c r="J92" s="49">
        <v>7.0000000000000001E-3</v>
      </c>
      <c r="K92" s="13"/>
      <c r="L92" s="13"/>
      <c r="M92" s="13"/>
      <c r="N92" s="13"/>
      <c r="O92" s="13"/>
      <c r="P92" s="13"/>
      <c r="Q92" s="13"/>
      <c r="R92" s="13"/>
      <c r="S92" s="13"/>
      <c r="T92" s="13"/>
      <c r="U92" s="13"/>
    </row>
    <row r="93" spans="1:21">
      <c r="A93" s="13"/>
      <c r="B93" s="46" t="s">
        <v>775</v>
      </c>
      <c r="C93" s="46">
        <v>231.98</v>
      </c>
      <c r="D93" s="49">
        <v>0.01</v>
      </c>
      <c r="E93" s="13"/>
      <c r="F93" s="13"/>
      <c r="G93" s="13"/>
      <c r="H93" s="46" t="s">
        <v>775</v>
      </c>
      <c r="I93" s="48">
        <v>17415.05</v>
      </c>
      <c r="J93" s="49">
        <v>-5.0000000000000001E-3</v>
      </c>
      <c r="K93" s="13"/>
      <c r="L93" s="13"/>
      <c r="M93" s="13"/>
      <c r="N93" s="13"/>
      <c r="O93" s="13"/>
      <c r="P93" s="13"/>
      <c r="Q93" s="13"/>
      <c r="R93" s="13"/>
      <c r="S93" s="13"/>
      <c r="T93" s="13"/>
      <c r="U93" s="13"/>
    </row>
    <row r="94" spans="1:21">
      <c r="A94" s="13"/>
      <c r="B94" s="46" t="s">
        <v>776</v>
      </c>
      <c r="C94" s="46">
        <v>229.68</v>
      </c>
      <c r="D94" s="49">
        <v>-1.9800000000000002E-2</v>
      </c>
      <c r="E94" s="13"/>
      <c r="F94" s="13"/>
      <c r="G94" s="13"/>
      <c r="H94" s="46" t="s">
        <v>776</v>
      </c>
      <c r="I94" s="48">
        <v>17503.349999999999</v>
      </c>
      <c r="J94" s="49">
        <v>5.0000000000000001E-3</v>
      </c>
      <c r="K94" s="13"/>
      <c r="L94" s="13"/>
      <c r="M94" s="13"/>
      <c r="N94" s="13"/>
      <c r="O94" s="13"/>
      <c r="P94" s="13"/>
      <c r="Q94" s="13"/>
      <c r="R94" s="13"/>
      <c r="S94" s="13"/>
      <c r="T94" s="13"/>
      <c r="U94" s="13"/>
    </row>
    <row r="95" spans="1:21">
      <c r="A95" s="13"/>
      <c r="B95" s="46" t="s">
        <v>777</v>
      </c>
      <c r="C95" s="46">
        <v>234.33</v>
      </c>
      <c r="D95" s="49">
        <v>-3.6499999999999998E-2</v>
      </c>
      <c r="E95" s="13"/>
      <c r="F95" s="13"/>
      <c r="G95" s="13"/>
      <c r="H95" s="46" t="s">
        <v>777</v>
      </c>
      <c r="I95" s="48">
        <v>17416.55</v>
      </c>
      <c r="J95" s="49">
        <v>-1.9599999999999999E-2</v>
      </c>
      <c r="K95" s="13"/>
      <c r="L95" s="13"/>
      <c r="M95" s="13"/>
      <c r="N95" s="13"/>
      <c r="O95" s="13"/>
      <c r="P95" s="13"/>
      <c r="Q95" s="13"/>
      <c r="R95" s="13"/>
      <c r="S95" s="13"/>
      <c r="T95" s="13"/>
      <c r="U95" s="13"/>
    </row>
  </sheetData>
  <mergeCells count="3">
    <mergeCell ref="B3:D3"/>
    <mergeCell ref="Y3:AA3"/>
    <mergeCell ref="AW3:AY3"/>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65FF2E-AB3E-4958-948A-2F4EAE4E3953}">
  <dimension ref="A1:BO623"/>
  <sheetViews>
    <sheetView topLeftCell="AT20" workbookViewId="0">
      <selection activeCell="BG23" sqref="BG23"/>
    </sheetView>
  </sheetViews>
  <sheetFormatPr defaultRowHeight="15"/>
  <cols>
    <col min="2" max="2" width="14.7109375" customWidth="1"/>
    <col min="8" max="8" width="14.7109375" customWidth="1"/>
    <col min="9" max="9" width="10.5703125" customWidth="1"/>
    <col min="25" max="25" width="12.7109375" customWidth="1"/>
    <col min="31" max="31" width="15.140625" customWidth="1"/>
    <col min="48" max="48" width="13.28515625" customWidth="1"/>
    <col min="53" max="53" width="15.42578125" customWidth="1"/>
  </cols>
  <sheetData>
    <row r="1" spans="1:67">
      <c r="A1" s="13"/>
      <c r="B1" s="13"/>
      <c r="C1" s="13"/>
      <c r="D1" s="13"/>
      <c r="E1" s="13"/>
      <c r="F1" s="13"/>
      <c r="G1" s="13"/>
      <c r="H1" s="13"/>
      <c r="I1" s="13"/>
      <c r="J1" s="13"/>
      <c r="K1" s="13"/>
      <c r="L1" s="13"/>
      <c r="M1" s="13"/>
      <c r="N1" s="13"/>
      <c r="O1" s="13"/>
      <c r="P1" s="13"/>
      <c r="Q1" s="13"/>
      <c r="R1" s="13"/>
      <c r="S1" s="13"/>
      <c r="T1" s="13"/>
      <c r="U1" s="13"/>
    </row>
    <row r="2" spans="1:67">
      <c r="A2" s="58" t="s">
        <v>778</v>
      </c>
      <c r="B2" s="51" t="s">
        <v>344</v>
      </c>
      <c r="C2" s="13"/>
      <c r="D2" s="13"/>
      <c r="E2" s="13"/>
      <c r="F2" s="13"/>
      <c r="G2" s="13"/>
      <c r="H2" s="13"/>
      <c r="I2" s="13"/>
      <c r="J2" s="13"/>
      <c r="K2" s="13"/>
      <c r="L2" s="13"/>
      <c r="M2" s="13"/>
      <c r="N2" s="13"/>
      <c r="O2" s="13"/>
      <c r="P2" s="13"/>
      <c r="Q2" s="13"/>
      <c r="R2" s="13"/>
      <c r="S2" s="13"/>
      <c r="T2" s="13"/>
      <c r="U2" s="13"/>
      <c r="X2" s="59" t="s">
        <v>127</v>
      </c>
      <c r="Y2" s="60" t="s">
        <v>345</v>
      </c>
      <c r="AU2" s="59" t="s">
        <v>779</v>
      </c>
      <c r="AV2" s="60" t="s">
        <v>130</v>
      </c>
    </row>
    <row r="3" spans="1:67" ht="18.75">
      <c r="A3" s="13"/>
      <c r="B3" s="111" t="s">
        <v>131</v>
      </c>
      <c r="C3" s="111"/>
      <c r="D3" s="111"/>
      <c r="E3" s="13"/>
      <c r="F3" s="13"/>
      <c r="G3" s="13"/>
      <c r="H3" s="13"/>
      <c r="I3" s="96" t="s">
        <v>132</v>
      </c>
      <c r="J3" s="40"/>
      <c r="K3" s="13"/>
      <c r="L3" s="13"/>
      <c r="M3" s="13"/>
      <c r="N3" s="13"/>
      <c r="O3" s="13"/>
      <c r="P3" s="13"/>
      <c r="Q3" s="13"/>
      <c r="R3" s="13"/>
      <c r="S3" s="13"/>
      <c r="T3" s="13"/>
      <c r="U3" s="13"/>
      <c r="Y3" s="111" t="s">
        <v>131</v>
      </c>
      <c r="Z3" s="111"/>
      <c r="AA3" s="111"/>
      <c r="AB3" s="13"/>
      <c r="AC3" s="13"/>
      <c r="AD3" s="13"/>
      <c r="AE3" s="13"/>
      <c r="AF3" s="96" t="s">
        <v>132</v>
      </c>
      <c r="AG3" s="40"/>
      <c r="AH3" s="13"/>
      <c r="AI3" s="13"/>
      <c r="AJ3" s="13"/>
      <c r="AK3" s="13"/>
      <c r="AL3" s="13"/>
      <c r="AM3" s="13"/>
      <c r="AN3" s="13"/>
      <c r="AO3" s="13"/>
      <c r="AP3" s="13"/>
      <c r="AQ3" s="13"/>
      <c r="AR3" s="13"/>
      <c r="AS3" s="13"/>
      <c r="AV3" s="96" t="s">
        <v>131</v>
      </c>
      <c r="AW3" s="96"/>
      <c r="AX3" s="96"/>
      <c r="AY3" s="13"/>
      <c r="AZ3" s="13"/>
      <c r="BA3" s="13"/>
      <c r="BB3" s="96" t="s">
        <v>132</v>
      </c>
      <c r="BC3" s="40"/>
      <c r="BD3" s="13"/>
      <c r="BE3" s="13"/>
      <c r="BF3" s="13"/>
      <c r="BG3" s="13"/>
      <c r="BH3" s="13"/>
      <c r="BI3" s="13"/>
      <c r="BJ3" s="13"/>
      <c r="BK3" s="13"/>
      <c r="BL3" s="13"/>
    </row>
    <row r="4" spans="1:67" ht="15.75">
      <c r="A4" s="13"/>
      <c r="B4" s="41" t="s">
        <v>133</v>
      </c>
      <c r="C4" s="41" t="s">
        <v>134</v>
      </c>
      <c r="D4" s="41" t="s">
        <v>135</v>
      </c>
      <c r="E4" s="13"/>
      <c r="F4" s="13"/>
      <c r="G4" s="13"/>
      <c r="H4" s="41" t="s">
        <v>133</v>
      </c>
      <c r="I4" s="41" t="s">
        <v>134</v>
      </c>
      <c r="J4" s="41" t="s">
        <v>136</v>
      </c>
      <c r="K4" s="13"/>
      <c r="L4" s="13"/>
      <c r="M4" s="13"/>
      <c r="N4" s="13"/>
      <c r="O4" s="13"/>
      <c r="P4" s="13"/>
      <c r="Q4" s="13"/>
      <c r="R4" s="13"/>
      <c r="S4" s="13"/>
      <c r="T4" s="13"/>
      <c r="U4" s="13"/>
      <c r="Y4" s="50" t="s">
        <v>133</v>
      </c>
      <c r="Z4" s="50" t="s">
        <v>134</v>
      </c>
      <c r="AA4" s="50" t="s">
        <v>135</v>
      </c>
      <c r="AB4" s="13"/>
      <c r="AC4" s="13"/>
      <c r="AD4" s="13"/>
      <c r="AE4" s="50" t="s">
        <v>133</v>
      </c>
      <c r="AF4" s="50" t="s">
        <v>134</v>
      </c>
      <c r="AG4" s="50" t="s">
        <v>136</v>
      </c>
      <c r="AH4" s="13"/>
      <c r="AI4" s="13"/>
      <c r="AJ4" s="13" t="s">
        <v>137</v>
      </c>
      <c r="AK4" s="42"/>
      <c r="AL4" s="13"/>
      <c r="AM4" s="13"/>
      <c r="AN4" s="13"/>
      <c r="AO4" s="13"/>
      <c r="AP4" s="13"/>
      <c r="AQ4" s="13"/>
      <c r="AR4" s="13"/>
      <c r="AS4" s="13"/>
      <c r="AV4" s="50" t="s">
        <v>133</v>
      </c>
      <c r="AW4" s="50" t="s">
        <v>134</v>
      </c>
      <c r="AX4" s="50" t="s">
        <v>135</v>
      </c>
      <c r="AY4" s="13"/>
      <c r="AZ4" s="13"/>
      <c r="BA4" s="50" t="s">
        <v>133</v>
      </c>
      <c r="BB4" s="50" t="s">
        <v>134</v>
      </c>
      <c r="BC4" s="50" t="s">
        <v>136</v>
      </c>
      <c r="BD4" s="13"/>
      <c r="BE4" s="13"/>
      <c r="BF4" s="13" t="s">
        <v>137</v>
      </c>
      <c r="BG4" s="42"/>
      <c r="BH4" s="13"/>
      <c r="BI4" s="13"/>
      <c r="BJ4" s="13"/>
      <c r="BK4" s="13"/>
      <c r="BL4" s="13"/>
      <c r="BM4" s="13"/>
      <c r="BN4" s="13"/>
      <c r="BO4" s="13"/>
    </row>
    <row r="5" spans="1:67">
      <c r="A5" s="13"/>
      <c r="B5" s="46" t="s">
        <v>138</v>
      </c>
      <c r="C5" s="46">
        <v>294.39999999999998</v>
      </c>
      <c r="D5" s="49">
        <v>-1.46E-2</v>
      </c>
      <c r="E5" s="13"/>
      <c r="F5" s="13"/>
      <c r="G5" s="13"/>
      <c r="H5" s="46" t="s">
        <v>138</v>
      </c>
      <c r="I5" s="48">
        <v>23519.35</v>
      </c>
      <c r="J5" s="49">
        <v>-3.0999999999999999E-3</v>
      </c>
      <c r="K5" s="13"/>
      <c r="L5" s="13"/>
      <c r="M5" s="13" t="s">
        <v>137</v>
      </c>
      <c r="N5" s="42"/>
      <c r="O5" s="13"/>
      <c r="P5" s="13"/>
      <c r="Q5" s="13"/>
      <c r="R5" s="13"/>
      <c r="S5" s="13"/>
      <c r="T5" s="13"/>
      <c r="U5" s="13"/>
      <c r="Y5" s="46" t="s">
        <v>139</v>
      </c>
      <c r="Z5" s="46">
        <v>295.85000000000002</v>
      </c>
      <c r="AA5" s="49">
        <v>4.8999999999999998E-3</v>
      </c>
      <c r="AB5" s="13"/>
      <c r="AC5" s="13"/>
      <c r="AD5" s="13"/>
      <c r="AE5" s="46" t="s">
        <v>139</v>
      </c>
      <c r="AF5" s="48">
        <v>22904.45</v>
      </c>
      <c r="AG5" s="49">
        <v>-2.6100000000000002E-2</v>
      </c>
      <c r="AH5" s="13"/>
      <c r="AI5" s="13"/>
      <c r="AJ5" s="13"/>
      <c r="AK5" s="13"/>
      <c r="AL5" s="13"/>
      <c r="AM5" s="13"/>
      <c r="AN5" s="13"/>
      <c r="AO5" s="13"/>
      <c r="AP5" s="13"/>
      <c r="AQ5" s="13"/>
      <c r="AR5" s="13"/>
      <c r="AS5" s="13"/>
      <c r="AV5" s="47">
        <v>45660</v>
      </c>
      <c r="AW5" s="46">
        <v>294.39999999999998</v>
      </c>
      <c r="AX5" s="49">
        <v>-5.2600000000000001E-2</v>
      </c>
      <c r="AY5" s="13"/>
      <c r="AZ5" s="13"/>
      <c r="BA5" s="47">
        <v>45660</v>
      </c>
      <c r="BB5" s="48">
        <v>23519.35</v>
      </c>
      <c r="BC5" s="49">
        <v>6.3E-2</v>
      </c>
      <c r="BD5" s="13"/>
      <c r="BE5" s="13"/>
      <c r="BF5" s="13"/>
      <c r="BG5" s="13"/>
      <c r="BH5" s="13"/>
      <c r="BI5" s="13"/>
      <c r="BJ5" s="13"/>
      <c r="BK5" s="13"/>
      <c r="BL5" s="13"/>
      <c r="BM5" s="13"/>
      <c r="BN5" s="13"/>
      <c r="BO5" s="13"/>
    </row>
    <row r="6" spans="1:67">
      <c r="A6" s="13"/>
      <c r="B6" s="46" t="s">
        <v>140</v>
      </c>
      <c r="C6" s="46">
        <v>298.75</v>
      </c>
      <c r="D6" s="49">
        <v>2.9600000000000001E-2</v>
      </c>
      <c r="E6" s="13"/>
      <c r="F6" s="13"/>
      <c r="G6" s="13"/>
      <c r="H6" s="46" t="s">
        <v>140</v>
      </c>
      <c r="I6" s="48">
        <v>23591.95</v>
      </c>
      <c r="J6" s="49">
        <v>4.4999999999999997E-3</v>
      </c>
      <c r="K6" s="13"/>
      <c r="L6" s="13"/>
      <c r="M6" s="13"/>
      <c r="N6" s="13"/>
      <c r="O6" s="13"/>
      <c r="P6" s="13"/>
      <c r="Q6" s="13"/>
      <c r="R6" s="13"/>
      <c r="S6" s="13"/>
      <c r="T6" s="13"/>
      <c r="U6" s="13"/>
      <c r="Y6" s="46" t="s">
        <v>141</v>
      </c>
      <c r="Z6" s="46">
        <v>294.39999999999998</v>
      </c>
      <c r="AA6" s="49">
        <v>-6.3E-2</v>
      </c>
      <c r="AB6" s="13"/>
      <c r="AC6" s="13"/>
      <c r="AD6" s="13"/>
      <c r="AE6" s="46" t="s">
        <v>141</v>
      </c>
      <c r="AF6" s="48">
        <v>23519.35</v>
      </c>
      <c r="AG6" s="49">
        <v>7.1999999999999998E-3</v>
      </c>
      <c r="AH6" s="13"/>
      <c r="AI6" s="13"/>
      <c r="AJ6" s="43" t="s">
        <v>142</v>
      </c>
      <c r="AK6" s="44"/>
      <c r="AL6" s="13"/>
      <c r="AM6" s="13"/>
      <c r="AN6" s="13"/>
      <c r="AO6" s="13"/>
      <c r="AP6" s="13"/>
      <c r="AQ6" s="13"/>
      <c r="AR6" s="13"/>
      <c r="AS6" s="13"/>
      <c r="AV6" s="47">
        <v>45659</v>
      </c>
      <c r="AW6" s="46">
        <v>310.75</v>
      </c>
      <c r="AX6" s="49">
        <v>7.3800000000000004E-2</v>
      </c>
      <c r="AY6" s="13"/>
      <c r="AZ6" s="13"/>
      <c r="BA6" s="47">
        <v>45659</v>
      </c>
      <c r="BB6" s="48">
        <v>22124.7</v>
      </c>
      <c r="BC6" s="49">
        <v>-5.8900000000000001E-2</v>
      </c>
      <c r="BD6" s="13"/>
      <c r="BE6" s="13"/>
      <c r="BF6" s="43" t="s">
        <v>142</v>
      </c>
      <c r="BG6" s="44"/>
      <c r="BH6" s="13"/>
      <c r="BI6" s="13"/>
      <c r="BJ6" s="13"/>
      <c r="BK6" s="13"/>
      <c r="BL6" s="13"/>
      <c r="BM6" s="13"/>
      <c r="BN6" s="13"/>
      <c r="BO6" s="13"/>
    </row>
    <row r="7" spans="1:67">
      <c r="A7" s="13"/>
      <c r="B7" s="46" t="s">
        <v>143</v>
      </c>
      <c r="C7" s="46">
        <v>290.14999999999998</v>
      </c>
      <c r="D7" s="49">
        <v>-3.5099999999999999E-2</v>
      </c>
      <c r="E7" s="13"/>
      <c r="F7" s="13"/>
      <c r="G7" s="13"/>
      <c r="H7" s="46" t="s">
        <v>143</v>
      </c>
      <c r="I7" s="48">
        <v>23486.85</v>
      </c>
      <c r="J7" s="49">
        <v>-7.7000000000000002E-3</v>
      </c>
      <c r="K7" s="13"/>
      <c r="L7" s="13"/>
      <c r="M7" s="43" t="s">
        <v>142</v>
      </c>
      <c r="N7" s="44"/>
      <c r="O7" s="13"/>
      <c r="P7" s="13"/>
      <c r="Q7" s="13"/>
      <c r="R7" s="13"/>
      <c r="S7" s="13"/>
      <c r="T7" s="13"/>
      <c r="U7" s="13"/>
      <c r="Y7" s="46" t="s">
        <v>144</v>
      </c>
      <c r="Z7" s="46">
        <v>314.2</v>
      </c>
      <c r="AA7" s="49">
        <v>3.4700000000000002E-2</v>
      </c>
      <c r="AB7" s="13"/>
      <c r="AC7" s="13"/>
      <c r="AD7" s="13"/>
      <c r="AE7" s="46" t="s">
        <v>144</v>
      </c>
      <c r="AF7" s="48">
        <v>23350.400000000001</v>
      </c>
      <c r="AG7" s="49">
        <v>4.2599999999999999E-2</v>
      </c>
      <c r="AH7" s="13"/>
      <c r="AI7" s="13"/>
      <c r="AJ7" s="13" t="s">
        <v>145</v>
      </c>
      <c r="AK7" s="13">
        <v>0.28471600000000002</v>
      </c>
      <c r="AL7" s="13"/>
      <c r="AM7" s="13"/>
      <c r="AN7" s="13"/>
      <c r="AO7" s="13"/>
      <c r="AP7" s="13"/>
      <c r="AQ7" s="13"/>
      <c r="AR7" s="13"/>
      <c r="AS7" s="13"/>
      <c r="AV7" s="47">
        <v>45658</v>
      </c>
      <c r="AW7" s="46">
        <v>289.39999999999998</v>
      </c>
      <c r="AX7" s="49">
        <v>-0.1249</v>
      </c>
      <c r="AY7" s="13"/>
      <c r="AZ7" s="13"/>
      <c r="BA7" s="47">
        <v>45658</v>
      </c>
      <c r="BB7" s="48">
        <v>23508.400000000001</v>
      </c>
      <c r="BC7" s="49">
        <v>-5.7999999999999996E-3</v>
      </c>
      <c r="BD7" s="13"/>
      <c r="BE7" s="13"/>
      <c r="BF7" s="13" t="s">
        <v>145</v>
      </c>
      <c r="BG7" s="13">
        <v>0.22228500000000001</v>
      </c>
      <c r="BH7" s="13"/>
      <c r="BI7" s="13"/>
      <c r="BJ7" s="13"/>
      <c r="BK7" s="13"/>
      <c r="BL7" s="13"/>
      <c r="BM7" s="13"/>
      <c r="BN7" s="13"/>
      <c r="BO7" s="13"/>
    </row>
    <row r="8" spans="1:67">
      <c r="A8" s="13"/>
      <c r="B8" s="46" t="s">
        <v>146</v>
      </c>
      <c r="C8" s="46">
        <v>300.7</v>
      </c>
      <c r="D8" s="49">
        <v>-2.1600000000000001E-2</v>
      </c>
      <c r="E8" s="13"/>
      <c r="F8" s="13"/>
      <c r="G8" s="13"/>
      <c r="H8" s="46" t="s">
        <v>146</v>
      </c>
      <c r="I8" s="48">
        <v>23668.65</v>
      </c>
      <c r="J8" s="49">
        <v>4.0000000000000002E-4</v>
      </c>
      <c r="K8" s="13"/>
      <c r="L8" s="13"/>
      <c r="M8" s="13" t="s">
        <v>145</v>
      </c>
      <c r="N8" s="13">
        <v>0.17657600000000001</v>
      </c>
      <c r="O8" s="13"/>
      <c r="P8" s="13"/>
      <c r="Q8" s="13"/>
      <c r="R8" s="13"/>
      <c r="S8" s="13"/>
      <c r="T8" s="13"/>
      <c r="U8" s="13"/>
      <c r="Y8" s="47">
        <v>45903</v>
      </c>
      <c r="Z8" s="46">
        <v>303.64999999999998</v>
      </c>
      <c r="AA8" s="49">
        <v>-0.10059999999999999</v>
      </c>
      <c r="AB8" s="13"/>
      <c r="AC8" s="13"/>
      <c r="AD8" s="13"/>
      <c r="AE8" s="47">
        <v>45903</v>
      </c>
      <c r="AF8" s="48">
        <v>22397.200000000001</v>
      </c>
      <c r="AG8" s="49">
        <v>-6.8999999999999999E-3</v>
      </c>
      <c r="AH8" s="13"/>
      <c r="AI8" s="13"/>
      <c r="AJ8" s="13" t="s">
        <v>147</v>
      </c>
      <c r="AK8" s="13">
        <v>8.1062999999999996E-2</v>
      </c>
      <c r="AL8" s="13"/>
      <c r="AM8" s="13"/>
      <c r="AN8" s="13"/>
      <c r="AO8" s="13"/>
      <c r="AP8" s="13"/>
      <c r="AQ8" s="13"/>
      <c r="AR8" s="13"/>
      <c r="AS8" s="13"/>
      <c r="AV8" s="47">
        <v>45303</v>
      </c>
      <c r="AW8" s="46">
        <v>330.7</v>
      </c>
      <c r="AX8" s="49">
        <v>1.32E-2</v>
      </c>
      <c r="AY8" s="13"/>
      <c r="AZ8" s="13"/>
      <c r="BA8" s="47">
        <v>45303</v>
      </c>
      <c r="BB8" s="48">
        <v>23644.799999999999</v>
      </c>
      <c r="BC8" s="49">
        <v>-2.0199999999999999E-2</v>
      </c>
      <c r="BD8" s="13"/>
      <c r="BE8" s="13"/>
      <c r="BF8" s="13" t="s">
        <v>147</v>
      </c>
      <c r="BG8" s="13">
        <v>4.9410999999999997E-2</v>
      </c>
      <c r="BH8" s="13"/>
      <c r="BI8" s="13"/>
      <c r="BJ8" s="13"/>
      <c r="BK8" s="13"/>
      <c r="BL8" s="13"/>
      <c r="BM8" s="13"/>
      <c r="BN8" s="13"/>
      <c r="BO8" s="13"/>
    </row>
    <row r="9" spans="1:67">
      <c r="A9" s="13"/>
      <c r="B9" s="46" t="s">
        <v>148</v>
      </c>
      <c r="C9" s="46">
        <v>307.35000000000002</v>
      </c>
      <c r="D9" s="49">
        <v>-2.18E-2</v>
      </c>
      <c r="E9" s="13"/>
      <c r="F9" s="13"/>
      <c r="G9" s="13"/>
      <c r="H9" s="46" t="s">
        <v>148</v>
      </c>
      <c r="I9" s="48">
        <v>23658.35</v>
      </c>
      <c r="J9" s="49">
        <v>1.32E-2</v>
      </c>
      <c r="K9" s="13"/>
      <c r="L9" s="13"/>
      <c r="M9" s="13" t="s">
        <v>147</v>
      </c>
      <c r="N9" s="13">
        <v>3.1178999999999998E-2</v>
      </c>
      <c r="O9" s="13"/>
      <c r="P9" s="13"/>
      <c r="Q9" s="13"/>
      <c r="R9" s="13"/>
      <c r="S9" s="13"/>
      <c r="T9" s="13"/>
      <c r="U9" s="13"/>
      <c r="Y9" s="47">
        <v>45691</v>
      </c>
      <c r="Z9" s="46">
        <v>337.6</v>
      </c>
      <c r="AA9" s="49">
        <v>8.6400000000000005E-2</v>
      </c>
      <c r="AB9" s="13"/>
      <c r="AC9" s="13"/>
      <c r="AD9" s="13"/>
      <c r="AE9" s="47">
        <v>45691</v>
      </c>
      <c r="AF9" s="48">
        <v>22552.5</v>
      </c>
      <c r="AG9" s="49">
        <v>1.9300000000000001E-2</v>
      </c>
      <c r="AH9" s="13"/>
      <c r="AI9" s="13"/>
      <c r="AJ9" s="13" t="s">
        <v>149</v>
      </c>
      <c r="AK9" s="13">
        <v>7.3940000000000006E-2</v>
      </c>
      <c r="AL9" s="13"/>
      <c r="AM9" s="13"/>
      <c r="AN9" s="13"/>
      <c r="AO9" s="13"/>
      <c r="AP9" s="13"/>
      <c r="AQ9" s="13"/>
      <c r="AR9" s="13"/>
      <c r="AS9" s="13"/>
      <c r="AV9" s="47">
        <v>45302</v>
      </c>
      <c r="AW9" s="46">
        <v>326.39999999999998</v>
      </c>
      <c r="AX9" s="49">
        <v>1.7299999999999999E-2</v>
      </c>
      <c r="AY9" s="13"/>
      <c r="AZ9" s="13"/>
      <c r="BA9" s="47">
        <v>45302</v>
      </c>
      <c r="BB9" s="48">
        <v>24131.1</v>
      </c>
      <c r="BC9" s="49">
        <v>-3.0999999999999999E-3</v>
      </c>
      <c r="BD9" s="13"/>
      <c r="BE9" s="13"/>
      <c r="BF9" s="13" t="s">
        <v>149</v>
      </c>
      <c r="BG9" s="13">
        <v>1.5461000000000001E-2</v>
      </c>
      <c r="BH9" s="13"/>
      <c r="BI9" s="13"/>
      <c r="BJ9" s="13"/>
      <c r="BK9" s="13"/>
      <c r="BL9" s="13"/>
      <c r="BM9" s="13"/>
      <c r="BN9" s="13"/>
      <c r="BO9" s="13"/>
    </row>
    <row r="10" spans="1:67">
      <c r="A10" s="13"/>
      <c r="B10" s="46" t="s">
        <v>150</v>
      </c>
      <c r="C10" s="46">
        <v>314.2</v>
      </c>
      <c r="D10" s="49">
        <v>4.7899999999999998E-2</v>
      </c>
      <c r="E10" s="13"/>
      <c r="F10" s="13"/>
      <c r="G10" s="13"/>
      <c r="H10" s="46" t="s">
        <v>150</v>
      </c>
      <c r="I10" s="48">
        <v>23350.400000000001</v>
      </c>
      <c r="J10" s="49">
        <v>6.8999999999999999E-3</v>
      </c>
      <c r="K10" s="13"/>
      <c r="L10" s="13"/>
      <c r="M10" s="13" t="s">
        <v>149</v>
      </c>
      <c r="N10" s="13">
        <v>2.9609E-2</v>
      </c>
      <c r="O10" s="13"/>
      <c r="P10" s="13"/>
      <c r="Q10" s="13"/>
      <c r="R10" s="13"/>
      <c r="S10" s="13"/>
      <c r="T10" s="13"/>
      <c r="U10" s="13"/>
      <c r="Y10" s="46" t="s">
        <v>151</v>
      </c>
      <c r="Z10" s="46">
        <v>310.75</v>
      </c>
      <c r="AA10" s="49">
        <v>-5.2200000000000003E-2</v>
      </c>
      <c r="AB10" s="13"/>
      <c r="AC10" s="13"/>
      <c r="AD10" s="13"/>
      <c r="AE10" s="46" t="s">
        <v>151</v>
      </c>
      <c r="AF10" s="48">
        <v>22124.7</v>
      </c>
      <c r="AG10" s="49">
        <v>-2.9399999999999999E-2</v>
      </c>
      <c r="AH10" s="13"/>
      <c r="AI10" s="13"/>
      <c r="AJ10" s="13" t="s">
        <v>152</v>
      </c>
      <c r="AK10" s="13">
        <v>4.1653000000000003E-2</v>
      </c>
      <c r="AL10" s="13"/>
      <c r="AM10" s="13"/>
      <c r="AN10" s="13"/>
      <c r="AO10" s="13"/>
      <c r="AP10" s="13"/>
      <c r="AQ10" s="13"/>
      <c r="AR10" s="13"/>
      <c r="AS10" s="13"/>
      <c r="AV10" s="47">
        <v>45301</v>
      </c>
      <c r="AW10" s="46">
        <v>320.85000000000002</v>
      </c>
      <c r="AX10" s="49">
        <v>-0.10340000000000001</v>
      </c>
      <c r="AY10" s="13"/>
      <c r="AZ10" s="13"/>
      <c r="BA10" s="47">
        <v>45301</v>
      </c>
      <c r="BB10" s="48">
        <v>24205.35</v>
      </c>
      <c r="BC10" s="49">
        <v>-6.2199999999999998E-2</v>
      </c>
      <c r="BD10" s="13"/>
      <c r="BE10" s="13"/>
      <c r="BF10" s="13" t="s">
        <v>152</v>
      </c>
      <c r="BG10" s="13">
        <v>6.9538000000000003E-2</v>
      </c>
      <c r="BH10" s="13"/>
      <c r="BI10" s="13"/>
      <c r="BJ10" s="13"/>
      <c r="BK10" s="13"/>
      <c r="BL10" s="13"/>
      <c r="BM10" s="13"/>
      <c r="BN10" s="13"/>
      <c r="BO10" s="13"/>
    </row>
    <row r="11" spans="1:67">
      <c r="A11" s="13"/>
      <c r="B11" s="46" t="s">
        <v>153</v>
      </c>
      <c r="C11" s="46">
        <v>299.85000000000002</v>
      </c>
      <c r="D11" s="49">
        <v>-1.66E-2</v>
      </c>
      <c r="E11" s="13"/>
      <c r="F11" s="13"/>
      <c r="G11" s="13"/>
      <c r="H11" s="46" t="s">
        <v>153</v>
      </c>
      <c r="I11" s="48">
        <v>23190.65</v>
      </c>
      <c r="J11" s="49">
        <v>1.24E-2</v>
      </c>
      <c r="K11" s="13"/>
      <c r="L11" s="13"/>
      <c r="M11" s="13" t="s">
        <v>152</v>
      </c>
      <c r="N11" s="13">
        <v>1.9026000000000001E-2</v>
      </c>
      <c r="O11" s="13"/>
      <c r="P11" s="13"/>
      <c r="Q11" s="13"/>
      <c r="R11" s="13"/>
      <c r="S11" s="13"/>
      <c r="T11" s="13"/>
      <c r="U11" s="13"/>
      <c r="Y11" s="46" t="s">
        <v>154</v>
      </c>
      <c r="Z11" s="46">
        <v>327.85</v>
      </c>
      <c r="AA11" s="49">
        <v>9.4299999999999995E-2</v>
      </c>
      <c r="AB11" s="13"/>
      <c r="AC11" s="13"/>
      <c r="AD11" s="13"/>
      <c r="AE11" s="46" t="s">
        <v>154</v>
      </c>
      <c r="AF11" s="48">
        <v>22795.9</v>
      </c>
      <c r="AG11" s="49">
        <v>-5.7999999999999996E-3</v>
      </c>
      <c r="AH11" s="13"/>
      <c r="AI11" s="13"/>
      <c r="AJ11" s="45" t="s">
        <v>155</v>
      </c>
      <c r="AK11" s="45">
        <v>131</v>
      </c>
      <c r="AL11" s="13"/>
      <c r="AM11" s="13"/>
      <c r="AN11" s="13"/>
      <c r="AO11" s="13"/>
      <c r="AP11" s="13"/>
      <c r="AQ11" s="13"/>
      <c r="AR11" s="13"/>
      <c r="AS11" s="13"/>
      <c r="AV11" s="47">
        <v>45300</v>
      </c>
      <c r="AW11" s="46">
        <v>357.85</v>
      </c>
      <c r="AX11" s="49">
        <v>7.4399999999999994E-2</v>
      </c>
      <c r="AY11" s="13"/>
      <c r="AZ11" s="13"/>
      <c r="BA11" s="47">
        <v>45300</v>
      </c>
      <c r="BB11" s="48">
        <v>25810.85</v>
      </c>
      <c r="BC11" s="49">
        <v>2.2800000000000001E-2</v>
      </c>
      <c r="BD11" s="13"/>
      <c r="BE11" s="13"/>
      <c r="BF11" s="45" t="s">
        <v>155</v>
      </c>
      <c r="BG11" s="45">
        <v>30</v>
      </c>
      <c r="BH11" s="13"/>
      <c r="BI11" s="13"/>
      <c r="BJ11" s="13"/>
      <c r="BK11" s="13"/>
      <c r="BL11" s="13"/>
      <c r="BM11" s="13"/>
      <c r="BN11" s="13"/>
      <c r="BO11" s="13"/>
    </row>
    <row r="12" spans="1:67">
      <c r="A12" s="13"/>
      <c r="B12" s="46" t="s">
        <v>156</v>
      </c>
      <c r="C12" s="46">
        <v>304.89999999999998</v>
      </c>
      <c r="D12" s="49">
        <v>-1.6799999999999999E-2</v>
      </c>
      <c r="E12" s="13"/>
      <c r="F12" s="13"/>
      <c r="G12" s="13"/>
      <c r="H12" s="46" t="s">
        <v>156</v>
      </c>
      <c r="I12" s="48">
        <v>22907.599999999999</v>
      </c>
      <c r="J12" s="49">
        <v>3.2000000000000002E-3</v>
      </c>
      <c r="K12" s="13"/>
      <c r="L12" s="13"/>
      <c r="M12" s="45" t="s">
        <v>155</v>
      </c>
      <c r="N12" s="45">
        <v>619</v>
      </c>
      <c r="O12" s="13"/>
      <c r="P12" s="13"/>
      <c r="Q12" s="13"/>
      <c r="R12" s="13"/>
      <c r="S12" s="13"/>
      <c r="T12" s="13"/>
      <c r="U12" s="13"/>
      <c r="Y12" s="47">
        <v>45902</v>
      </c>
      <c r="Z12" s="46">
        <v>299.60000000000002</v>
      </c>
      <c r="AA12" s="49">
        <v>-7.1900000000000006E-2</v>
      </c>
      <c r="AB12" s="13"/>
      <c r="AC12" s="13"/>
      <c r="AD12" s="13"/>
      <c r="AE12" s="47">
        <v>45902</v>
      </c>
      <c r="AF12" s="48">
        <v>22929.25</v>
      </c>
      <c r="AG12" s="49">
        <v>-2.6800000000000001E-2</v>
      </c>
      <c r="AH12" s="13"/>
      <c r="AI12" s="13"/>
      <c r="AJ12" s="13"/>
      <c r="AK12" s="13"/>
      <c r="AL12" s="13"/>
      <c r="AM12" s="13"/>
      <c r="AN12" s="13"/>
      <c r="AO12" s="13"/>
      <c r="AP12" s="13"/>
      <c r="AQ12" s="13"/>
      <c r="AR12" s="13"/>
      <c r="AS12" s="13"/>
      <c r="AV12" s="47">
        <v>45299</v>
      </c>
      <c r="AW12" s="46">
        <v>333.07</v>
      </c>
      <c r="AX12" s="49">
        <v>8.9999999999999993E-3</v>
      </c>
      <c r="AY12" s="13"/>
      <c r="AZ12" s="13"/>
      <c r="BA12" s="47">
        <v>45299</v>
      </c>
      <c r="BB12" s="48">
        <v>25235.9</v>
      </c>
      <c r="BC12" s="49">
        <v>1.14E-2</v>
      </c>
      <c r="BD12" s="13"/>
      <c r="BE12" s="13"/>
      <c r="BF12" s="13"/>
      <c r="BG12" s="13"/>
      <c r="BH12" s="13"/>
      <c r="BI12" s="13"/>
      <c r="BJ12" s="13"/>
      <c r="BK12" s="13"/>
      <c r="BL12" s="13"/>
      <c r="BM12" s="13"/>
      <c r="BN12" s="13"/>
      <c r="BO12" s="13"/>
    </row>
    <row r="13" spans="1:67">
      <c r="A13" s="13"/>
      <c r="B13" s="46" t="s">
        <v>157</v>
      </c>
      <c r="C13" s="46">
        <v>310.10000000000002</v>
      </c>
      <c r="D13" s="49">
        <v>4.9399999999999999E-2</v>
      </c>
      <c r="E13" s="13"/>
      <c r="F13" s="13"/>
      <c r="G13" s="13"/>
      <c r="H13" s="46" t="s">
        <v>157</v>
      </c>
      <c r="I13" s="48">
        <v>22834.3</v>
      </c>
      <c r="J13" s="49">
        <v>1.4500000000000001E-2</v>
      </c>
      <c r="K13" s="13"/>
      <c r="L13" s="13"/>
      <c r="M13" s="13"/>
      <c r="N13" s="13"/>
      <c r="O13" s="13"/>
      <c r="P13" s="13"/>
      <c r="Q13" s="13"/>
      <c r="R13" s="13"/>
      <c r="S13" s="13"/>
      <c r="T13" s="13"/>
      <c r="U13" s="13"/>
      <c r="Y13" s="47">
        <v>45690</v>
      </c>
      <c r="Z13" s="46">
        <v>322.8</v>
      </c>
      <c r="AA13" s="49">
        <v>0.1154</v>
      </c>
      <c r="AB13" s="13"/>
      <c r="AC13" s="13"/>
      <c r="AD13" s="13"/>
      <c r="AE13" s="47">
        <v>45690</v>
      </c>
      <c r="AF13" s="48">
        <v>23559.95</v>
      </c>
      <c r="AG13" s="49">
        <v>2.2000000000000001E-3</v>
      </c>
      <c r="AH13" s="13"/>
      <c r="AI13" s="13"/>
      <c r="AJ13" s="13" t="s">
        <v>158</v>
      </c>
      <c r="AK13" s="13"/>
      <c r="AL13" s="13"/>
      <c r="AM13" s="13"/>
      <c r="AN13" s="13"/>
      <c r="AO13" s="13"/>
      <c r="AP13" s="13"/>
      <c r="AQ13" s="13"/>
      <c r="AR13" s="13"/>
      <c r="AS13" s="13"/>
      <c r="AV13" s="47">
        <v>45298</v>
      </c>
      <c r="AW13" s="46">
        <v>330.09</v>
      </c>
      <c r="AX13" s="49">
        <v>5.4100000000000002E-2</v>
      </c>
      <c r="AY13" s="13"/>
      <c r="AZ13" s="13"/>
      <c r="BA13" s="47">
        <v>45298</v>
      </c>
      <c r="BB13" s="48">
        <v>24951.15</v>
      </c>
      <c r="BC13" s="49">
        <v>3.9199999999999999E-2</v>
      </c>
      <c r="BD13" s="13"/>
      <c r="BE13" s="13"/>
      <c r="BF13" s="13" t="s">
        <v>158</v>
      </c>
      <c r="BG13" s="13"/>
      <c r="BH13" s="13"/>
      <c r="BI13" s="13"/>
      <c r="BJ13" s="13"/>
      <c r="BK13" s="13"/>
      <c r="BL13" s="13"/>
      <c r="BM13" s="13"/>
      <c r="BN13" s="13"/>
      <c r="BO13" s="13"/>
    </row>
    <row r="14" spans="1:67">
      <c r="A14" s="13"/>
      <c r="B14" s="46" t="s">
        <v>159</v>
      </c>
      <c r="C14" s="46">
        <v>295.5</v>
      </c>
      <c r="D14" s="49">
        <v>-2.6800000000000001E-2</v>
      </c>
      <c r="E14" s="13"/>
      <c r="F14" s="13"/>
      <c r="G14" s="13"/>
      <c r="H14" s="46" t="s">
        <v>159</v>
      </c>
      <c r="I14" s="48">
        <v>22508.75</v>
      </c>
      <c r="J14" s="49">
        <v>5.0000000000000001E-3</v>
      </c>
      <c r="K14" s="13"/>
      <c r="L14" s="13"/>
      <c r="M14" s="13" t="s">
        <v>158</v>
      </c>
      <c r="N14" s="13"/>
      <c r="O14" s="13"/>
      <c r="P14" s="13"/>
      <c r="Q14" s="13"/>
      <c r="R14" s="13"/>
      <c r="S14" s="13"/>
      <c r="T14" s="13"/>
      <c r="U14" s="13"/>
      <c r="Y14" s="46" t="s">
        <v>160</v>
      </c>
      <c r="Z14" s="46">
        <v>289.39999999999998</v>
      </c>
      <c r="AA14" s="49">
        <v>-5.1799999999999999E-2</v>
      </c>
      <c r="AB14" s="13"/>
      <c r="AC14" s="13"/>
      <c r="AD14" s="13"/>
      <c r="AE14" s="46" t="s">
        <v>160</v>
      </c>
      <c r="AF14" s="48">
        <v>23508.400000000001</v>
      </c>
      <c r="AG14" s="49">
        <v>1.7999999999999999E-2</v>
      </c>
      <c r="AH14" s="13"/>
      <c r="AI14" s="13"/>
      <c r="AJ14" s="43" t="s">
        <v>161</v>
      </c>
      <c r="AK14" s="43" t="s">
        <v>162</v>
      </c>
      <c r="AL14" s="43" t="s">
        <v>163</v>
      </c>
      <c r="AM14" s="43" t="s">
        <v>164</v>
      </c>
      <c r="AN14" s="43" t="s">
        <v>165</v>
      </c>
      <c r="AO14" s="43" t="s">
        <v>166</v>
      </c>
      <c r="AP14" s="13"/>
      <c r="AQ14" s="13"/>
      <c r="AR14" s="13"/>
      <c r="AS14" s="13"/>
      <c r="AV14" s="47">
        <v>45297</v>
      </c>
      <c r="AW14" s="46">
        <v>313.16000000000003</v>
      </c>
      <c r="AX14" s="49">
        <v>7.7700000000000005E-2</v>
      </c>
      <c r="AY14" s="13"/>
      <c r="AZ14" s="13"/>
      <c r="BA14" s="47">
        <v>45297</v>
      </c>
      <c r="BB14" s="48">
        <v>24010.6</v>
      </c>
      <c r="BC14" s="49">
        <v>6.5699999999999995E-2</v>
      </c>
      <c r="BD14" s="13"/>
      <c r="BE14" s="13"/>
      <c r="BF14" s="43" t="s">
        <v>161</v>
      </c>
      <c r="BG14" s="43" t="s">
        <v>162</v>
      </c>
      <c r="BH14" s="43" t="s">
        <v>163</v>
      </c>
      <c r="BI14" s="43" t="s">
        <v>164</v>
      </c>
      <c r="BJ14" s="43" t="s">
        <v>165</v>
      </c>
      <c r="BK14" s="43" t="s">
        <v>166</v>
      </c>
      <c r="BL14" s="13"/>
      <c r="BM14" s="13"/>
      <c r="BN14" s="13"/>
      <c r="BO14" s="13"/>
    </row>
    <row r="15" spans="1:67">
      <c r="A15" s="13"/>
      <c r="B15" s="46" t="s">
        <v>167</v>
      </c>
      <c r="C15" s="46">
        <v>303.64999999999998</v>
      </c>
      <c r="D15" s="49">
        <v>-3.85E-2</v>
      </c>
      <c r="E15" s="13"/>
      <c r="F15" s="13"/>
      <c r="G15" s="13"/>
      <c r="H15" s="46" t="s">
        <v>167</v>
      </c>
      <c r="I15" s="48">
        <v>22397.200000000001</v>
      </c>
      <c r="J15" s="49">
        <v>-3.3E-3</v>
      </c>
      <c r="K15" s="13"/>
      <c r="L15" s="13"/>
      <c r="M15" s="43" t="s">
        <v>161</v>
      </c>
      <c r="N15" s="43" t="s">
        <v>162</v>
      </c>
      <c r="O15" s="43" t="s">
        <v>163</v>
      </c>
      <c r="P15" s="43" t="s">
        <v>164</v>
      </c>
      <c r="Q15" s="43" t="s">
        <v>165</v>
      </c>
      <c r="R15" s="43" t="s">
        <v>166</v>
      </c>
      <c r="S15" s="13"/>
      <c r="T15" s="13"/>
      <c r="U15" s="13"/>
      <c r="Y15" s="46" t="s">
        <v>168</v>
      </c>
      <c r="Z15" s="46">
        <v>305.2</v>
      </c>
      <c r="AA15" s="49">
        <v>-3.9E-2</v>
      </c>
      <c r="AB15" s="13"/>
      <c r="AC15" s="13"/>
      <c r="AD15" s="13"/>
      <c r="AE15" s="46" t="s">
        <v>168</v>
      </c>
      <c r="AF15" s="48">
        <v>23092.2</v>
      </c>
      <c r="AG15" s="49">
        <v>-4.7999999999999996E-3</v>
      </c>
      <c r="AH15" s="13"/>
      <c r="AI15" s="13"/>
      <c r="AJ15" s="13" t="s">
        <v>169</v>
      </c>
      <c r="AK15" s="13">
        <v>1</v>
      </c>
      <c r="AL15" s="13">
        <v>1.9743E-2</v>
      </c>
      <c r="AM15" s="13">
        <v>1.9743E-2</v>
      </c>
      <c r="AN15" s="13">
        <v>11.379659999999999</v>
      </c>
      <c r="AO15" s="13">
        <v>9.810000000000001E-4</v>
      </c>
      <c r="AP15" s="13"/>
      <c r="AQ15" s="13"/>
      <c r="AR15" s="13"/>
      <c r="AS15" s="13"/>
      <c r="AV15" s="47">
        <v>45296</v>
      </c>
      <c r="AW15" s="46">
        <v>290.58</v>
      </c>
      <c r="AX15" s="49">
        <v>2.0199999999999999E-2</v>
      </c>
      <c r="AY15" s="13"/>
      <c r="AZ15" s="13"/>
      <c r="BA15" s="47">
        <v>45296</v>
      </c>
      <c r="BB15" s="48">
        <v>22530.7</v>
      </c>
      <c r="BC15" s="49">
        <v>-3.3E-3</v>
      </c>
      <c r="BD15" s="13"/>
      <c r="BE15" s="13"/>
      <c r="BF15" s="13" t="s">
        <v>169</v>
      </c>
      <c r="BG15" s="13">
        <v>1</v>
      </c>
      <c r="BH15" s="13">
        <v>7.038E-3</v>
      </c>
      <c r="BI15" s="13">
        <v>7.038E-3</v>
      </c>
      <c r="BJ15" s="13">
        <v>1.455406</v>
      </c>
      <c r="BK15" s="13">
        <v>0.237757</v>
      </c>
      <c r="BL15" s="13"/>
      <c r="BM15" s="13"/>
      <c r="BN15" s="13"/>
      <c r="BO15" s="13"/>
    </row>
    <row r="16" spans="1:67">
      <c r="A16" s="13"/>
      <c r="B16" s="47">
        <v>45994</v>
      </c>
      <c r="C16" s="46">
        <v>315.8</v>
      </c>
      <c r="D16" s="49">
        <v>-2.46E-2</v>
      </c>
      <c r="E16" s="13"/>
      <c r="F16" s="13"/>
      <c r="G16" s="13"/>
      <c r="H16" s="47">
        <v>45994</v>
      </c>
      <c r="I16" s="48">
        <v>22470.5</v>
      </c>
      <c r="J16" s="49">
        <v>-1.1999999999999999E-3</v>
      </c>
      <c r="K16" s="13"/>
      <c r="L16" s="13"/>
      <c r="M16" s="13" t="s">
        <v>169</v>
      </c>
      <c r="N16" s="13">
        <v>1</v>
      </c>
      <c r="O16" s="13">
        <v>7.1879999999999999E-3</v>
      </c>
      <c r="P16" s="13">
        <v>7.1879999999999999E-3</v>
      </c>
      <c r="Q16" s="13">
        <v>19.856529999999999</v>
      </c>
      <c r="R16" s="55">
        <v>9.91E-6</v>
      </c>
      <c r="S16" s="13"/>
      <c r="T16" s="13"/>
      <c r="U16" s="13"/>
      <c r="Y16" s="47">
        <v>45992</v>
      </c>
      <c r="Z16" s="46">
        <v>317.60000000000002</v>
      </c>
      <c r="AA16" s="49">
        <v>-3.5999999999999997E-2</v>
      </c>
      <c r="AB16" s="13"/>
      <c r="AC16" s="13"/>
      <c r="AD16" s="13"/>
      <c r="AE16" s="47">
        <v>45992</v>
      </c>
      <c r="AF16" s="48">
        <v>23203.200000000001</v>
      </c>
      <c r="AG16" s="49">
        <v>-9.7000000000000003E-3</v>
      </c>
      <c r="AH16" s="13"/>
      <c r="AI16" s="13"/>
      <c r="AJ16" s="13" t="s">
        <v>170</v>
      </c>
      <c r="AK16" s="13">
        <v>129</v>
      </c>
      <c r="AL16" s="13">
        <v>0.223806</v>
      </c>
      <c r="AM16" s="13">
        <v>1.735E-3</v>
      </c>
      <c r="AN16" s="13"/>
      <c r="AO16" s="13"/>
      <c r="AP16" s="13"/>
      <c r="AQ16" s="13"/>
      <c r="AR16" s="13"/>
      <c r="AS16" s="13"/>
      <c r="AV16" s="47">
        <v>45295</v>
      </c>
      <c r="AW16" s="46">
        <v>284.83</v>
      </c>
      <c r="AX16" s="49">
        <v>-9.2600000000000002E-2</v>
      </c>
      <c r="AY16" s="13"/>
      <c r="AZ16" s="13"/>
      <c r="BA16" s="47">
        <v>45295</v>
      </c>
      <c r="BB16" s="48">
        <v>22604.85</v>
      </c>
      <c r="BC16" s="49">
        <v>1.24E-2</v>
      </c>
      <c r="BD16" s="13"/>
      <c r="BE16" s="13"/>
      <c r="BF16" s="13" t="s">
        <v>170</v>
      </c>
      <c r="BG16" s="13">
        <v>28</v>
      </c>
      <c r="BH16" s="13">
        <v>0.13539399999999999</v>
      </c>
      <c r="BI16" s="13">
        <v>4.8349999999999999E-3</v>
      </c>
      <c r="BJ16" s="13"/>
      <c r="BK16" s="13"/>
      <c r="BL16" s="13"/>
      <c r="BM16" s="13"/>
      <c r="BN16" s="13"/>
      <c r="BO16" s="13"/>
    </row>
    <row r="17" spans="1:67">
      <c r="A17" s="13"/>
      <c r="B17" s="47">
        <v>45964</v>
      </c>
      <c r="C17" s="46">
        <v>323.75</v>
      </c>
      <c r="D17" s="49">
        <v>-6.7000000000000002E-3</v>
      </c>
      <c r="E17" s="13"/>
      <c r="F17" s="13"/>
      <c r="G17" s="13"/>
      <c r="H17" s="47">
        <v>45964</v>
      </c>
      <c r="I17" s="48">
        <v>22497.9</v>
      </c>
      <c r="J17" s="49">
        <v>1.6999999999999999E-3</v>
      </c>
      <c r="K17" s="13"/>
      <c r="L17" s="13"/>
      <c r="M17" s="13" t="s">
        <v>170</v>
      </c>
      <c r="N17" s="13">
        <v>617</v>
      </c>
      <c r="O17" s="13">
        <v>0.22333800000000001</v>
      </c>
      <c r="P17" s="13">
        <v>3.6200000000000002E-4</v>
      </c>
      <c r="Q17" s="13"/>
      <c r="R17" s="13"/>
      <c r="S17" s="13"/>
      <c r="T17" s="13"/>
      <c r="U17" s="13"/>
      <c r="Y17" s="47">
        <v>45778</v>
      </c>
      <c r="Z17" s="46">
        <v>329.45</v>
      </c>
      <c r="AA17" s="49">
        <v>-5.6599999999999998E-2</v>
      </c>
      <c r="AB17" s="13"/>
      <c r="AC17" s="13"/>
      <c r="AD17" s="13"/>
      <c r="AE17" s="47">
        <v>45778</v>
      </c>
      <c r="AF17" s="48">
        <v>23431.5</v>
      </c>
      <c r="AG17" s="49">
        <v>-2.3900000000000001E-2</v>
      </c>
      <c r="AH17" s="13"/>
      <c r="AI17" s="13"/>
      <c r="AJ17" s="45" t="s">
        <v>171</v>
      </c>
      <c r="AK17" s="45">
        <v>130</v>
      </c>
      <c r="AL17" s="45">
        <v>0.24354899999999999</v>
      </c>
      <c r="AM17" s="45" t="s">
        <v>161</v>
      </c>
      <c r="AN17" s="45" t="s">
        <v>161</v>
      </c>
      <c r="AO17" s="45" t="s">
        <v>161</v>
      </c>
      <c r="AP17" s="13"/>
      <c r="AQ17" s="13"/>
      <c r="AR17" s="13"/>
      <c r="AS17" s="13"/>
      <c r="AV17" s="47">
        <v>45294</v>
      </c>
      <c r="AW17" s="46">
        <v>313.91000000000003</v>
      </c>
      <c r="AX17" s="49">
        <v>4.4999999999999998E-2</v>
      </c>
      <c r="AY17" s="13"/>
      <c r="AZ17" s="13"/>
      <c r="BA17" s="47">
        <v>45294</v>
      </c>
      <c r="BB17" s="48">
        <v>22326.9</v>
      </c>
      <c r="BC17" s="49">
        <v>1.5699999999999999E-2</v>
      </c>
      <c r="BD17" s="13"/>
      <c r="BE17" s="13"/>
      <c r="BF17" s="45" t="s">
        <v>171</v>
      </c>
      <c r="BG17" s="45">
        <v>29</v>
      </c>
      <c r="BH17" s="45">
        <v>0.142431</v>
      </c>
      <c r="BI17" s="45" t="s">
        <v>161</v>
      </c>
      <c r="BJ17" s="45" t="s">
        <v>161</v>
      </c>
      <c r="BK17" s="45" t="s">
        <v>161</v>
      </c>
      <c r="BL17" s="13"/>
      <c r="BM17" s="13"/>
      <c r="BN17" s="13"/>
      <c r="BO17" s="13"/>
    </row>
    <row r="18" spans="1:67">
      <c r="A18" s="13"/>
      <c r="B18" s="47">
        <v>45933</v>
      </c>
      <c r="C18" s="46">
        <v>325.95</v>
      </c>
      <c r="D18" s="49">
        <v>-3.4500000000000003E-2</v>
      </c>
      <c r="E18" s="13"/>
      <c r="F18" s="13"/>
      <c r="G18" s="13"/>
      <c r="H18" s="47">
        <v>45933</v>
      </c>
      <c r="I18" s="48">
        <v>22460.3</v>
      </c>
      <c r="J18" s="49">
        <v>-4.1000000000000003E-3</v>
      </c>
      <c r="K18" s="13"/>
      <c r="L18" s="13"/>
      <c r="M18" s="45" t="s">
        <v>171</v>
      </c>
      <c r="N18" s="45">
        <v>618</v>
      </c>
      <c r="O18" s="45">
        <v>0.23052600000000001</v>
      </c>
      <c r="P18" s="45" t="s">
        <v>161</v>
      </c>
      <c r="Q18" s="45" t="s">
        <v>161</v>
      </c>
      <c r="R18" s="45" t="s">
        <v>161</v>
      </c>
      <c r="S18" s="13"/>
      <c r="T18" s="13"/>
      <c r="U18" s="13"/>
      <c r="Y18" s="46" t="s">
        <v>172</v>
      </c>
      <c r="Z18" s="46">
        <v>349.2</v>
      </c>
      <c r="AA18" s="49">
        <v>5.7200000000000001E-2</v>
      </c>
      <c r="AB18" s="13"/>
      <c r="AC18" s="13"/>
      <c r="AD18" s="13"/>
      <c r="AE18" s="46" t="s">
        <v>172</v>
      </c>
      <c r="AF18" s="48">
        <v>24004.75</v>
      </c>
      <c r="AG18" s="49">
        <v>8.0000000000000002E-3</v>
      </c>
      <c r="AH18" s="13"/>
      <c r="AI18" s="13"/>
      <c r="AJ18" s="13"/>
      <c r="AK18" s="13"/>
      <c r="AL18" s="13"/>
      <c r="AM18" s="13"/>
      <c r="AN18" s="13"/>
      <c r="AO18" s="13"/>
      <c r="AP18" s="13"/>
      <c r="AQ18" s="13"/>
      <c r="AR18" s="13"/>
      <c r="AS18" s="13"/>
      <c r="AV18" s="47">
        <v>45293</v>
      </c>
      <c r="AW18" s="46">
        <v>300.39999999999998</v>
      </c>
      <c r="AX18" s="49">
        <v>3.5499999999999997E-2</v>
      </c>
      <c r="AY18" s="13"/>
      <c r="AZ18" s="13"/>
      <c r="BA18" s="47">
        <v>45293</v>
      </c>
      <c r="BB18" s="48">
        <v>21982.799999999999</v>
      </c>
      <c r="BC18" s="49">
        <v>1.18E-2</v>
      </c>
      <c r="BD18" s="13"/>
      <c r="BE18" s="13"/>
      <c r="BF18" s="13"/>
      <c r="BG18" s="13"/>
      <c r="BH18" s="13"/>
      <c r="BI18" s="13"/>
      <c r="BJ18" s="13"/>
      <c r="BK18" s="13"/>
      <c r="BL18" s="13"/>
      <c r="BM18" s="13"/>
      <c r="BN18" s="13"/>
      <c r="BO18" s="13"/>
    </row>
    <row r="19" spans="1:67">
      <c r="A19" s="13"/>
      <c r="B19" s="47">
        <v>45841</v>
      </c>
      <c r="C19" s="46">
        <v>337.6</v>
      </c>
      <c r="D19" s="49">
        <v>3.32E-2</v>
      </c>
      <c r="E19" s="13"/>
      <c r="F19" s="13"/>
      <c r="G19" s="13"/>
      <c r="H19" s="47">
        <v>45841</v>
      </c>
      <c r="I19" s="48">
        <v>22552.5</v>
      </c>
      <c r="J19" s="49">
        <v>2.9999999999999997E-4</v>
      </c>
      <c r="K19" s="13"/>
      <c r="L19" s="13"/>
      <c r="M19" s="13"/>
      <c r="N19" s="13"/>
      <c r="O19" s="13"/>
      <c r="P19" s="13"/>
      <c r="Q19" s="13"/>
      <c r="R19" s="13"/>
      <c r="S19" s="13"/>
      <c r="T19" s="13"/>
      <c r="U19" s="13"/>
      <c r="Y19" s="46" t="s">
        <v>173</v>
      </c>
      <c r="Z19" s="46">
        <v>330.3</v>
      </c>
      <c r="AA19" s="49">
        <v>5.9299999999999999E-2</v>
      </c>
      <c r="AB19" s="13"/>
      <c r="AC19" s="13"/>
      <c r="AD19" s="13"/>
      <c r="AE19" s="46" t="s">
        <v>173</v>
      </c>
      <c r="AF19" s="48">
        <v>23813.4</v>
      </c>
      <c r="AG19" s="49">
        <v>9.5999999999999992E-3</v>
      </c>
      <c r="AH19" s="13"/>
      <c r="AI19" s="13"/>
      <c r="AJ19" s="43" t="s">
        <v>161</v>
      </c>
      <c r="AK19" s="43" t="s">
        <v>174</v>
      </c>
      <c r="AL19" s="43" t="s">
        <v>152</v>
      </c>
      <c r="AM19" s="43" t="s">
        <v>175</v>
      </c>
      <c r="AN19" s="43" t="s">
        <v>176</v>
      </c>
      <c r="AO19" s="43" t="s">
        <v>177</v>
      </c>
      <c r="AP19" s="43" t="s">
        <v>178</v>
      </c>
      <c r="AQ19" s="43" t="s">
        <v>179</v>
      </c>
      <c r="AR19" s="43" t="s">
        <v>180</v>
      </c>
      <c r="AS19" s="13"/>
      <c r="AV19" s="47">
        <v>45292</v>
      </c>
      <c r="AW19" s="46">
        <v>290.11</v>
      </c>
      <c r="AX19" s="49">
        <v>2.1000000000000001E-2</v>
      </c>
      <c r="AY19" s="13"/>
      <c r="AZ19" s="13"/>
      <c r="BA19" s="47">
        <v>45292</v>
      </c>
      <c r="BB19" s="48">
        <v>21725.7</v>
      </c>
      <c r="BC19" s="49">
        <v>-2.9999999999999997E-4</v>
      </c>
      <c r="BD19" s="13"/>
      <c r="BE19" s="13"/>
      <c r="BF19" s="43" t="s">
        <v>161</v>
      </c>
      <c r="BG19" s="43" t="s">
        <v>174</v>
      </c>
      <c r="BH19" s="43" t="s">
        <v>152</v>
      </c>
      <c r="BI19" s="43" t="s">
        <v>175</v>
      </c>
      <c r="BJ19" s="43" t="s">
        <v>176</v>
      </c>
      <c r="BK19" s="43" t="s">
        <v>177</v>
      </c>
      <c r="BL19" s="43" t="s">
        <v>178</v>
      </c>
      <c r="BM19" s="13"/>
      <c r="BN19" s="13"/>
      <c r="BO19" s="13"/>
    </row>
    <row r="20" spans="1:67">
      <c r="A20" s="13"/>
      <c r="B20" s="47">
        <v>45811</v>
      </c>
      <c r="C20" s="46">
        <v>326.75</v>
      </c>
      <c r="D20" s="49">
        <v>5.2299999999999999E-2</v>
      </c>
      <c r="E20" s="13"/>
      <c r="F20" s="13"/>
      <c r="G20" s="13"/>
      <c r="H20" s="47">
        <v>45811</v>
      </c>
      <c r="I20" s="48">
        <v>22544.7</v>
      </c>
      <c r="J20" s="49">
        <v>9.2999999999999992E-3</v>
      </c>
      <c r="K20" s="13"/>
      <c r="L20" s="13"/>
      <c r="M20" s="43" t="s">
        <v>161</v>
      </c>
      <c r="N20" s="43" t="s">
        <v>174</v>
      </c>
      <c r="O20" s="43" t="s">
        <v>152</v>
      </c>
      <c r="P20" s="43" t="s">
        <v>175</v>
      </c>
      <c r="Q20" s="43" t="s">
        <v>176</v>
      </c>
      <c r="R20" s="43" t="s">
        <v>177</v>
      </c>
      <c r="S20" s="43" t="s">
        <v>178</v>
      </c>
      <c r="T20" s="43" t="s">
        <v>179</v>
      </c>
      <c r="U20" s="43" t="s">
        <v>180</v>
      </c>
      <c r="Y20" s="46" t="s">
        <v>181</v>
      </c>
      <c r="Z20" s="46">
        <v>311.8</v>
      </c>
      <c r="AA20" s="49">
        <v>-5.0000000000000001E-4</v>
      </c>
      <c r="AB20" s="13"/>
      <c r="AC20" s="13"/>
      <c r="AD20" s="13"/>
      <c r="AE20" s="46" t="s">
        <v>181</v>
      </c>
      <c r="AF20" s="48">
        <v>23587.5</v>
      </c>
      <c r="AG20" s="49">
        <v>-4.7699999999999999E-2</v>
      </c>
      <c r="AH20" s="13"/>
      <c r="AI20" s="13"/>
      <c r="AJ20" s="13" t="s">
        <v>182</v>
      </c>
      <c r="AK20" s="13">
        <v>-9.7999999999999997E-4</v>
      </c>
      <c r="AL20" s="13">
        <v>3.679E-3</v>
      </c>
      <c r="AM20" s="13">
        <v>-0.26562000000000002</v>
      </c>
      <c r="AN20" s="13">
        <v>0.79095599999999999</v>
      </c>
      <c r="AO20" s="13">
        <v>-8.26E-3</v>
      </c>
      <c r="AP20" s="13">
        <v>6.3010000000000002E-3</v>
      </c>
      <c r="AQ20" s="13">
        <v>-8.26E-3</v>
      </c>
      <c r="AR20" s="13">
        <v>6.3010000000000002E-3</v>
      </c>
      <c r="AS20" s="13"/>
      <c r="AV20" s="47">
        <v>44938</v>
      </c>
      <c r="AW20" s="46">
        <v>284.14</v>
      </c>
      <c r="AX20" s="49">
        <v>2.3400000000000001E-2</v>
      </c>
      <c r="AY20" s="13"/>
      <c r="AZ20" s="13"/>
      <c r="BA20" s="47">
        <v>44938</v>
      </c>
      <c r="BB20" s="48">
        <v>21731.4</v>
      </c>
      <c r="BC20" s="49">
        <v>7.9399999999999998E-2</v>
      </c>
      <c r="BD20" s="13"/>
      <c r="BE20" s="13"/>
      <c r="BF20" s="13" t="s">
        <v>182</v>
      </c>
      <c r="BG20" s="13">
        <v>-3.1099999999999999E-3</v>
      </c>
      <c r="BH20" s="13">
        <v>1.333E-2</v>
      </c>
      <c r="BI20" s="13">
        <v>-0.23358999999999999</v>
      </c>
      <c r="BJ20" s="13">
        <v>0.81699900000000003</v>
      </c>
      <c r="BK20" s="13">
        <v>-3.0419999999999999E-2</v>
      </c>
      <c r="BL20" s="13">
        <v>2.4191000000000001E-2</v>
      </c>
      <c r="BM20" s="43" t="s">
        <v>179</v>
      </c>
      <c r="BN20" s="43" t="s">
        <v>180</v>
      </c>
      <c r="BO20" s="13"/>
    </row>
    <row r="21" spans="1:67">
      <c r="A21" s="13"/>
      <c r="B21" s="47">
        <v>45780</v>
      </c>
      <c r="C21" s="46">
        <v>310.5</v>
      </c>
      <c r="D21" s="49">
        <v>-2.8899999999999999E-2</v>
      </c>
      <c r="E21" s="13"/>
      <c r="F21" s="13"/>
      <c r="G21" s="13"/>
      <c r="H21" s="47">
        <v>45780</v>
      </c>
      <c r="I21" s="48">
        <v>22337.3</v>
      </c>
      <c r="J21" s="49">
        <v>1.15E-2</v>
      </c>
      <c r="K21" s="13"/>
      <c r="L21" s="13"/>
      <c r="M21" s="13" t="s">
        <v>182</v>
      </c>
      <c r="N21" s="55">
        <v>-8.7000000000000001E-5</v>
      </c>
      <c r="O21" s="13">
        <v>7.67E-4</v>
      </c>
      <c r="P21" s="13">
        <v>-0.11386</v>
      </c>
      <c r="Q21" s="13">
        <v>0.90939000000000003</v>
      </c>
      <c r="R21" s="13">
        <v>-1.5900000000000001E-3</v>
      </c>
      <c r="S21" s="13">
        <v>1.418E-3</v>
      </c>
      <c r="T21" s="13">
        <v>-1.5900000000000001E-3</v>
      </c>
      <c r="U21" s="13">
        <v>1.418E-3</v>
      </c>
      <c r="Y21" s="47">
        <v>45516</v>
      </c>
      <c r="Z21" s="46">
        <v>311.95</v>
      </c>
      <c r="AA21" s="49">
        <v>-0.1087</v>
      </c>
      <c r="AB21" s="13"/>
      <c r="AC21" s="13"/>
      <c r="AD21" s="13"/>
      <c r="AE21" s="47">
        <v>45516</v>
      </c>
      <c r="AF21" s="48">
        <v>24768.3</v>
      </c>
      <c r="AG21" s="49">
        <v>3.7000000000000002E-3</v>
      </c>
      <c r="AH21" s="13"/>
      <c r="AI21" s="13"/>
      <c r="AJ21" s="45" t="s">
        <v>183</v>
      </c>
      <c r="AK21" s="45">
        <v>0.76811200000000002</v>
      </c>
      <c r="AL21" s="45">
        <v>0.22769800000000001</v>
      </c>
      <c r="AM21" s="45">
        <v>3.3733749999999998</v>
      </c>
      <c r="AN21" s="45">
        <v>9.810000000000001E-4</v>
      </c>
      <c r="AO21" s="45">
        <v>0.31760500000000003</v>
      </c>
      <c r="AP21" s="45">
        <v>1.2186189999999999</v>
      </c>
      <c r="AQ21" s="45">
        <v>0.31760500000000003</v>
      </c>
      <c r="AR21" s="45">
        <v>1.2186189999999999</v>
      </c>
      <c r="AS21" s="13"/>
      <c r="AV21" s="47">
        <v>44937</v>
      </c>
      <c r="AW21" s="46">
        <v>277.64999999999998</v>
      </c>
      <c r="AX21" s="49">
        <v>7.0699999999999999E-2</v>
      </c>
      <c r="AY21" s="13"/>
      <c r="AZ21" s="13"/>
      <c r="BA21" s="47">
        <v>44937</v>
      </c>
      <c r="BB21" s="48">
        <v>20133.150000000001</v>
      </c>
      <c r="BC21" s="49">
        <v>5.5199999999999999E-2</v>
      </c>
      <c r="BD21" s="13"/>
      <c r="BE21" s="13"/>
      <c r="BF21" s="45" t="s">
        <v>183</v>
      </c>
      <c r="BG21" s="45">
        <v>0.43353799999999998</v>
      </c>
      <c r="BH21" s="45">
        <v>0.35936499999999999</v>
      </c>
      <c r="BI21" s="45">
        <v>1.206402</v>
      </c>
      <c r="BJ21" s="45">
        <v>0.237757</v>
      </c>
      <c r="BK21" s="45">
        <v>-0.30259000000000003</v>
      </c>
      <c r="BL21" s="45">
        <v>1.1696629999999999</v>
      </c>
      <c r="BM21" s="13">
        <v>-3.0419999999999999E-2</v>
      </c>
      <c r="BN21" s="13">
        <v>2.4191000000000001E-2</v>
      </c>
      <c r="BO21" s="13"/>
    </row>
    <row r="22" spans="1:67">
      <c r="A22" s="13"/>
      <c r="B22" s="47">
        <v>45750</v>
      </c>
      <c r="C22" s="46">
        <v>319.75</v>
      </c>
      <c r="D22" s="49">
        <v>-1.72E-2</v>
      </c>
      <c r="E22" s="13"/>
      <c r="F22" s="13"/>
      <c r="G22" s="13"/>
      <c r="H22" s="47">
        <v>45750</v>
      </c>
      <c r="I22" s="48">
        <v>22082.65</v>
      </c>
      <c r="J22" s="49">
        <v>-1.6999999999999999E-3</v>
      </c>
      <c r="K22" s="13"/>
      <c r="L22" s="13"/>
      <c r="M22" s="45" t="s">
        <v>183</v>
      </c>
      <c r="N22" s="45">
        <v>0.44822000000000001</v>
      </c>
      <c r="O22" s="45">
        <v>0.10058599999999999</v>
      </c>
      <c r="P22" s="45">
        <v>4.4560659999999999</v>
      </c>
      <c r="Q22" s="56">
        <v>9.91E-6</v>
      </c>
      <c r="R22" s="45">
        <v>0.25068699999999999</v>
      </c>
      <c r="S22" s="45">
        <v>0.64575300000000002</v>
      </c>
      <c r="T22" s="45">
        <v>0.25068699999999999</v>
      </c>
      <c r="U22" s="45">
        <v>0.64575300000000002</v>
      </c>
      <c r="Y22" s="47">
        <v>45303</v>
      </c>
      <c r="Z22" s="46">
        <v>350</v>
      </c>
      <c r="AA22" s="49">
        <v>7.2300000000000003E-2</v>
      </c>
      <c r="AB22" s="13"/>
      <c r="AC22" s="13"/>
      <c r="AD22" s="13"/>
      <c r="AE22" s="47">
        <v>45303</v>
      </c>
      <c r="AF22" s="48">
        <v>24677.8</v>
      </c>
      <c r="AG22" s="49">
        <v>2.2700000000000001E-2</v>
      </c>
      <c r="AH22" s="13"/>
      <c r="AI22" s="13"/>
      <c r="AJ22" s="13"/>
      <c r="AK22" s="13"/>
      <c r="AL22" s="13"/>
      <c r="AM22" s="13"/>
      <c r="AN22" s="13"/>
      <c r="AO22" s="13"/>
      <c r="AP22" s="13"/>
      <c r="AQ22" s="13"/>
      <c r="AR22" s="13"/>
      <c r="AS22" s="13"/>
      <c r="AV22" s="47">
        <v>44936</v>
      </c>
      <c r="AW22" s="46">
        <v>259.31</v>
      </c>
      <c r="AX22" s="49">
        <v>-0.1077</v>
      </c>
      <c r="AY22" s="13"/>
      <c r="AZ22" s="13"/>
      <c r="BA22" s="47">
        <v>44936</v>
      </c>
      <c r="BB22" s="48">
        <v>19079.599999999999</v>
      </c>
      <c r="BC22" s="49">
        <v>-2.8400000000000002E-2</v>
      </c>
      <c r="BD22" s="13"/>
      <c r="BE22" s="13"/>
      <c r="BF22" s="13"/>
      <c r="BG22" s="13"/>
      <c r="BH22" s="13"/>
      <c r="BI22" s="13"/>
      <c r="BJ22" s="13"/>
      <c r="BK22" s="13"/>
      <c r="BL22" s="13"/>
      <c r="BM22" s="45">
        <v>-0.30259000000000003</v>
      </c>
      <c r="BN22" s="45">
        <v>1.1696629999999999</v>
      </c>
      <c r="BO22" s="13"/>
    </row>
    <row r="23" spans="1:67">
      <c r="A23" s="13"/>
      <c r="B23" s="47">
        <v>45719</v>
      </c>
      <c r="C23" s="46">
        <v>325.35000000000002</v>
      </c>
      <c r="D23" s="49">
        <v>4.7E-2</v>
      </c>
      <c r="E23" s="13"/>
      <c r="F23" s="13"/>
      <c r="G23" s="13"/>
      <c r="H23" s="47">
        <v>45719</v>
      </c>
      <c r="I23" s="48">
        <v>22119.3</v>
      </c>
      <c r="J23" s="49">
        <v>-2.0000000000000001E-4</v>
      </c>
      <c r="K23" s="13"/>
      <c r="L23" s="13"/>
      <c r="M23" s="13"/>
      <c r="N23" s="13"/>
      <c r="O23" s="13"/>
      <c r="P23" s="13"/>
      <c r="Q23" s="13"/>
      <c r="R23" s="13"/>
      <c r="S23" s="13"/>
      <c r="T23" s="13"/>
      <c r="U23" s="13"/>
      <c r="Y23" s="46" t="s">
        <v>184</v>
      </c>
      <c r="Z23" s="46">
        <v>326.39999999999998</v>
      </c>
      <c r="AA23" s="49">
        <v>8.5599999999999996E-2</v>
      </c>
      <c r="AB23" s="13"/>
      <c r="AC23" s="13"/>
      <c r="AD23" s="13"/>
      <c r="AE23" s="46" t="s">
        <v>184</v>
      </c>
      <c r="AF23" s="48">
        <v>24131.1</v>
      </c>
      <c r="AG23" s="49">
        <v>9.4000000000000004E-3</v>
      </c>
      <c r="AH23" s="13"/>
      <c r="AI23" s="13"/>
      <c r="AJ23" s="51" t="s">
        <v>780</v>
      </c>
      <c r="AK23" s="51">
        <v>0.76811200000000002</v>
      </c>
      <c r="AL23" s="13"/>
      <c r="AM23" s="13"/>
      <c r="AN23" s="13"/>
      <c r="AO23" s="13"/>
      <c r="AP23" s="13"/>
      <c r="AQ23" s="13"/>
      <c r="AR23" s="13"/>
      <c r="AS23" s="13"/>
      <c r="AV23" s="47">
        <v>44935</v>
      </c>
      <c r="AW23" s="46">
        <v>290.62</v>
      </c>
      <c r="AX23" s="49">
        <v>2.0299999999999999E-2</v>
      </c>
      <c r="AY23" s="13"/>
      <c r="AZ23" s="13"/>
      <c r="BA23" s="47">
        <v>44935</v>
      </c>
      <c r="BB23" s="48">
        <v>19638.3</v>
      </c>
      <c r="BC23" s="49">
        <v>0.02</v>
      </c>
      <c r="BD23" s="13"/>
      <c r="BE23" s="13"/>
      <c r="BF23" s="51" t="s">
        <v>185</v>
      </c>
      <c r="BG23" s="51">
        <v>0.43353799999999998</v>
      </c>
      <c r="BH23" s="13"/>
      <c r="BI23" s="13"/>
      <c r="BJ23" s="13"/>
      <c r="BK23" s="13"/>
      <c r="BL23" s="13"/>
      <c r="BM23" s="13"/>
      <c r="BN23" s="13"/>
      <c r="BO23" s="13"/>
    </row>
    <row r="24" spans="1:67">
      <c r="A24" s="13"/>
      <c r="B24" s="46" t="s">
        <v>186</v>
      </c>
      <c r="C24" s="46">
        <v>310.75</v>
      </c>
      <c r="D24" s="49">
        <v>9.4000000000000004E-3</v>
      </c>
      <c r="E24" s="13"/>
      <c r="F24" s="13"/>
      <c r="G24" s="13"/>
      <c r="H24" s="46" t="s">
        <v>186</v>
      </c>
      <c r="I24" s="48">
        <v>22124.7</v>
      </c>
      <c r="J24" s="49">
        <v>-1.8599999999999998E-2</v>
      </c>
      <c r="K24" s="13"/>
      <c r="L24" s="13"/>
      <c r="M24" s="51" t="s">
        <v>781</v>
      </c>
      <c r="N24" s="51">
        <v>0.44822000000000001</v>
      </c>
      <c r="O24" s="13"/>
      <c r="P24" s="13"/>
      <c r="Q24" s="13"/>
      <c r="R24" s="13"/>
      <c r="S24" s="13"/>
      <c r="T24" s="13"/>
      <c r="U24" s="13"/>
      <c r="Y24" s="46" t="s">
        <v>187</v>
      </c>
      <c r="Z24" s="46">
        <v>300.64999999999998</v>
      </c>
      <c r="AA24" s="49">
        <v>-0.02</v>
      </c>
      <c r="AB24" s="13"/>
      <c r="AC24" s="13"/>
      <c r="AD24" s="13"/>
      <c r="AE24" s="46" t="s">
        <v>187</v>
      </c>
      <c r="AF24" s="48">
        <v>23907.25</v>
      </c>
      <c r="AG24" s="49">
        <v>1.5900000000000001E-2</v>
      </c>
      <c r="AH24" s="13"/>
      <c r="AI24" s="13"/>
      <c r="AJ24" s="13"/>
      <c r="AK24" s="13"/>
      <c r="AL24" s="13"/>
      <c r="AM24" s="13"/>
      <c r="AN24" s="13"/>
      <c r="AO24" s="13"/>
      <c r="AP24" s="13"/>
      <c r="AQ24" s="13"/>
      <c r="AR24" s="13"/>
      <c r="AS24" s="13"/>
      <c r="AV24" s="47">
        <v>44934</v>
      </c>
      <c r="AW24" s="46">
        <v>284.85000000000002</v>
      </c>
      <c r="AX24" s="49">
        <v>3.7100000000000001E-2</v>
      </c>
      <c r="AY24" s="13"/>
      <c r="AZ24" s="13"/>
      <c r="BA24" s="47">
        <v>44934</v>
      </c>
      <c r="BB24" s="48">
        <v>19253.8</v>
      </c>
      <c r="BC24" s="49">
        <v>-2.53E-2</v>
      </c>
      <c r="BD24" s="13"/>
      <c r="BE24" s="13"/>
      <c r="BF24" s="13"/>
      <c r="BG24" s="13"/>
      <c r="BH24" s="13"/>
      <c r="BI24" s="13"/>
      <c r="BJ24" s="13"/>
      <c r="BK24" s="13"/>
      <c r="BL24" s="13"/>
      <c r="BM24" s="13"/>
      <c r="BN24" s="13"/>
      <c r="BO24" s="13"/>
    </row>
    <row r="25" spans="1:67">
      <c r="A25" s="13"/>
      <c r="B25" s="46" t="s">
        <v>188</v>
      </c>
      <c r="C25" s="46">
        <v>307.85000000000002</v>
      </c>
      <c r="D25" s="49">
        <v>-3.8899999999999997E-2</v>
      </c>
      <c r="E25" s="13"/>
      <c r="F25" s="13"/>
      <c r="G25" s="13"/>
      <c r="H25" s="46" t="s">
        <v>188</v>
      </c>
      <c r="I25" s="48">
        <v>22545.05</v>
      </c>
      <c r="J25" s="49">
        <v>-1E-4</v>
      </c>
      <c r="K25" s="13"/>
      <c r="L25" s="13"/>
      <c r="M25" s="13"/>
      <c r="N25" s="13"/>
      <c r="O25" s="13"/>
      <c r="P25" s="13"/>
      <c r="Q25" s="13"/>
      <c r="R25" s="13"/>
      <c r="S25" s="13"/>
      <c r="T25" s="13"/>
      <c r="U25" s="13"/>
      <c r="Y25" s="47">
        <v>45576</v>
      </c>
      <c r="Z25" s="46">
        <v>306.8</v>
      </c>
      <c r="AA25" s="49">
        <v>-4.3900000000000002E-2</v>
      </c>
      <c r="AB25" s="13"/>
      <c r="AC25" s="13"/>
      <c r="AD25" s="13"/>
      <c r="AE25" s="47">
        <v>45576</v>
      </c>
      <c r="AF25" s="48">
        <v>23532.7</v>
      </c>
      <c r="AG25" s="49">
        <v>-2.5499999999999998E-2</v>
      </c>
      <c r="AH25" s="13"/>
      <c r="AI25" s="13"/>
      <c r="AJ25" s="13"/>
      <c r="AK25" s="13"/>
      <c r="AL25" s="13"/>
      <c r="AM25" s="13"/>
      <c r="AN25" s="13"/>
      <c r="AO25" s="13"/>
      <c r="AP25" s="13"/>
      <c r="AQ25" s="13"/>
      <c r="AR25" s="13"/>
      <c r="AS25" s="13"/>
      <c r="AV25" s="47">
        <v>44933</v>
      </c>
      <c r="AW25" s="46">
        <v>274.64999999999998</v>
      </c>
      <c r="AX25" s="49">
        <v>-8.0000000000000004E-4</v>
      </c>
      <c r="AY25" s="13"/>
      <c r="AZ25" s="13"/>
      <c r="BA25" s="47">
        <v>44933</v>
      </c>
      <c r="BB25" s="48">
        <v>19753.8</v>
      </c>
      <c r="BC25" s="49">
        <v>2.9399999999999999E-2</v>
      </c>
      <c r="BD25" s="13"/>
      <c r="BE25" s="13"/>
      <c r="BF25" s="13"/>
      <c r="BG25" s="13"/>
      <c r="BH25" s="13"/>
      <c r="BI25" s="13"/>
      <c r="BJ25" s="13"/>
      <c r="BK25" s="13"/>
      <c r="BL25" s="13"/>
      <c r="BM25" s="13"/>
      <c r="BN25" s="13"/>
      <c r="BO25" s="13"/>
    </row>
    <row r="26" spans="1:67">
      <c r="A26" s="13"/>
      <c r="B26" s="46" t="s">
        <v>190</v>
      </c>
      <c r="C26" s="46">
        <v>320.3</v>
      </c>
      <c r="D26" s="49">
        <v>2.6599999999999999E-2</v>
      </c>
      <c r="E26" s="13"/>
      <c r="F26" s="13"/>
      <c r="G26" s="13"/>
      <c r="H26" s="46" t="s">
        <v>190</v>
      </c>
      <c r="I26" s="48">
        <v>22547.55</v>
      </c>
      <c r="J26" s="49">
        <v>-2.9999999999999997E-4</v>
      </c>
      <c r="K26" s="13"/>
      <c r="L26" s="13"/>
      <c r="M26" s="13"/>
      <c r="N26" s="13"/>
      <c r="O26" s="13"/>
      <c r="P26" s="13"/>
      <c r="Q26" s="13"/>
      <c r="R26" s="13"/>
      <c r="S26" s="13"/>
      <c r="T26" s="13"/>
      <c r="U26" s="13"/>
      <c r="Y26" s="47">
        <v>45362</v>
      </c>
      <c r="Z26" s="46">
        <v>320.89999999999998</v>
      </c>
      <c r="AA26" s="49">
        <v>-1.38E-2</v>
      </c>
      <c r="AB26" s="13"/>
      <c r="AC26" s="13"/>
      <c r="AD26" s="13"/>
      <c r="AE26" s="47">
        <v>45362</v>
      </c>
      <c r="AF26" s="48">
        <v>24148.2</v>
      </c>
      <c r="AG26" s="49">
        <v>-6.4000000000000003E-3</v>
      </c>
      <c r="AH26" s="13"/>
      <c r="AI26" s="13"/>
      <c r="AJ26" s="13"/>
      <c r="AK26" s="13"/>
      <c r="AL26" s="13"/>
      <c r="AM26" s="13"/>
      <c r="AN26" s="13"/>
      <c r="AO26" s="13"/>
      <c r="AP26" s="13"/>
      <c r="AQ26" s="13"/>
      <c r="AR26" s="13"/>
      <c r="AS26" s="13"/>
      <c r="AV26" s="47">
        <v>44932</v>
      </c>
      <c r="AW26" s="46">
        <v>274.88</v>
      </c>
      <c r="AX26" s="49">
        <v>-5.7000000000000002E-2</v>
      </c>
      <c r="AY26" s="13"/>
      <c r="AZ26" s="13"/>
      <c r="BA26" s="47">
        <v>44932</v>
      </c>
      <c r="BB26" s="48">
        <v>19189.05</v>
      </c>
      <c r="BC26" s="49">
        <v>3.5299999999999998E-2</v>
      </c>
      <c r="BD26" s="13"/>
      <c r="BE26" s="13"/>
      <c r="BF26" s="13"/>
      <c r="BG26" s="13"/>
      <c r="BH26" s="13"/>
      <c r="BI26" s="13"/>
      <c r="BJ26" s="13"/>
      <c r="BK26" s="13"/>
      <c r="BL26" s="13"/>
      <c r="BM26" s="13"/>
      <c r="BN26" s="13"/>
      <c r="BO26" s="13"/>
    </row>
    <row r="27" spans="1:67">
      <c r="A27" s="13"/>
      <c r="B27" s="46" t="s">
        <v>191</v>
      </c>
      <c r="C27" s="46">
        <v>312</v>
      </c>
      <c r="D27" s="49">
        <v>-4.8300000000000003E-2</v>
      </c>
      <c r="E27" s="13"/>
      <c r="F27" s="13"/>
      <c r="G27" s="13"/>
      <c r="H27" s="46" t="s">
        <v>191</v>
      </c>
      <c r="I27" s="48">
        <v>22553.35</v>
      </c>
      <c r="J27" s="49">
        <v>-1.06E-2</v>
      </c>
      <c r="K27" s="13"/>
      <c r="L27" s="13"/>
      <c r="M27" s="13"/>
      <c r="N27" s="13"/>
      <c r="O27" s="13"/>
      <c r="P27" s="13"/>
      <c r="Q27" s="13"/>
      <c r="R27" s="13"/>
      <c r="S27" s="13"/>
      <c r="T27" s="13"/>
      <c r="U27" s="13"/>
      <c r="Y27" s="46" t="s">
        <v>192</v>
      </c>
      <c r="Z27" s="46">
        <v>325.39999999999998</v>
      </c>
      <c r="AA27" s="49">
        <v>5.3E-3</v>
      </c>
      <c r="AB27" s="13"/>
      <c r="AC27" s="13"/>
      <c r="AD27" s="13"/>
      <c r="AE27" s="46" t="s">
        <v>192</v>
      </c>
      <c r="AF27" s="48">
        <v>24304.35</v>
      </c>
      <c r="AG27" s="49">
        <v>5.1000000000000004E-3</v>
      </c>
      <c r="AH27" s="13"/>
      <c r="AI27" s="13"/>
      <c r="AJ27" s="13"/>
      <c r="AK27" s="13"/>
      <c r="AL27" s="13"/>
      <c r="AM27" s="13"/>
      <c r="AN27" s="13"/>
      <c r="AO27" s="13"/>
      <c r="AP27" s="13"/>
      <c r="AQ27" s="13"/>
      <c r="AR27" s="13"/>
      <c r="AS27" s="13"/>
      <c r="AV27" s="47">
        <v>44931</v>
      </c>
      <c r="AW27" s="46">
        <v>291.51</v>
      </c>
      <c r="AX27" s="49">
        <v>0.2213</v>
      </c>
      <c r="AY27" s="13"/>
      <c r="AZ27" s="13"/>
      <c r="BA27" s="47">
        <v>44931</v>
      </c>
      <c r="BB27" s="48">
        <v>18534.400000000001</v>
      </c>
      <c r="BC27" s="49">
        <v>2.5999999999999999E-2</v>
      </c>
      <c r="BD27" s="13"/>
      <c r="BE27" s="13"/>
      <c r="BF27" s="13"/>
      <c r="BG27" s="13"/>
      <c r="BH27" s="13"/>
      <c r="BI27" s="13"/>
      <c r="BJ27" s="13"/>
      <c r="BK27" s="13"/>
      <c r="BL27" s="13"/>
      <c r="BM27" s="13"/>
      <c r="BN27" s="13"/>
      <c r="BO27" s="13"/>
    </row>
    <row r="28" spans="1:67">
      <c r="A28" s="13"/>
      <c r="B28" s="46" t="s">
        <v>193</v>
      </c>
      <c r="C28" s="46">
        <v>327.85</v>
      </c>
      <c r="D28" s="49">
        <v>2.5000000000000001E-2</v>
      </c>
      <c r="E28" s="13"/>
      <c r="F28" s="13"/>
      <c r="G28" s="13"/>
      <c r="H28" s="46" t="s">
        <v>193</v>
      </c>
      <c r="I28" s="48">
        <v>22795.9</v>
      </c>
      <c r="J28" s="49">
        <v>-5.1000000000000004E-3</v>
      </c>
      <c r="K28" s="13"/>
      <c r="L28" s="13"/>
      <c r="M28" s="13"/>
      <c r="N28" s="13"/>
      <c r="O28" s="13"/>
      <c r="P28" s="13"/>
      <c r="Q28" s="13"/>
      <c r="R28" s="13"/>
      <c r="S28" s="13"/>
      <c r="T28" s="13"/>
      <c r="U28" s="13"/>
      <c r="Y28" s="46" t="s">
        <v>194</v>
      </c>
      <c r="Z28" s="46">
        <v>323.7</v>
      </c>
      <c r="AA28" s="49">
        <v>-6.7799999999999999E-2</v>
      </c>
      <c r="AB28" s="13"/>
      <c r="AC28" s="13"/>
      <c r="AD28" s="13"/>
      <c r="AE28" s="46" t="s">
        <v>194</v>
      </c>
      <c r="AF28" s="48">
        <v>24180.799999999999</v>
      </c>
      <c r="AG28" s="49">
        <v>-2.7099999999999999E-2</v>
      </c>
      <c r="AH28" s="13"/>
      <c r="AI28" s="13"/>
      <c r="AJ28" s="13"/>
      <c r="AK28" s="13"/>
      <c r="AL28" s="13"/>
      <c r="AM28" s="13"/>
      <c r="AN28" s="13"/>
      <c r="AO28" s="13"/>
      <c r="AP28" s="13"/>
      <c r="AQ28" s="13"/>
      <c r="AR28" s="13"/>
      <c r="AS28" s="13"/>
      <c r="AV28" s="47">
        <v>44930</v>
      </c>
      <c r="AW28" s="46">
        <v>238.68</v>
      </c>
      <c r="AX28" s="49">
        <v>-2.0299999999999999E-2</v>
      </c>
      <c r="AY28" s="13"/>
      <c r="AZ28" s="13"/>
      <c r="BA28" s="47">
        <v>44930</v>
      </c>
      <c r="BB28" s="48">
        <v>18065</v>
      </c>
      <c r="BC28" s="49">
        <v>4.0599999999999997E-2</v>
      </c>
      <c r="BD28" s="13"/>
      <c r="BE28" s="13"/>
      <c r="BF28" s="13"/>
      <c r="BG28" s="13"/>
      <c r="BH28" s="13"/>
      <c r="BI28" s="13"/>
      <c r="BJ28" s="13"/>
      <c r="BK28" s="13"/>
      <c r="BL28" s="13"/>
      <c r="BM28" s="13"/>
      <c r="BN28" s="13"/>
      <c r="BO28" s="13"/>
    </row>
    <row r="29" spans="1:67">
      <c r="A29" s="13"/>
      <c r="B29" s="46" t="s">
        <v>195</v>
      </c>
      <c r="C29" s="46">
        <v>319.85000000000002</v>
      </c>
      <c r="D29" s="49">
        <v>3.7600000000000001E-2</v>
      </c>
      <c r="E29" s="13"/>
      <c r="F29" s="13"/>
      <c r="G29" s="13"/>
      <c r="H29" s="46" t="s">
        <v>195</v>
      </c>
      <c r="I29" s="48">
        <v>22913.15</v>
      </c>
      <c r="J29" s="49">
        <v>-8.9999999999999998E-4</v>
      </c>
      <c r="K29" s="13"/>
      <c r="L29" s="13"/>
      <c r="M29" s="13"/>
      <c r="N29" s="13"/>
      <c r="O29" s="13"/>
      <c r="P29" s="13"/>
      <c r="Q29" s="13"/>
      <c r="R29" s="13"/>
      <c r="S29" s="13"/>
      <c r="T29" s="13"/>
      <c r="U29" s="13"/>
      <c r="Y29" s="46" t="s">
        <v>196</v>
      </c>
      <c r="Z29" s="46">
        <v>347.25</v>
      </c>
      <c r="AA29" s="49">
        <v>-6.4299999999999996E-2</v>
      </c>
      <c r="AB29" s="13"/>
      <c r="AC29" s="13"/>
      <c r="AD29" s="13"/>
      <c r="AE29" s="46" t="s">
        <v>196</v>
      </c>
      <c r="AF29" s="48">
        <v>24854.05</v>
      </c>
      <c r="AG29" s="49">
        <v>-4.4000000000000003E-3</v>
      </c>
      <c r="AH29" s="13"/>
      <c r="AI29" s="13"/>
      <c r="AJ29" s="13"/>
      <c r="AK29" s="13"/>
      <c r="AL29" s="13"/>
      <c r="AM29" s="13"/>
      <c r="AN29" s="13"/>
      <c r="AO29" s="13"/>
      <c r="AP29" s="13"/>
      <c r="AQ29" s="13"/>
      <c r="AR29" s="13"/>
      <c r="AS29" s="13"/>
      <c r="AV29" s="47">
        <v>44929</v>
      </c>
      <c r="AW29" s="46">
        <v>243.62</v>
      </c>
      <c r="AX29" s="49">
        <v>-1.46E-2</v>
      </c>
      <c r="AY29" s="13"/>
      <c r="AZ29" s="13"/>
      <c r="BA29" s="47">
        <v>44929</v>
      </c>
      <c r="BB29" s="48">
        <v>17359.75</v>
      </c>
      <c r="BC29" s="49">
        <v>3.2000000000000002E-3</v>
      </c>
      <c r="BD29" s="13"/>
      <c r="BE29" s="13"/>
      <c r="BF29" s="13"/>
      <c r="BG29" s="13"/>
      <c r="BH29" s="13"/>
      <c r="BI29" s="13"/>
      <c r="BJ29" s="13"/>
      <c r="BK29" s="13"/>
      <c r="BL29" s="13"/>
      <c r="BM29" s="13"/>
      <c r="BN29" s="13"/>
      <c r="BO29" s="13"/>
    </row>
    <row r="30" spans="1:67">
      <c r="A30" s="13"/>
      <c r="B30" s="46" t="s">
        <v>197</v>
      </c>
      <c r="C30" s="46">
        <v>308.25</v>
      </c>
      <c r="D30" s="49">
        <v>-2.9999999999999997E-4</v>
      </c>
      <c r="E30" s="13"/>
      <c r="F30" s="13"/>
      <c r="G30" s="13"/>
      <c r="H30" s="46" t="s">
        <v>197</v>
      </c>
      <c r="I30" s="48">
        <v>22932.9</v>
      </c>
      <c r="J30" s="49">
        <v>-5.0000000000000001E-4</v>
      </c>
      <c r="K30" s="13"/>
      <c r="L30" s="13"/>
      <c r="M30" s="13"/>
      <c r="N30" s="13"/>
      <c r="O30" s="13"/>
      <c r="P30" s="13"/>
      <c r="Q30" s="13"/>
      <c r="R30" s="13"/>
      <c r="S30" s="13"/>
      <c r="T30" s="13"/>
      <c r="U30" s="13"/>
      <c r="Y30" s="47">
        <v>45453</v>
      </c>
      <c r="Z30" s="46">
        <v>371.1</v>
      </c>
      <c r="AA30" s="49">
        <v>5.91E-2</v>
      </c>
      <c r="AB30" s="13"/>
      <c r="AC30" s="13"/>
      <c r="AD30" s="13"/>
      <c r="AE30" s="47">
        <v>45453</v>
      </c>
      <c r="AF30" s="48">
        <v>24964.25</v>
      </c>
      <c r="AG30" s="49">
        <v>-2E-3</v>
      </c>
      <c r="AH30" s="13"/>
      <c r="AI30" s="13"/>
      <c r="AJ30" s="13"/>
      <c r="AK30" s="13"/>
      <c r="AL30" s="13"/>
      <c r="AM30" s="13"/>
      <c r="AN30" s="13"/>
      <c r="AO30" s="13"/>
      <c r="AP30" s="13"/>
      <c r="AQ30" s="13"/>
      <c r="AR30" s="13"/>
      <c r="AS30" s="13"/>
      <c r="AV30" s="47">
        <v>44928</v>
      </c>
      <c r="AW30" s="46">
        <v>247.24</v>
      </c>
      <c r="AX30" s="49">
        <v>-4.7100000000000003E-2</v>
      </c>
      <c r="AY30" s="13"/>
      <c r="AZ30" s="13"/>
      <c r="BA30" s="47">
        <v>44928</v>
      </c>
      <c r="BB30" s="48">
        <v>17303.95</v>
      </c>
      <c r="BC30" s="49">
        <v>-2.0299999999999999E-2</v>
      </c>
      <c r="BD30" s="13"/>
      <c r="BE30" s="13"/>
      <c r="BF30" s="13"/>
      <c r="BG30" s="13"/>
      <c r="BH30" s="13"/>
      <c r="BI30" s="13"/>
      <c r="BJ30" s="13"/>
      <c r="BK30" s="13"/>
      <c r="BL30" s="13"/>
      <c r="BM30" s="13"/>
      <c r="BN30" s="13"/>
      <c r="BO30" s="13"/>
    </row>
    <row r="31" spans="1:67">
      <c r="A31" s="13"/>
      <c r="B31" s="46" t="s">
        <v>198</v>
      </c>
      <c r="C31" s="46">
        <v>308.35000000000002</v>
      </c>
      <c r="D31" s="49">
        <v>3.4599999999999999E-2</v>
      </c>
      <c r="E31" s="13"/>
      <c r="F31" s="13"/>
      <c r="G31" s="13"/>
      <c r="H31" s="46" t="s">
        <v>198</v>
      </c>
      <c r="I31" s="48">
        <v>22945.3</v>
      </c>
      <c r="J31" s="49">
        <v>-5.9999999999999995E-4</v>
      </c>
      <c r="K31" s="13"/>
      <c r="L31" s="13"/>
      <c r="M31" s="13"/>
      <c r="N31" s="13"/>
      <c r="O31" s="13"/>
      <c r="P31" s="13"/>
      <c r="Q31" s="13"/>
      <c r="R31" s="13"/>
      <c r="S31" s="13"/>
      <c r="T31" s="13"/>
      <c r="U31" s="13"/>
      <c r="Y31" s="46" t="s">
        <v>199</v>
      </c>
      <c r="Z31" s="46">
        <v>350.4</v>
      </c>
      <c r="AA31" s="49">
        <v>-5.9299999999999999E-2</v>
      </c>
      <c r="AB31" s="13"/>
      <c r="AC31" s="13"/>
      <c r="AD31" s="13"/>
      <c r="AE31" s="46" t="s">
        <v>199</v>
      </c>
      <c r="AF31" s="48">
        <v>25014.6</v>
      </c>
      <c r="AG31" s="49">
        <v>-4.4499999999999998E-2</v>
      </c>
      <c r="AH31" s="13"/>
      <c r="AI31" s="13"/>
      <c r="AJ31" s="13"/>
      <c r="AK31" s="13"/>
      <c r="AL31" s="13"/>
      <c r="AM31" s="13"/>
      <c r="AN31" s="13"/>
      <c r="AO31" s="13"/>
      <c r="AP31" s="13"/>
      <c r="AQ31" s="13"/>
      <c r="AR31" s="13"/>
      <c r="AS31" s="13"/>
      <c r="AV31" s="47">
        <v>44927</v>
      </c>
      <c r="AW31" s="46">
        <v>259.45999999999998</v>
      </c>
      <c r="AX31" s="49">
        <v>-2.69E-2</v>
      </c>
      <c r="AY31" s="13"/>
      <c r="AZ31" s="13"/>
      <c r="BA31" s="47">
        <v>44927</v>
      </c>
      <c r="BB31" s="48">
        <v>17662.150000000001</v>
      </c>
      <c r="BC31" s="49">
        <v>-2.4500000000000001E-2</v>
      </c>
      <c r="BD31" s="13"/>
      <c r="BE31" s="13"/>
      <c r="BF31" s="13"/>
      <c r="BG31" s="13"/>
      <c r="BH31" s="13"/>
      <c r="BI31" s="13"/>
      <c r="BJ31" s="13"/>
      <c r="BK31" s="13"/>
      <c r="BL31" s="13"/>
      <c r="BM31" s="13"/>
      <c r="BN31" s="13"/>
      <c r="BO31" s="13"/>
    </row>
    <row r="32" spans="1:67">
      <c r="A32" s="13"/>
      <c r="B32" s="46" t="s">
        <v>200</v>
      </c>
      <c r="C32" s="46">
        <v>298.05</v>
      </c>
      <c r="D32" s="49">
        <v>-5.1999999999999998E-3</v>
      </c>
      <c r="E32" s="13"/>
      <c r="F32" s="13"/>
      <c r="G32" s="13"/>
      <c r="H32" s="46" t="s">
        <v>200</v>
      </c>
      <c r="I32" s="48">
        <v>22959.5</v>
      </c>
      <c r="J32" s="49">
        <v>1.2999999999999999E-3</v>
      </c>
      <c r="K32" s="13"/>
      <c r="L32" s="13"/>
      <c r="M32" s="13"/>
      <c r="N32" s="13"/>
      <c r="O32" s="13"/>
      <c r="P32" s="13"/>
      <c r="Q32" s="13"/>
      <c r="R32" s="13"/>
      <c r="S32" s="13"/>
      <c r="T32" s="13"/>
      <c r="U32" s="13"/>
      <c r="Y32" s="46" t="s">
        <v>201</v>
      </c>
      <c r="Z32" s="46">
        <v>372.5</v>
      </c>
      <c r="AA32" s="49">
        <v>7.1300000000000002E-2</v>
      </c>
      <c r="AB32" s="13"/>
      <c r="AC32" s="13"/>
      <c r="AD32" s="13"/>
      <c r="AE32" s="46" t="s">
        <v>201</v>
      </c>
      <c r="AF32" s="48">
        <v>26178.95</v>
      </c>
      <c r="AG32" s="49">
        <v>1.4999999999999999E-2</v>
      </c>
      <c r="AH32" s="13"/>
      <c r="AI32" s="13"/>
      <c r="AJ32" s="13"/>
      <c r="AK32" s="13"/>
      <c r="AL32" s="13"/>
      <c r="AM32" s="13"/>
      <c r="AN32" s="13"/>
      <c r="AO32" s="13"/>
      <c r="AP32" s="13"/>
      <c r="AQ32" s="13"/>
      <c r="AR32" s="13"/>
      <c r="AS32" s="13"/>
      <c r="AV32" s="47">
        <v>44573</v>
      </c>
      <c r="AW32" s="46">
        <v>266.64</v>
      </c>
      <c r="AX32" s="49">
        <v>-1.3899999999999999E-2</v>
      </c>
      <c r="AY32" s="13"/>
      <c r="AZ32" s="13"/>
      <c r="BA32" s="47">
        <v>44573</v>
      </c>
      <c r="BB32" s="48">
        <v>18105.3</v>
      </c>
      <c r="BC32" s="49">
        <v>-3.4799999999999998E-2</v>
      </c>
      <c r="BD32" s="13"/>
      <c r="BE32" s="13"/>
      <c r="BF32" s="13"/>
      <c r="BG32" s="13"/>
      <c r="BH32" s="13"/>
      <c r="BI32" s="13"/>
      <c r="BJ32" s="13"/>
      <c r="BK32" s="13"/>
      <c r="BL32" s="13"/>
      <c r="BM32" s="13"/>
      <c r="BN32" s="13"/>
      <c r="BO32" s="13"/>
    </row>
    <row r="33" spans="1:67">
      <c r="A33" s="13"/>
      <c r="B33" s="46" t="s">
        <v>202</v>
      </c>
      <c r="C33" s="46">
        <v>299.60000000000002</v>
      </c>
      <c r="D33" s="49">
        <v>8.3999999999999995E-3</v>
      </c>
      <c r="E33" s="13"/>
      <c r="F33" s="13"/>
      <c r="G33" s="13"/>
      <c r="H33" s="46" t="s">
        <v>202</v>
      </c>
      <c r="I33" s="48">
        <v>22929.25</v>
      </c>
      <c r="J33" s="49">
        <v>-4.4000000000000003E-3</v>
      </c>
      <c r="K33" s="13"/>
      <c r="L33" s="13"/>
      <c r="M33" s="13"/>
      <c r="N33" s="13"/>
      <c r="O33" s="13"/>
      <c r="P33" s="13"/>
      <c r="Q33" s="13"/>
      <c r="R33" s="13"/>
      <c r="S33" s="13"/>
      <c r="T33" s="13"/>
      <c r="U33" s="13"/>
      <c r="Y33" s="46" t="s">
        <v>203</v>
      </c>
      <c r="Z33" s="46">
        <v>347.7</v>
      </c>
      <c r="AA33" s="49">
        <v>5.8599999999999999E-2</v>
      </c>
      <c r="AB33" s="13"/>
      <c r="AC33" s="13"/>
      <c r="AD33" s="13"/>
      <c r="AE33" s="46" t="s">
        <v>203</v>
      </c>
      <c r="AF33" s="48">
        <v>25790.95</v>
      </c>
      <c r="AG33" s="49">
        <v>1.7100000000000001E-2</v>
      </c>
      <c r="AH33" s="13"/>
      <c r="AI33" s="13"/>
      <c r="AJ33" s="13"/>
      <c r="AK33" s="13"/>
      <c r="AL33" s="13"/>
      <c r="AM33" s="13"/>
      <c r="AN33" s="13"/>
      <c r="AO33" s="13"/>
      <c r="AP33" s="13"/>
      <c r="AQ33" s="13"/>
      <c r="AR33" s="13"/>
      <c r="AS33" s="13"/>
      <c r="AV33" s="47">
        <v>44572</v>
      </c>
      <c r="AW33" s="46">
        <v>270.39999999999998</v>
      </c>
      <c r="AX33" s="49">
        <v>-6.4799999999999996E-2</v>
      </c>
      <c r="AY33" s="13"/>
      <c r="AZ33" s="13"/>
      <c r="BA33" s="47">
        <v>44572</v>
      </c>
      <c r="BB33" s="48">
        <v>18758.349999999999</v>
      </c>
      <c r="BC33" s="49">
        <v>4.1399999999999999E-2</v>
      </c>
      <c r="BD33" s="13"/>
      <c r="BE33" s="13"/>
      <c r="BF33" s="13"/>
      <c r="BG33" s="13"/>
      <c r="BH33" s="13"/>
      <c r="BI33" s="13"/>
      <c r="BJ33" s="13"/>
      <c r="BK33" s="13"/>
      <c r="BL33" s="13"/>
      <c r="BM33" s="13"/>
      <c r="BN33" s="13"/>
      <c r="BO33" s="13"/>
    </row>
    <row r="34" spans="1:67">
      <c r="A34" s="13"/>
      <c r="B34" s="46" t="s">
        <v>204</v>
      </c>
      <c r="C34" s="46">
        <v>297.10000000000002</v>
      </c>
      <c r="D34" s="49">
        <v>2.2000000000000001E-3</v>
      </c>
      <c r="E34" s="13"/>
      <c r="F34" s="13"/>
      <c r="G34" s="13"/>
      <c r="H34" s="46" t="s">
        <v>204</v>
      </c>
      <c r="I34" s="48">
        <v>23031.4</v>
      </c>
      <c r="J34" s="49">
        <v>-5.9999999999999995E-4</v>
      </c>
      <c r="K34" s="13"/>
      <c r="L34" s="13"/>
      <c r="M34" s="13"/>
      <c r="N34" s="13"/>
      <c r="O34" s="13"/>
      <c r="P34" s="13"/>
      <c r="Q34" s="13"/>
      <c r="R34" s="13"/>
      <c r="S34" s="13"/>
      <c r="T34" s="13"/>
      <c r="U34" s="13"/>
      <c r="Y34" s="47">
        <v>45513</v>
      </c>
      <c r="Z34" s="46">
        <v>328.45</v>
      </c>
      <c r="AA34" s="49">
        <v>-2.3599999999999999E-2</v>
      </c>
      <c r="AB34" s="13"/>
      <c r="AC34" s="13"/>
      <c r="AD34" s="13"/>
      <c r="AE34" s="47">
        <v>45513</v>
      </c>
      <c r="AF34" s="48">
        <v>25356.5</v>
      </c>
      <c r="AG34" s="49">
        <v>2.0299999999999999E-2</v>
      </c>
      <c r="AH34" s="13"/>
      <c r="AI34" s="13"/>
      <c r="AJ34" s="13"/>
      <c r="AK34" s="13"/>
      <c r="AL34" s="13"/>
      <c r="AM34" s="13"/>
      <c r="AN34" s="13"/>
      <c r="AO34" s="13"/>
      <c r="AP34" s="13"/>
      <c r="AQ34" s="13"/>
      <c r="AR34" s="13"/>
      <c r="AS34" s="13"/>
      <c r="AV34" s="47">
        <v>44571</v>
      </c>
      <c r="AW34" s="46">
        <v>289.14</v>
      </c>
      <c r="AX34" s="49">
        <v>-3.3799999999999997E-2</v>
      </c>
      <c r="AY34" s="13"/>
      <c r="AZ34" s="13"/>
      <c r="BA34" s="47">
        <v>44571</v>
      </c>
      <c r="BB34" s="48">
        <v>18012.2</v>
      </c>
      <c r="BC34" s="49">
        <v>5.3699999999999998E-2</v>
      </c>
      <c r="BD34" s="13"/>
      <c r="BE34" s="13"/>
      <c r="BF34" s="13"/>
      <c r="BG34" s="13"/>
      <c r="BH34" s="13"/>
      <c r="BI34" s="13"/>
      <c r="BJ34" s="13"/>
      <c r="BK34" s="13"/>
      <c r="BL34" s="13"/>
      <c r="BM34" s="13"/>
      <c r="BN34" s="13"/>
      <c r="BO34" s="13"/>
    </row>
    <row r="35" spans="1:67">
      <c r="A35" s="13"/>
      <c r="B35" s="47">
        <v>45993</v>
      </c>
      <c r="C35" s="46">
        <v>296.45</v>
      </c>
      <c r="D35" s="49">
        <v>-2.3599999999999999E-2</v>
      </c>
      <c r="E35" s="13"/>
      <c r="F35" s="13"/>
      <c r="G35" s="13"/>
      <c r="H35" s="47">
        <v>45993</v>
      </c>
      <c r="I35" s="48">
        <v>23045.25</v>
      </c>
      <c r="J35" s="49">
        <v>-1.1999999999999999E-3</v>
      </c>
      <c r="K35" s="13"/>
      <c r="L35" s="13"/>
      <c r="M35" s="13"/>
      <c r="N35" s="13"/>
      <c r="O35" s="13"/>
      <c r="P35" s="13"/>
      <c r="Q35" s="13"/>
      <c r="R35" s="13"/>
      <c r="S35" s="13"/>
      <c r="T35" s="13"/>
      <c r="U35" s="13"/>
      <c r="Y35" s="47">
        <v>45300</v>
      </c>
      <c r="Z35" s="46">
        <v>336.4</v>
      </c>
      <c r="AA35" s="49">
        <v>0.01</v>
      </c>
      <c r="AB35" s="13"/>
      <c r="AC35" s="13"/>
      <c r="AD35" s="13"/>
      <c r="AE35" s="47">
        <v>45300</v>
      </c>
      <c r="AF35" s="48">
        <v>24852.15</v>
      </c>
      <c r="AG35" s="49">
        <v>-1.52E-2</v>
      </c>
      <c r="AH35" s="13"/>
      <c r="AI35" s="13"/>
      <c r="AJ35" s="13"/>
      <c r="AK35" s="13"/>
      <c r="AL35" s="13"/>
      <c r="AM35" s="13"/>
      <c r="AN35" s="13"/>
      <c r="AO35" s="13"/>
      <c r="AP35" s="13"/>
      <c r="AQ35" s="13"/>
      <c r="AR35" s="13"/>
      <c r="AS35" s="13"/>
      <c r="BM35" s="13"/>
      <c r="BN35" s="13"/>
      <c r="BO35" s="13"/>
    </row>
    <row r="36" spans="1:67">
      <c r="A36" s="13"/>
      <c r="B36" s="47">
        <v>45963</v>
      </c>
      <c r="C36" s="46">
        <v>303.60000000000002</v>
      </c>
      <c r="D36" s="49">
        <v>-2.5000000000000001E-2</v>
      </c>
      <c r="E36" s="13"/>
      <c r="F36" s="13"/>
      <c r="G36" s="13"/>
      <c r="H36" s="47">
        <v>45963</v>
      </c>
      <c r="I36" s="48">
        <v>23071.8</v>
      </c>
      <c r="J36" s="49">
        <v>-1.32E-2</v>
      </c>
      <c r="K36" s="13"/>
      <c r="L36" s="13"/>
      <c r="M36" s="13"/>
      <c r="N36" s="13"/>
      <c r="O36" s="13"/>
      <c r="P36" s="13"/>
      <c r="Q36" s="13"/>
      <c r="R36" s="13"/>
      <c r="S36" s="13"/>
      <c r="T36" s="13"/>
      <c r="U36" s="13"/>
      <c r="Y36" s="46" t="s">
        <v>205</v>
      </c>
      <c r="Z36" s="46">
        <v>333.07</v>
      </c>
      <c r="AA36" s="49">
        <v>2.0199999999999999E-2</v>
      </c>
      <c r="AB36" s="13"/>
      <c r="AC36" s="13"/>
      <c r="AD36" s="13"/>
      <c r="AE36" s="46" t="s">
        <v>205</v>
      </c>
      <c r="AF36" s="48">
        <v>25235.9</v>
      </c>
      <c r="AG36" s="49">
        <v>1.66E-2</v>
      </c>
      <c r="AH36" s="13"/>
      <c r="AI36" s="13"/>
      <c r="AJ36" s="13"/>
      <c r="AK36" s="13"/>
      <c r="AL36" s="13"/>
      <c r="AM36" s="13"/>
      <c r="AN36" s="13"/>
      <c r="AO36" s="13"/>
      <c r="AP36" s="13"/>
      <c r="AQ36" s="13"/>
      <c r="AR36" s="13"/>
      <c r="AS36" s="13"/>
    </row>
    <row r="37" spans="1:67">
      <c r="A37" s="13"/>
      <c r="B37" s="47">
        <v>45932</v>
      </c>
      <c r="C37" s="46">
        <v>311.39999999999998</v>
      </c>
      <c r="D37" s="49">
        <v>-3.5299999999999998E-2</v>
      </c>
      <c r="E37" s="13"/>
      <c r="F37" s="13"/>
      <c r="G37" s="13"/>
      <c r="H37" s="47">
        <v>45932</v>
      </c>
      <c r="I37" s="48">
        <v>23381.599999999999</v>
      </c>
      <c r="J37" s="49">
        <v>-7.6E-3</v>
      </c>
      <c r="K37" s="13"/>
      <c r="L37" s="13"/>
      <c r="M37" s="13"/>
      <c r="N37" s="13"/>
      <c r="O37" s="13"/>
      <c r="P37" s="13"/>
      <c r="Q37" s="13"/>
      <c r="R37" s="13"/>
      <c r="S37" s="13"/>
      <c r="T37" s="13"/>
      <c r="U37" s="13"/>
      <c r="Y37" s="46" t="s">
        <v>206</v>
      </c>
      <c r="Z37" s="46">
        <v>326.49</v>
      </c>
      <c r="AA37" s="49">
        <v>4.48E-2</v>
      </c>
      <c r="AB37" s="13"/>
      <c r="AC37" s="13"/>
      <c r="AD37" s="13"/>
      <c r="AE37" s="46" t="s">
        <v>206</v>
      </c>
      <c r="AF37" s="48">
        <v>24823.15</v>
      </c>
      <c r="AG37" s="49">
        <v>1.15E-2</v>
      </c>
      <c r="AH37" s="13"/>
      <c r="AI37" s="13"/>
      <c r="AJ37" s="13"/>
      <c r="AK37" s="13"/>
      <c r="AL37" s="13"/>
      <c r="AM37" s="13"/>
      <c r="AN37" s="13"/>
      <c r="AO37" s="13"/>
      <c r="AP37" s="13"/>
      <c r="AQ37" s="13"/>
      <c r="AR37" s="13"/>
      <c r="AS37" s="13"/>
    </row>
    <row r="38" spans="1:67">
      <c r="A38" s="13"/>
      <c r="B38" s="47">
        <v>45840</v>
      </c>
      <c r="C38" s="46">
        <v>322.8</v>
      </c>
      <c r="D38" s="49">
        <v>1.6500000000000001E-2</v>
      </c>
      <c r="E38" s="13"/>
      <c r="F38" s="13"/>
      <c r="G38" s="13"/>
      <c r="H38" s="47">
        <v>45840</v>
      </c>
      <c r="I38" s="48">
        <v>23559.95</v>
      </c>
      <c r="J38" s="49">
        <v>-1.8E-3</v>
      </c>
      <c r="K38" s="13"/>
      <c r="L38" s="13"/>
      <c r="M38" s="13"/>
      <c r="N38" s="13"/>
      <c r="O38" s="13"/>
      <c r="P38" s="13"/>
      <c r="Q38" s="13"/>
      <c r="R38" s="13"/>
      <c r="S38" s="13"/>
      <c r="T38" s="13"/>
      <c r="U38" s="13"/>
      <c r="Y38" s="47">
        <v>45604</v>
      </c>
      <c r="Z38" s="46">
        <v>312.49</v>
      </c>
      <c r="AA38" s="49">
        <v>-1.78E-2</v>
      </c>
      <c r="AB38" s="13"/>
      <c r="AC38" s="13"/>
      <c r="AD38" s="13"/>
      <c r="AE38" s="47">
        <v>45604</v>
      </c>
      <c r="AF38" s="48">
        <v>24541.15</v>
      </c>
      <c r="AG38" s="49">
        <v>7.1000000000000004E-3</v>
      </c>
      <c r="AH38" s="13"/>
      <c r="AI38" s="13"/>
      <c r="AJ38" s="13"/>
      <c r="AK38" s="13"/>
      <c r="AL38" s="13"/>
      <c r="AM38" s="13"/>
      <c r="AN38" s="13"/>
      <c r="AO38" s="13"/>
      <c r="AP38" s="13"/>
      <c r="AQ38" s="13"/>
      <c r="AR38" s="13"/>
      <c r="AS38" s="13"/>
    </row>
    <row r="39" spans="1:67">
      <c r="A39" s="13"/>
      <c r="B39" s="47">
        <v>45810</v>
      </c>
      <c r="C39" s="46">
        <v>317.55</v>
      </c>
      <c r="D39" s="49">
        <v>-3.0999999999999999E-3</v>
      </c>
      <c r="E39" s="13"/>
      <c r="F39" s="13"/>
      <c r="G39" s="13"/>
      <c r="H39" s="47">
        <v>45810</v>
      </c>
      <c r="I39" s="48">
        <v>23603.35</v>
      </c>
      <c r="J39" s="49">
        <v>-3.8999999999999998E-3</v>
      </c>
      <c r="K39" s="13"/>
      <c r="L39" s="13"/>
      <c r="M39" s="13"/>
      <c r="N39" s="13"/>
      <c r="O39" s="13"/>
      <c r="P39" s="13"/>
      <c r="Q39" s="13"/>
      <c r="R39" s="13"/>
      <c r="S39" s="13"/>
      <c r="T39" s="13"/>
      <c r="U39" s="13"/>
      <c r="Y39" s="47">
        <v>45390</v>
      </c>
      <c r="Z39" s="46">
        <v>318.14999999999998</v>
      </c>
      <c r="AA39" s="49">
        <v>-5.0299999999999997E-2</v>
      </c>
      <c r="AB39" s="13"/>
      <c r="AC39" s="13"/>
      <c r="AD39" s="13"/>
      <c r="AE39" s="47">
        <v>45390</v>
      </c>
      <c r="AF39" s="48">
        <v>24367.5</v>
      </c>
      <c r="AG39" s="49">
        <v>-1.4200000000000001E-2</v>
      </c>
      <c r="AH39" s="13"/>
      <c r="AI39" s="13"/>
      <c r="AJ39" s="13"/>
      <c r="AK39" s="13"/>
      <c r="AL39" s="13"/>
      <c r="AM39" s="13"/>
      <c r="AN39" s="13"/>
      <c r="AO39" s="13"/>
      <c r="AP39" s="13"/>
      <c r="AQ39" s="13"/>
      <c r="AR39" s="13"/>
      <c r="AS39" s="13"/>
    </row>
    <row r="40" spans="1:67">
      <c r="A40" s="13"/>
      <c r="B40" s="47">
        <v>45779</v>
      </c>
      <c r="C40" s="46">
        <v>318.55</v>
      </c>
      <c r="D40" s="49">
        <v>-1.01E-2</v>
      </c>
      <c r="E40" s="13"/>
      <c r="F40" s="13"/>
      <c r="G40" s="13"/>
      <c r="H40" s="47">
        <v>45779</v>
      </c>
      <c r="I40" s="48">
        <v>23696.3</v>
      </c>
      <c r="J40" s="49">
        <v>-1.8E-3</v>
      </c>
      <c r="K40" s="13"/>
      <c r="L40" s="13"/>
      <c r="M40" s="13"/>
      <c r="N40" s="13"/>
      <c r="O40" s="13"/>
      <c r="P40" s="13"/>
      <c r="Q40" s="13"/>
      <c r="R40" s="13"/>
      <c r="S40" s="13"/>
      <c r="T40" s="13"/>
      <c r="U40" s="13"/>
      <c r="Y40" s="46" t="s">
        <v>207</v>
      </c>
      <c r="Z40" s="46">
        <v>335.01</v>
      </c>
      <c r="AA40" s="49">
        <v>7.6100000000000001E-2</v>
      </c>
      <c r="AB40" s="13"/>
      <c r="AC40" s="13"/>
      <c r="AD40" s="13"/>
      <c r="AE40" s="46" t="s">
        <v>207</v>
      </c>
      <c r="AF40" s="48">
        <v>24717.7</v>
      </c>
      <c r="AG40" s="49">
        <v>-4.7000000000000002E-3</v>
      </c>
      <c r="AH40" s="13"/>
      <c r="AI40" s="13"/>
      <c r="AJ40" s="13"/>
      <c r="AK40" s="13"/>
      <c r="AL40" s="13"/>
      <c r="AM40" s="13"/>
      <c r="AN40" s="13"/>
      <c r="AO40" s="13"/>
      <c r="AP40" s="13"/>
      <c r="AQ40" s="13"/>
      <c r="AR40" s="13"/>
      <c r="AS40" s="13"/>
    </row>
    <row r="41" spans="1:67">
      <c r="A41" s="13"/>
      <c r="B41" s="47">
        <v>45749</v>
      </c>
      <c r="C41" s="46">
        <v>321.8</v>
      </c>
      <c r="D41" s="49">
        <v>-1.61E-2</v>
      </c>
      <c r="E41" s="13"/>
      <c r="F41" s="13"/>
      <c r="G41" s="13"/>
      <c r="H41" s="47">
        <v>45749</v>
      </c>
      <c r="I41" s="48">
        <v>23739.25</v>
      </c>
      <c r="J41" s="49">
        <v>1.6199999999999999E-2</v>
      </c>
      <c r="K41" s="13"/>
      <c r="L41" s="13"/>
      <c r="M41" s="13"/>
      <c r="N41" s="13"/>
      <c r="O41" s="13"/>
      <c r="P41" s="13"/>
      <c r="Q41" s="13"/>
      <c r="R41" s="13"/>
      <c r="S41" s="13"/>
      <c r="T41" s="13"/>
      <c r="U41" s="13"/>
      <c r="Y41" s="46" t="s">
        <v>208</v>
      </c>
      <c r="Z41" s="46">
        <v>311.32</v>
      </c>
      <c r="AA41" s="49">
        <v>1.67E-2</v>
      </c>
      <c r="AB41" s="13"/>
      <c r="AC41" s="13"/>
      <c r="AD41" s="13"/>
      <c r="AE41" s="46" t="s">
        <v>208</v>
      </c>
      <c r="AF41" s="48">
        <v>24834.85</v>
      </c>
      <c r="AG41" s="49">
        <v>1.24E-2</v>
      </c>
      <c r="AH41" s="13"/>
      <c r="AI41" s="13"/>
      <c r="AJ41" s="13"/>
      <c r="AK41" s="13"/>
      <c r="AL41" s="13"/>
      <c r="AM41" s="13"/>
      <c r="AN41" s="13"/>
      <c r="AO41" s="13"/>
      <c r="AP41" s="13"/>
      <c r="AQ41" s="13"/>
      <c r="AR41" s="13"/>
      <c r="AS41" s="13"/>
    </row>
    <row r="42" spans="1:67">
      <c r="A42" s="13"/>
      <c r="B42" s="47">
        <v>45718</v>
      </c>
      <c r="C42" s="46">
        <v>327.05</v>
      </c>
      <c r="D42" s="49">
        <v>3.6600000000000001E-2</v>
      </c>
      <c r="E42" s="13"/>
      <c r="F42" s="13"/>
      <c r="G42" s="13"/>
      <c r="H42" s="47">
        <v>45718</v>
      </c>
      <c r="I42" s="48">
        <v>23361.05</v>
      </c>
      <c r="J42" s="49">
        <v>-5.1999999999999998E-3</v>
      </c>
      <c r="K42" s="13"/>
      <c r="L42" s="13"/>
      <c r="M42" s="13"/>
      <c r="N42" s="13"/>
      <c r="O42" s="13"/>
      <c r="P42" s="13"/>
      <c r="Q42" s="13"/>
      <c r="R42" s="13"/>
      <c r="S42" s="13"/>
      <c r="T42" s="13"/>
      <c r="U42" s="13"/>
      <c r="Y42" s="46" t="s">
        <v>209</v>
      </c>
      <c r="Z42" s="46">
        <v>306.20999999999998</v>
      </c>
      <c r="AA42" s="49">
        <v>-1.5100000000000001E-2</v>
      </c>
      <c r="AB42" s="13"/>
      <c r="AC42" s="13"/>
      <c r="AD42" s="13"/>
      <c r="AE42" s="46" t="s">
        <v>209</v>
      </c>
      <c r="AF42" s="48">
        <v>24530.9</v>
      </c>
      <c r="AG42" s="49">
        <v>1.1999999999999999E-3</v>
      </c>
      <c r="AH42" s="13"/>
      <c r="AI42" s="13"/>
      <c r="AJ42" s="13"/>
      <c r="AK42" s="13"/>
      <c r="AL42" s="13"/>
      <c r="AM42" s="13"/>
      <c r="AN42" s="13"/>
      <c r="AO42" s="13"/>
      <c r="AP42" s="13"/>
      <c r="AQ42" s="13"/>
      <c r="AR42" s="13"/>
      <c r="AS42" s="13"/>
    </row>
    <row r="43" spans="1:67">
      <c r="A43" s="13"/>
      <c r="B43" s="47">
        <v>45659</v>
      </c>
      <c r="C43" s="46">
        <v>315.5</v>
      </c>
      <c r="D43" s="49">
        <v>9.0200000000000002E-2</v>
      </c>
      <c r="E43" s="13"/>
      <c r="F43" s="13"/>
      <c r="G43" s="13"/>
      <c r="H43" s="47">
        <v>45659</v>
      </c>
      <c r="I43" s="48">
        <v>23482.15</v>
      </c>
      <c r="J43" s="49">
        <v>-1.1000000000000001E-3</v>
      </c>
      <c r="K43" s="13"/>
      <c r="L43" s="13"/>
      <c r="M43" s="13"/>
      <c r="N43" s="13"/>
      <c r="O43" s="13"/>
      <c r="P43" s="13"/>
      <c r="Q43" s="13"/>
      <c r="R43" s="13"/>
      <c r="S43" s="13"/>
      <c r="T43" s="13"/>
      <c r="U43" s="13"/>
      <c r="Y43" s="47">
        <v>45480</v>
      </c>
      <c r="Z43" s="46">
        <v>310.92</v>
      </c>
      <c r="AA43" s="49">
        <v>-1.78E-2</v>
      </c>
      <c r="AB43" s="13"/>
      <c r="AC43" s="13"/>
      <c r="AD43" s="13"/>
      <c r="AE43" s="47">
        <v>45480</v>
      </c>
      <c r="AF43" s="48">
        <v>24502.15</v>
      </c>
      <c r="AG43" s="49">
        <v>7.3000000000000001E-3</v>
      </c>
      <c r="AH43" s="13"/>
      <c r="AI43" s="13"/>
      <c r="AJ43" s="13"/>
      <c r="AK43" s="13"/>
      <c r="AL43" s="13"/>
      <c r="AM43" s="13"/>
      <c r="AN43" s="13"/>
      <c r="AO43" s="13"/>
      <c r="AP43" s="13"/>
      <c r="AQ43" s="13"/>
      <c r="AR43" s="13"/>
      <c r="AS43" s="13"/>
    </row>
    <row r="44" spans="1:67">
      <c r="A44" s="13"/>
      <c r="B44" s="46" t="s">
        <v>210</v>
      </c>
      <c r="C44" s="46">
        <v>289.39999999999998</v>
      </c>
      <c r="D44" s="49">
        <v>-2.3999999999999998E-3</v>
      </c>
      <c r="E44" s="13"/>
      <c r="F44" s="13"/>
      <c r="G44" s="13"/>
      <c r="H44" s="46" t="s">
        <v>210</v>
      </c>
      <c r="I44" s="48">
        <v>23508.400000000001</v>
      </c>
      <c r="J44" s="49">
        <v>1.11E-2</v>
      </c>
      <c r="K44" s="13"/>
      <c r="L44" s="13"/>
      <c r="M44" s="13"/>
      <c r="N44" s="13"/>
      <c r="O44" s="13"/>
      <c r="P44" s="13"/>
      <c r="Q44" s="13"/>
      <c r="R44" s="13"/>
      <c r="S44" s="13"/>
      <c r="T44" s="13"/>
      <c r="U44" s="13"/>
      <c r="Y44" s="46" t="s">
        <v>211</v>
      </c>
      <c r="Z44" s="46">
        <v>316.56</v>
      </c>
      <c r="AA44" s="49">
        <v>1.09E-2</v>
      </c>
      <c r="AB44" s="13"/>
      <c r="AC44" s="13"/>
      <c r="AD44" s="13"/>
      <c r="AE44" s="46" t="s">
        <v>211</v>
      </c>
      <c r="AF44" s="48">
        <v>24323.85</v>
      </c>
      <c r="AG44" s="49">
        <v>1.2999999999999999E-2</v>
      </c>
      <c r="AH44" s="13"/>
      <c r="AI44" s="13"/>
      <c r="AJ44" s="13"/>
      <c r="AK44" s="13"/>
      <c r="AL44" s="13"/>
      <c r="AM44" s="13"/>
      <c r="AN44" s="13"/>
      <c r="AO44" s="13"/>
      <c r="AP44" s="13"/>
      <c r="AQ44" s="13"/>
      <c r="AR44" s="13"/>
      <c r="AS44" s="13"/>
    </row>
    <row r="45" spans="1:67">
      <c r="A45" s="13"/>
      <c r="B45" s="46" t="s">
        <v>212</v>
      </c>
      <c r="C45" s="46">
        <v>290.10000000000002</v>
      </c>
      <c r="D45" s="49">
        <v>-2.8E-3</v>
      </c>
      <c r="E45" s="13"/>
      <c r="F45" s="13"/>
      <c r="G45" s="13"/>
      <c r="H45" s="46" t="s">
        <v>212</v>
      </c>
      <c r="I45" s="48">
        <v>23249.5</v>
      </c>
      <c r="J45" s="49">
        <v>3.7000000000000002E-3</v>
      </c>
      <c r="K45" s="13"/>
      <c r="L45" s="13"/>
      <c r="M45" s="13"/>
      <c r="N45" s="13"/>
      <c r="O45" s="13"/>
      <c r="P45" s="13"/>
      <c r="Q45" s="13"/>
      <c r="R45" s="13"/>
      <c r="S45" s="13"/>
      <c r="T45" s="13"/>
      <c r="U45" s="13"/>
      <c r="Y45" s="46" t="s">
        <v>213</v>
      </c>
      <c r="Z45" s="46">
        <v>313.16000000000003</v>
      </c>
      <c r="AA45" s="49">
        <v>-1.52E-2</v>
      </c>
      <c r="AB45" s="13"/>
      <c r="AC45" s="13"/>
      <c r="AD45" s="13"/>
      <c r="AE45" s="46" t="s">
        <v>213</v>
      </c>
      <c r="AF45" s="48">
        <v>24010.6</v>
      </c>
      <c r="AG45" s="49">
        <v>2.1700000000000001E-2</v>
      </c>
      <c r="AH45" s="13"/>
      <c r="AI45" s="13"/>
      <c r="AJ45" s="13"/>
      <c r="AK45" s="13"/>
      <c r="AL45" s="13"/>
      <c r="AM45" s="13"/>
      <c r="AN45" s="13"/>
      <c r="AO45" s="13"/>
      <c r="AP45" s="13"/>
      <c r="AQ45" s="13"/>
      <c r="AR45" s="13"/>
      <c r="AS45" s="13"/>
    </row>
    <row r="46" spans="1:67">
      <c r="A46" s="13"/>
      <c r="B46" s="46" t="s">
        <v>214</v>
      </c>
      <c r="C46" s="46">
        <v>290.89999999999998</v>
      </c>
      <c r="D46" s="49">
        <v>1.6400000000000001E-2</v>
      </c>
      <c r="E46" s="13"/>
      <c r="F46" s="13"/>
      <c r="G46" s="13"/>
      <c r="H46" s="46" t="s">
        <v>214</v>
      </c>
      <c r="I46" s="48">
        <v>23163.1</v>
      </c>
      <c r="J46" s="49">
        <v>8.9999999999999993E-3</v>
      </c>
      <c r="K46" s="13"/>
      <c r="L46" s="13"/>
      <c r="M46" s="13"/>
      <c r="N46" s="13"/>
      <c r="O46" s="13"/>
      <c r="P46" s="13"/>
      <c r="Q46" s="13"/>
      <c r="R46" s="13"/>
      <c r="S46" s="13"/>
      <c r="T46" s="13"/>
      <c r="U46" s="13"/>
      <c r="Y46" s="46" t="s">
        <v>215</v>
      </c>
      <c r="Z46" s="46">
        <v>317.99</v>
      </c>
      <c r="AA46" s="49">
        <v>5.6399999999999999E-2</v>
      </c>
      <c r="AB46" s="13"/>
      <c r="AC46" s="13"/>
      <c r="AD46" s="13"/>
      <c r="AE46" s="46" t="s">
        <v>215</v>
      </c>
      <c r="AF46" s="48">
        <v>23501.1</v>
      </c>
      <c r="AG46" s="49">
        <v>1.5E-3</v>
      </c>
      <c r="AH46" s="13"/>
      <c r="AI46" s="13"/>
      <c r="AJ46" s="13"/>
      <c r="AK46" s="13"/>
      <c r="AL46" s="13"/>
      <c r="AM46" s="13"/>
      <c r="AN46" s="13"/>
      <c r="AO46" s="13"/>
      <c r="AP46" s="13"/>
      <c r="AQ46" s="13"/>
      <c r="AR46" s="13"/>
      <c r="AS46" s="13"/>
    </row>
    <row r="47" spans="1:67">
      <c r="A47" s="13"/>
      <c r="B47" s="46" t="s">
        <v>216</v>
      </c>
      <c r="C47" s="46">
        <v>286.2</v>
      </c>
      <c r="D47" s="49">
        <v>-2.92E-2</v>
      </c>
      <c r="E47" s="13"/>
      <c r="F47" s="13"/>
      <c r="G47" s="13"/>
      <c r="H47" s="46" t="s">
        <v>216</v>
      </c>
      <c r="I47" s="48">
        <v>22957.25</v>
      </c>
      <c r="J47" s="49">
        <v>5.5999999999999999E-3</v>
      </c>
      <c r="K47" s="13"/>
      <c r="L47" s="13"/>
      <c r="M47" s="13"/>
      <c r="N47" s="13"/>
      <c r="O47" s="13"/>
      <c r="P47" s="13"/>
      <c r="Q47" s="13"/>
      <c r="R47" s="13"/>
      <c r="S47" s="13"/>
      <c r="T47" s="13"/>
      <c r="U47" s="13"/>
      <c r="Y47" s="47">
        <v>45541</v>
      </c>
      <c r="Z47" s="46">
        <v>301.02</v>
      </c>
      <c r="AA47" s="49">
        <v>1.5599999999999999E-2</v>
      </c>
      <c r="AB47" s="13"/>
      <c r="AC47" s="13"/>
      <c r="AD47" s="13"/>
      <c r="AE47" s="47">
        <v>45541</v>
      </c>
      <c r="AF47" s="48">
        <v>23465.599999999999</v>
      </c>
      <c r="AG47" s="49">
        <v>7.4999999999999997E-3</v>
      </c>
      <c r="AH47" s="13"/>
      <c r="AI47" s="13"/>
      <c r="AJ47" s="13"/>
      <c r="AK47" s="13"/>
      <c r="AL47" s="13"/>
      <c r="AM47" s="13"/>
      <c r="AN47" s="13"/>
      <c r="AO47" s="13"/>
      <c r="AP47" s="13"/>
      <c r="AQ47" s="13"/>
      <c r="AR47" s="13"/>
      <c r="AS47" s="13"/>
    </row>
    <row r="48" spans="1:67">
      <c r="A48" s="13"/>
      <c r="B48" s="46" t="s">
        <v>217</v>
      </c>
      <c r="C48" s="46">
        <v>294.8</v>
      </c>
      <c r="D48" s="49">
        <v>-3.4099999999999998E-2</v>
      </c>
      <c r="E48" s="13"/>
      <c r="F48" s="13"/>
      <c r="G48" s="13"/>
      <c r="H48" s="46" t="s">
        <v>217</v>
      </c>
      <c r="I48" s="48">
        <v>22829.15</v>
      </c>
      <c r="J48" s="49">
        <v>-1.14E-2</v>
      </c>
      <c r="K48" s="13"/>
      <c r="L48" s="13"/>
      <c r="M48" s="13"/>
      <c r="N48" s="13"/>
      <c r="O48" s="13"/>
      <c r="P48" s="13"/>
      <c r="Q48" s="13"/>
      <c r="R48" s="13"/>
      <c r="S48" s="13"/>
      <c r="T48" s="13"/>
      <c r="U48" s="13"/>
      <c r="Y48" s="47">
        <v>45328</v>
      </c>
      <c r="Z48" s="46">
        <v>296.39</v>
      </c>
      <c r="AA48" s="49">
        <v>0.02</v>
      </c>
      <c r="AB48" s="13"/>
      <c r="AC48" s="13"/>
      <c r="AD48" s="13"/>
      <c r="AE48" s="47">
        <v>45328</v>
      </c>
      <c r="AF48" s="48">
        <v>23290.15</v>
      </c>
      <c r="AG48" s="49">
        <v>3.3700000000000001E-2</v>
      </c>
      <c r="AH48" s="13"/>
      <c r="AI48" s="13"/>
      <c r="AJ48" s="13"/>
      <c r="AK48" s="13"/>
      <c r="AL48" s="13"/>
      <c r="AM48" s="13"/>
      <c r="AN48" s="13"/>
      <c r="AO48" s="13"/>
      <c r="AP48" s="13"/>
      <c r="AQ48" s="13"/>
      <c r="AR48" s="13"/>
      <c r="AS48" s="13"/>
    </row>
    <row r="49" spans="1:45">
      <c r="A49" s="13"/>
      <c r="B49" s="46" t="s">
        <v>218</v>
      </c>
      <c r="C49" s="46">
        <v>305.2</v>
      </c>
      <c r="D49" s="49">
        <v>-1E-3</v>
      </c>
      <c r="E49" s="13"/>
      <c r="F49" s="13"/>
      <c r="G49" s="13"/>
      <c r="H49" s="46" t="s">
        <v>218</v>
      </c>
      <c r="I49" s="48">
        <v>23092.2</v>
      </c>
      <c r="J49" s="49">
        <v>-4.8999999999999998E-3</v>
      </c>
      <c r="K49" s="13"/>
      <c r="L49" s="13"/>
      <c r="M49" s="13"/>
      <c r="N49" s="13"/>
      <c r="O49" s="13"/>
      <c r="P49" s="13"/>
      <c r="Q49" s="13"/>
      <c r="R49" s="13"/>
      <c r="S49" s="13"/>
      <c r="T49" s="13"/>
      <c r="U49" s="13"/>
      <c r="Y49" s="46" t="s">
        <v>219</v>
      </c>
      <c r="Z49" s="46">
        <v>290.58</v>
      </c>
      <c r="AA49" s="49">
        <v>4.3999999999999997E-2</v>
      </c>
      <c r="AB49" s="13"/>
      <c r="AC49" s="13"/>
      <c r="AD49" s="13"/>
      <c r="AE49" s="46" t="s">
        <v>219</v>
      </c>
      <c r="AF49" s="48">
        <v>22530.7</v>
      </c>
      <c r="AG49" s="49">
        <v>-1.8599999999999998E-2</v>
      </c>
      <c r="AH49" s="13"/>
      <c r="AI49" s="13"/>
      <c r="AJ49" s="13"/>
      <c r="AK49" s="13"/>
      <c r="AL49" s="13"/>
      <c r="AM49" s="13"/>
      <c r="AN49" s="13"/>
      <c r="AO49" s="13"/>
      <c r="AP49" s="13"/>
      <c r="AQ49" s="13"/>
      <c r="AR49" s="13"/>
      <c r="AS49" s="13"/>
    </row>
    <row r="50" spans="1:45">
      <c r="A50" s="13"/>
      <c r="B50" s="46" t="s">
        <v>220</v>
      </c>
      <c r="C50" s="46">
        <v>305.5</v>
      </c>
      <c r="D50" s="49">
        <v>-1.5599999999999999E-2</v>
      </c>
      <c r="E50" s="13"/>
      <c r="F50" s="13"/>
      <c r="G50" s="13"/>
      <c r="H50" s="46" t="s">
        <v>220</v>
      </c>
      <c r="I50" s="48">
        <v>23205.35</v>
      </c>
      <c r="J50" s="49">
        <v>2.2000000000000001E-3</v>
      </c>
      <c r="K50" s="13"/>
      <c r="L50" s="13"/>
      <c r="M50" s="13"/>
      <c r="N50" s="13"/>
      <c r="O50" s="13"/>
      <c r="P50" s="13"/>
      <c r="Q50" s="13"/>
      <c r="R50" s="13"/>
      <c r="S50" s="13"/>
      <c r="T50" s="13"/>
      <c r="U50" s="13"/>
      <c r="Y50" s="46" t="s">
        <v>221</v>
      </c>
      <c r="Z50" s="46">
        <v>278.33999999999997</v>
      </c>
      <c r="AA50" s="49">
        <v>2E-3</v>
      </c>
      <c r="AB50" s="13"/>
      <c r="AC50" s="13"/>
      <c r="AD50" s="13"/>
      <c r="AE50" s="46" t="s">
        <v>221</v>
      </c>
      <c r="AF50" s="48">
        <v>22957.1</v>
      </c>
      <c r="AG50" s="49">
        <v>2.1899999999999999E-2</v>
      </c>
      <c r="AH50" s="13"/>
      <c r="AI50" s="13"/>
      <c r="AJ50" s="13"/>
      <c r="AK50" s="13"/>
      <c r="AL50" s="13"/>
      <c r="AM50" s="13"/>
      <c r="AN50" s="13"/>
      <c r="AO50" s="13"/>
      <c r="AP50" s="13"/>
      <c r="AQ50" s="13"/>
      <c r="AR50" s="13"/>
      <c r="AS50" s="13"/>
    </row>
    <row r="51" spans="1:45">
      <c r="A51" s="13"/>
      <c r="B51" s="46" t="s">
        <v>222</v>
      </c>
      <c r="C51" s="46">
        <v>310.35000000000002</v>
      </c>
      <c r="D51" s="49">
        <v>-2.7000000000000001E-3</v>
      </c>
      <c r="E51" s="13"/>
      <c r="F51" s="13"/>
      <c r="G51" s="13"/>
      <c r="H51" s="46" t="s">
        <v>222</v>
      </c>
      <c r="I51" s="48">
        <v>23155.35</v>
      </c>
      <c r="J51" s="49">
        <v>5.7000000000000002E-3</v>
      </c>
      <c r="K51" s="13"/>
      <c r="L51" s="13"/>
      <c r="M51" s="13"/>
      <c r="N51" s="13"/>
      <c r="O51" s="13"/>
      <c r="P51" s="13"/>
      <c r="Q51" s="13"/>
      <c r="R51" s="13"/>
      <c r="S51" s="13"/>
      <c r="T51" s="13"/>
      <c r="U51" s="13"/>
      <c r="Y51" s="47">
        <v>45631</v>
      </c>
      <c r="Z51" s="46">
        <v>277.79000000000002</v>
      </c>
      <c r="AA51" s="49">
        <v>-2.12E-2</v>
      </c>
      <c r="AB51" s="13"/>
      <c r="AC51" s="13"/>
      <c r="AD51" s="13"/>
      <c r="AE51" s="47">
        <v>45631</v>
      </c>
      <c r="AF51" s="48">
        <v>22466.1</v>
      </c>
      <c r="AG51" s="49">
        <v>1.8599999999999998E-2</v>
      </c>
      <c r="AH51" s="13"/>
      <c r="AI51" s="13"/>
      <c r="AJ51" s="13"/>
      <c r="AK51" s="13"/>
      <c r="AL51" s="13"/>
      <c r="AM51" s="13"/>
      <c r="AN51" s="13"/>
      <c r="AO51" s="13"/>
      <c r="AP51" s="13"/>
      <c r="AQ51" s="13"/>
      <c r="AR51" s="13"/>
      <c r="AS51" s="13"/>
    </row>
    <row r="52" spans="1:45">
      <c r="A52" s="13"/>
      <c r="B52" s="46" t="s">
        <v>223</v>
      </c>
      <c r="C52" s="46">
        <v>311.2</v>
      </c>
      <c r="D52" s="49">
        <v>-1.2200000000000001E-2</v>
      </c>
      <c r="E52" s="13"/>
      <c r="F52" s="13"/>
      <c r="G52" s="13"/>
      <c r="H52" s="46" t="s">
        <v>223</v>
      </c>
      <c r="I52" s="48">
        <v>23024.65</v>
      </c>
      <c r="J52" s="49">
        <v>-1.37E-2</v>
      </c>
      <c r="K52" s="13"/>
      <c r="L52" s="13"/>
      <c r="M52" s="13"/>
      <c r="N52" s="13"/>
      <c r="O52" s="13"/>
      <c r="P52" s="13"/>
      <c r="Q52" s="13"/>
      <c r="R52" s="13"/>
      <c r="S52" s="13"/>
      <c r="T52" s="13"/>
      <c r="U52" s="13"/>
      <c r="Y52" s="47">
        <v>45417</v>
      </c>
      <c r="Z52" s="46">
        <v>283.81</v>
      </c>
      <c r="AA52" s="49">
        <v>4.5999999999999999E-3</v>
      </c>
      <c r="AB52" s="13"/>
      <c r="AC52" s="13"/>
      <c r="AD52" s="13"/>
      <c r="AE52" s="47">
        <v>45417</v>
      </c>
      <c r="AF52" s="48">
        <v>22055.200000000001</v>
      </c>
      <c r="AG52" s="49">
        <v>-1.8700000000000001E-2</v>
      </c>
      <c r="AH52" s="13"/>
      <c r="AI52" s="13"/>
      <c r="AJ52" s="13"/>
      <c r="AK52" s="13"/>
      <c r="AL52" s="13"/>
      <c r="AM52" s="13"/>
      <c r="AN52" s="13"/>
      <c r="AO52" s="13"/>
      <c r="AP52" s="13"/>
      <c r="AQ52" s="13"/>
      <c r="AR52" s="13"/>
      <c r="AS52" s="13"/>
    </row>
    <row r="53" spans="1:45">
      <c r="A53" s="13"/>
      <c r="B53" s="46" t="s">
        <v>224</v>
      </c>
      <c r="C53" s="46">
        <v>315.05</v>
      </c>
      <c r="D53" s="49">
        <v>-8.0000000000000002E-3</v>
      </c>
      <c r="E53" s="13"/>
      <c r="F53" s="13"/>
      <c r="G53" s="13"/>
      <c r="H53" s="46" t="s">
        <v>224</v>
      </c>
      <c r="I53" s="48">
        <v>23344.75</v>
      </c>
      <c r="J53" s="49">
        <v>6.1000000000000004E-3</v>
      </c>
      <c r="K53" s="13"/>
      <c r="L53" s="13"/>
      <c r="M53" s="13"/>
      <c r="N53" s="13"/>
      <c r="O53" s="13"/>
      <c r="P53" s="13"/>
      <c r="Q53" s="13"/>
      <c r="R53" s="13"/>
      <c r="S53" s="13"/>
      <c r="T53" s="13"/>
      <c r="U53" s="13"/>
      <c r="Y53" s="46" t="s">
        <v>225</v>
      </c>
      <c r="Z53" s="46">
        <v>282.52</v>
      </c>
      <c r="AA53" s="49">
        <v>4.1000000000000002E-2</v>
      </c>
      <c r="AB53" s="13"/>
      <c r="AC53" s="13"/>
      <c r="AD53" s="13"/>
      <c r="AE53" s="46" t="s">
        <v>225</v>
      </c>
      <c r="AF53" s="48">
        <v>22475.85</v>
      </c>
      <c r="AG53" s="49">
        <v>2.5000000000000001E-3</v>
      </c>
      <c r="AH53" s="13"/>
      <c r="AI53" s="13"/>
      <c r="AJ53" s="13"/>
      <c r="AK53" s="13"/>
      <c r="AL53" s="13"/>
      <c r="AM53" s="13"/>
      <c r="AN53" s="13"/>
      <c r="AO53" s="13"/>
      <c r="AP53" s="13"/>
      <c r="AQ53" s="13"/>
      <c r="AR53" s="13"/>
      <c r="AS53" s="13"/>
    </row>
    <row r="54" spans="1:45">
      <c r="A54" s="13"/>
      <c r="B54" s="46" t="s">
        <v>226</v>
      </c>
      <c r="C54" s="46">
        <v>317.60000000000002</v>
      </c>
      <c r="D54" s="49">
        <v>-1.7000000000000001E-2</v>
      </c>
      <c r="E54" s="13"/>
      <c r="F54" s="13"/>
      <c r="G54" s="13"/>
      <c r="H54" s="46" t="s">
        <v>226</v>
      </c>
      <c r="I54" s="48">
        <v>23203.200000000001</v>
      </c>
      <c r="J54" s="49">
        <v>-4.7000000000000002E-3</v>
      </c>
      <c r="K54" s="13"/>
      <c r="L54" s="13"/>
      <c r="M54" s="13"/>
      <c r="N54" s="13"/>
      <c r="O54" s="13"/>
      <c r="P54" s="13"/>
      <c r="Q54" s="13"/>
      <c r="R54" s="13"/>
      <c r="S54" s="13"/>
      <c r="T54" s="13"/>
      <c r="U54" s="13"/>
      <c r="Y54" s="46" t="s">
        <v>227</v>
      </c>
      <c r="Z54" s="46">
        <v>271.38</v>
      </c>
      <c r="AA54" s="49">
        <v>-8.1900000000000001E-2</v>
      </c>
      <c r="AB54" s="13"/>
      <c r="AC54" s="13"/>
      <c r="AD54" s="13"/>
      <c r="AE54" s="46" t="s">
        <v>227</v>
      </c>
      <c r="AF54" s="48">
        <v>22419.95</v>
      </c>
      <c r="AG54" s="49">
        <v>1.23E-2</v>
      </c>
      <c r="AH54" s="13"/>
      <c r="AI54" s="13"/>
      <c r="AJ54" s="13"/>
      <c r="AK54" s="13"/>
      <c r="AL54" s="13"/>
      <c r="AM54" s="13"/>
      <c r="AN54" s="13"/>
      <c r="AO54" s="13"/>
      <c r="AP54" s="13"/>
      <c r="AQ54" s="13"/>
      <c r="AR54" s="13"/>
      <c r="AS54" s="13"/>
    </row>
    <row r="55" spans="1:45">
      <c r="A55" s="13"/>
      <c r="B55" s="46" t="s">
        <v>228</v>
      </c>
      <c r="C55" s="46">
        <v>323.10000000000002</v>
      </c>
      <c r="D55" s="49">
        <v>-2.2200000000000001E-2</v>
      </c>
      <c r="E55" s="13"/>
      <c r="F55" s="13"/>
      <c r="G55" s="13"/>
      <c r="H55" s="46" t="s">
        <v>228</v>
      </c>
      <c r="I55" s="48">
        <v>23311.8</v>
      </c>
      <c r="J55" s="49">
        <v>4.1999999999999997E-3</v>
      </c>
      <c r="K55" s="13"/>
      <c r="L55" s="13"/>
      <c r="M55" s="13"/>
      <c r="N55" s="13"/>
      <c r="O55" s="13"/>
      <c r="P55" s="13"/>
      <c r="Q55" s="13"/>
      <c r="R55" s="13"/>
      <c r="S55" s="13"/>
      <c r="T55" s="13"/>
      <c r="U55" s="13"/>
      <c r="Y55" s="46" t="s">
        <v>229</v>
      </c>
      <c r="Z55" s="46">
        <v>295.58999999999997</v>
      </c>
      <c r="AA55" s="49">
        <v>-5.6099999999999997E-2</v>
      </c>
      <c r="AB55" s="13"/>
      <c r="AC55" s="13"/>
      <c r="AD55" s="13"/>
      <c r="AE55" s="46" t="s">
        <v>229</v>
      </c>
      <c r="AF55" s="48">
        <v>22147</v>
      </c>
      <c r="AG55" s="49">
        <v>-1.6500000000000001E-2</v>
      </c>
      <c r="AH55" s="13"/>
      <c r="AI55" s="13"/>
      <c r="AJ55" s="13"/>
      <c r="AK55" s="13"/>
      <c r="AL55" s="13"/>
      <c r="AM55" s="13"/>
      <c r="AN55" s="13"/>
      <c r="AO55" s="13"/>
      <c r="AP55" s="13"/>
      <c r="AQ55" s="13"/>
      <c r="AR55" s="13"/>
      <c r="AS55" s="13"/>
    </row>
    <row r="56" spans="1:45">
      <c r="A56" s="13"/>
      <c r="B56" s="46" t="s">
        <v>230</v>
      </c>
      <c r="C56" s="46">
        <v>330.45</v>
      </c>
      <c r="D56" s="49">
        <v>5.4999999999999997E-3</v>
      </c>
      <c r="E56" s="13"/>
      <c r="F56" s="13"/>
      <c r="G56" s="13"/>
      <c r="H56" s="46" t="s">
        <v>230</v>
      </c>
      <c r="I56" s="48">
        <v>23213.200000000001</v>
      </c>
      <c r="J56" s="49">
        <v>1.6000000000000001E-3</v>
      </c>
      <c r="K56" s="13"/>
      <c r="L56" s="13"/>
      <c r="M56" s="13"/>
      <c r="N56" s="13"/>
      <c r="O56" s="13"/>
      <c r="P56" s="13"/>
      <c r="Q56" s="13"/>
      <c r="R56" s="13"/>
      <c r="S56" s="13"/>
      <c r="T56" s="13"/>
      <c r="U56" s="13"/>
      <c r="Y56" s="47">
        <v>45477</v>
      </c>
      <c r="Z56" s="46">
        <v>313.14999999999998</v>
      </c>
      <c r="AA56" s="49">
        <v>2.8799999999999999E-2</v>
      </c>
      <c r="AB56" s="13"/>
      <c r="AC56" s="13"/>
      <c r="AD56" s="13"/>
      <c r="AE56" s="47">
        <v>45477</v>
      </c>
      <c r="AF56" s="48">
        <v>22519.4</v>
      </c>
      <c r="AG56" s="49">
        <v>2.9999999999999997E-4</v>
      </c>
      <c r="AH56" s="13"/>
      <c r="AI56" s="13"/>
      <c r="AJ56" s="13"/>
      <c r="AK56" s="13"/>
      <c r="AL56" s="13"/>
      <c r="AM56" s="13"/>
      <c r="AN56" s="13"/>
      <c r="AO56" s="13"/>
      <c r="AP56" s="13"/>
      <c r="AQ56" s="13"/>
      <c r="AR56" s="13"/>
      <c r="AS56" s="13"/>
    </row>
    <row r="57" spans="1:45">
      <c r="A57" s="13"/>
      <c r="B57" s="46" t="s">
        <v>231</v>
      </c>
      <c r="C57" s="46">
        <v>328.65</v>
      </c>
      <c r="D57" s="49">
        <v>2.4E-2</v>
      </c>
      <c r="E57" s="13"/>
      <c r="F57" s="13"/>
      <c r="G57" s="13"/>
      <c r="H57" s="46" t="s">
        <v>231</v>
      </c>
      <c r="I57" s="48">
        <v>23176.05</v>
      </c>
      <c r="J57" s="49">
        <v>3.8999999999999998E-3</v>
      </c>
      <c r="K57" s="13"/>
      <c r="L57" s="13"/>
      <c r="M57" s="13"/>
      <c r="N57" s="13"/>
      <c r="O57" s="13"/>
      <c r="P57" s="13"/>
      <c r="Q57" s="13"/>
      <c r="R57" s="13"/>
      <c r="S57" s="13"/>
      <c r="T57" s="13"/>
      <c r="U57" s="13"/>
      <c r="Y57" s="46" t="s">
        <v>347</v>
      </c>
      <c r="Z57" s="46">
        <v>304.37</v>
      </c>
      <c r="AA57" s="49">
        <v>-3.04E-2</v>
      </c>
      <c r="AB57" s="13"/>
      <c r="AC57" s="13"/>
      <c r="AD57" s="13"/>
      <c r="AE57" s="46" t="s">
        <v>347</v>
      </c>
      <c r="AF57" s="48">
        <v>22513.7</v>
      </c>
      <c r="AG57" s="49">
        <v>8.3999999999999995E-3</v>
      </c>
      <c r="AH57" s="13"/>
      <c r="AI57" s="13"/>
      <c r="AJ57" s="13"/>
      <c r="AK57" s="13"/>
      <c r="AL57" s="13"/>
      <c r="AM57" s="13"/>
      <c r="AN57" s="13"/>
      <c r="AO57" s="13"/>
      <c r="AP57" s="13"/>
      <c r="AQ57" s="13"/>
      <c r="AR57" s="13"/>
      <c r="AS57" s="13"/>
    </row>
    <row r="58" spans="1:45">
      <c r="A58" s="13"/>
      <c r="B58" s="46" t="s">
        <v>232</v>
      </c>
      <c r="C58" s="46">
        <v>320.95</v>
      </c>
      <c r="D58" s="49">
        <v>-2.58E-2</v>
      </c>
      <c r="E58" s="13"/>
      <c r="F58" s="13"/>
      <c r="G58" s="13"/>
      <c r="H58" s="46" t="s">
        <v>232</v>
      </c>
      <c r="I58" s="48">
        <v>23085.95</v>
      </c>
      <c r="J58" s="49">
        <v>-1.47E-2</v>
      </c>
      <c r="K58" s="13"/>
      <c r="L58" s="13"/>
      <c r="M58" s="13"/>
      <c r="N58" s="13"/>
      <c r="O58" s="13"/>
      <c r="P58" s="13"/>
      <c r="Q58" s="13"/>
      <c r="R58" s="13"/>
      <c r="S58" s="13"/>
      <c r="T58" s="13"/>
      <c r="U58" s="13"/>
      <c r="Y58" s="46" t="s">
        <v>349</v>
      </c>
      <c r="Z58" s="46">
        <v>313.91000000000003</v>
      </c>
      <c r="AA58" s="49">
        <v>-1.1299999999999999E-2</v>
      </c>
      <c r="AB58" s="13"/>
      <c r="AC58" s="13"/>
      <c r="AD58" s="13"/>
      <c r="AE58" s="46" t="s">
        <v>349</v>
      </c>
      <c r="AF58" s="48">
        <v>22326.9</v>
      </c>
      <c r="AG58" s="49">
        <v>1.04E-2</v>
      </c>
      <c r="AH58" s="13"/>
      <c r="AI58" s="13"/>
      <c r="AJ58" s="13"/>
      <c r="AK58" s="13"/>
      <c r="AL58" s="13"/>
      <c r="AM58" s="13"/>
      <c r="AN58" s="13"/>
      <c r="AO58" s="13"/>
      <c r="AP58" s="13"/>
      <c r="AQ58" s="13"/>
      <c r="AR58" s="13"/>
      <c r="AS58" s="13"/>
    </row>
    <row r="59" spans="1:45">
      <c r="A59" s="13"/>
      <c r="B59" s="47">
        <v>45931</v>
      </c>
      <c r="C59" s="46">
        <v>329.45</v>
      </c>
      <c r="D59" s="49">
        <v>-4.0300000000000002E-2</v>
      </c>
      <c r="E59" s="13"/>
      <c r="F59" s="13"/>
      <c r="G59" s="13"/>
      <c r="H59" s="47">
        <v>45931</v>
      </c>
      <c r="I59" s="48">
        <v>23431.5</v>
      </c>
      <c r="J59" s="49">
        <v>-4.0000000000000001E-3</v>
      </c>
      <c r="K59" s="13"/>
      <c r="L59" s="13"/>
      <c r="M59" s="13"/>
      <c r="N59" s="13"/>
      <c r="O59" s="13"/>
      <c r="P59" s="13"/>
      <c r="Q59" s="13"/>
      <c r="R59" s="13"/>
      <c r="S59" s="13"/>
      <c r="T59" s="13"/>
      <c r="U59" s="13"/>
      <c r="Y59" s="46" t="s">
        <v>351</v>
      </c>
      <c r="Z59" s="46">
        <v>317.51</v>
      </c>
      <c r="AA59" s="49">
        <v>0.1011</v>
      </c>
      <c r="AB59" s="13"/>
      <c r="AC59" s="13"/>
      <c r="AD59" s="13"/>
      <c r="AE59" s="46" t="s">
        <v>351</v>
      </c>
      <c r="AF59" s="48">
        <v>22096.75</v>
      </c>
      <c r="AG59" s="49">
        <v>3.3E-3</v>
      </c>
      <c r="AH59" s="13"/>
      <c r="AI59" s="13"/>
      <c r="AJ59" s="13"/>
      <c r="AK59" s="13"/>
      <c r="AL59" s="13"/>
      <c r="AM59" s="13"/>
      <c r="AN59" s="13"/>
      <c r="AO59" s="13"/>
      <c r="AP59" s="13"/>
      <c r="AQ59" s="13"/>
      <c r="AR59" s="13"/>
      <c r="AS59" s="13"/>
    </row>
    <row r="60" spans="1:45">
      <c r="A60" s="13"/>
      <c r="B60" s="47">
        <v>45901</v>
      </c>
      <c r="C60" s="46">
        <v>343.3</v>
      </c>
      <c r="D60" s="49">
        <v>1.09E-2</v>
      </c>
      <c r="E60" s="13"/>
      <c r="F60" s="13"/>
      <c r="G60" s="13"/>
      <c r="H60" s="47">
        <v>45901</v>
      </c>
      <c r="I60" s="48">
        <v>23526.5</v>
      </c>
      <c r="J60" s="49">
        <v>-6.8999999999999999E-3</v>
      </c>
      <c r="K60" s="13"/>
      <c r="L60" s="13"/>
      <c r="M60" s="13"/>
      <c r="N60" s="13"/>
      <c r="O60" s="13"/>
      <c r="P60" s="13"/>
      <c r="Q60" s="13"/>
      <c r="R60" s="13"/>
      <c r="S60" s="13"/>
      <c r="T60" s="13"/>
      <c r="U60" s="13"/>
      <c r="Y60" s="47">
        <v>45568</v>
      </c>
      <c r="Z60" s="46">
        <v>288.36</v>
      </c>
      <c r="AA60" s="49">
        <v>-0.04</v>
      </c>
      <c r="AB60" s="13"/>
      <c r="AC60" s="13"/>
      <c r="AD60" s="13"/>
      <c r="AE60" s="47">
        <v>45568</v>
      </c>
      <c r="AF60" s="48">
        <v>22023.35</v>
      </c>
      <c r="AG60" s="49">
        <v>-2.0899999999999998E-2</v>
      </c>
      <c r="AH60" s="13"/>
      <c r="AI60" s="13"/>
      <c r="AJ60" s="13"/>
      <c r="AK60" s="13"/>
      <c r="AL60" s="13"/>
      <c r="AM60" s="13"/>
      <c r="AN60" s="13"/>
      <c r="AO60" s="13"/>
      <c r="AP60" s="13"/>
      <c r="AQ60" s="13"/>
      <c r="AR60" s="13"/>
      <c r="AS60" s="13"/>
    </row>
    <row r="61" spans="1:45">
      <c r="A61" s="13"/>
      <c r="B61" s="47">
        <v>45870</v>
      </c>
      <c r="C61" s="46">
        <v>339.6</v>
      </c>
      <c r="D61" s="49">
        <v>-4.0899999999999999E-2</v>
      </c>
      <c r="E61" s="13"/>
      <c r="F61" s="13"/>
      <c r="G61" s="13"/>
      <c r="H61" s="47">
        <v>45870</v>
      </c>
      <c r="I61" s="48">
        <v>23688.95</v>
      </c>
      <c r="J61" s="49">
        <v>-8.0000000000000004E-4</v>
      </c>
      <c r="K61" s="13"/>
      <c r="L61" s="13"/>
      <c r="M61" s="13"/>
      <c r="N61" s="13"/>
      <c r="O61" s="13"/>
      <c r="P61" s="13"/>
      <c r="Q61" s="13"/>
      <c r="R61" s="13"/>
      <c r="S61" s="13"/>
      <c r="T61" s="13"/>
      <c r="U61" s="13"/>
      <c r="Y61" s="47">
        <v>45354</v>
      </c>
      <c r="Z61" s="46">
        <v>300.38</v>
      </c>
      <c r="AA61" s="49">
        <v>4.0000000000000002E-4</v>
      </c>
      <c r="AB61" s="13"/>
      <c r="AC61" s="13"/>
      <c r="AD61" s="13"/>
      <c r="AE61" s="47">
        <v>45354</v>
      </c>
      <c r="AF61" s="48">
        <v>22493.55</v>
      </c>
      <c r="AG61" s="49">
        <v>6.8999999999999999E-3</v>
      </c>
      <c r="AH61" s="13"/>
      <c r="AI61" s="13"/>
      <c r="AJ61" s="13"/>
      <c r="AK61" s="13"/>
      <c r="AL61" s="13"/>
      <c r="AM61" s="13"/>
      <c r="AN61" s="13"/>
      <c r="AO61" s="13"/>
      <c r="AP61" s="13"/>
      <c r="AQ61" s="13"/>
      <c r="AR61" s="13"/>
      <c r="AS61" s="13"/>
    </row>
    <row r="62" spans="1:45">
      <c r="A62" s="13"/>
      <c r="B62" s="47">
        <v>45839</v>
      </c>
      <c r="C62" s="46">
        <v>354.1</v>
      </c>
      <c r="D62" s="49">
        <v>-5.9999999999999995E-4</v>
      </c>
      <c r="E62" s="13"/>
      <c r="F62" s="13"/>
      <c r="G62" s="13"/>
      <c r="H62" s="47">
        <v>45839</v>
      </c>
      <c r="I62" s="48">
        <v>23707.9</v>
      </c>
      <c r="J62" s="49">
        <v>3.8999999999999998E-3</v>
      </c>
      <c r="K62" s="13"/>
      <c r="L62" s="13"/>
      <c r="M62" s="13"/>
      <c r="N62" s="13"/>
      <c r="O62" s="13"/>
      <c r="P62" s="13"/>
      <c r="Q62" s="13"/>
      <c r="R62" s="13"/>
      <c r="S62" s="13"/>
      <c r="T62" s="13"/>
      <c r="U62" s="13"/>
      <c r="Y62" s="46" t="s">
        <v>355</v>
      </c>
      <c r="Z62" s="46">
        <v>300.27</v>
      </c>
      <c r="AA62" s="49">
        <v>-2.3E-3</v>
      </c>
      <c r="AB62" s="13"/>
      <c r="AC62" s="13"/>
      <c r="AD62" s="13"/>
      <c r="AE62" s="46" t="s">
        <v>355</v>
      </c>
      <c r="AF62" s="48">
        <v>22338.75</v>
      </c>
      <c r="AG62" s="49">
        <v>5.7000000000000002E-3</v>
      </c>
      <c r="AH62" s="13"/>
      <c r="AI62" s="13"/>
      <c r="AJ62" s="13"/>
      <c r="AK62" s="13"/>
      <c r="AL62" s="13"/>
      <c r="AM62" s="13"/>
      <c r="AN62" s="13"/>
      <c r="AO62" s="13"/>
      <c r="AP62" s="13"/>
      <c r="AQ62" s="13"/>
      <c r="AR62" s="13"/>
      <c r="AS62" s="13"/>
    </row>
    <row r="63" spans="1:45">
      <c r="A63" s="13"/>
      <c r="B63" s="47">
        <v>45809</v>
      </c>
      <c r="C63" s="46">
        <v>354.3</v>
      </c>
      <c r="D63" s="49">
        <v>1.46E-2</v>
      </c>
      <c r="E63" s="13"/>
      <c r="F63" s="13"/>
      <c r="G63" s="13"/>
      <c r="H63" s="47">
        <v>45809</v>
      </c>
      <c r="I63" s="48">
        <v>23616.05</v>
      </c>
      <c r="J63" s="49">
        <v>-1.6199999999999999E-2</v>
      </c>
      <c r="K63" s="13"/>
      <c r="L63" s="13"/>
      <c r="M63" s="13"/>
      <c r="N63" s="13"/>
      <c r="O63" s="13"/>
      <c r="P63" s="13"/>
      <c r="Q63" s="13"/>
      <c r="R63" s="13"/>
      <c r="S63" s="13"/>
      <c r="T63" s="13"/>
      <c r="U63" s="13"/>
      <c r="Y63" s="46" t="s">
        <v>357</v>
      </c>
      <c r="Z63" s="46">
        <v>300.97000000000003</v>
      </c>
      <c r="AA63" s="49">
        <v>9.8599999999999993E-2</v>
      </c>
      <c r="AB63" s="13"/>
      <c r="AC63" s="13"/>
      <c r="AD63" s="13"/>
      <c r="AE63" s="46" t="s">
        <v>357</v>
      </c>
      <c r="AF63" s="48">
        <v>22212.7</v>
      </c>
      <c r="AG63" s="49">
        <v>7.7999999999999996E-3</v>
      </c>
      <c r="AH63" s="13"/>
      <c r="AI63" s="13"/>
      <c r="AJ63" s="13"/>
      <c r="AK63" s="13"/>
      <c r="AL63" s="13"/>
      <c r="AM63" s="13"/>
      <c r="AN63" s="13"/>
      <c r="AO63" s="13"/>
      <c r="AP63" s="13"/>
      <c r="AQ63" s="13"/>
      <c r="AR63" s="13"/>
      <c r="AS63" s="13"/>
    </row>
    <row r="64" spans="1:45">
      <c r="A64" s="13"/>
      <c r="B64" s="47">
        <v>45717</v>
      </c>
      <c r="C64" s="46">
        <v>349.2</v>
      </c>
      <c r="D64" s="49">
        <v>2.2499999999999999E-2</v>
      </c>
      <c r="E64" s="13"/>
      <c r="F64" s="13"/>
      <c r="G64" s="13"/>
      <c r="H64" s="47">
        <v>45717</v>
      </c>
      <c r="I64" s="48">
        <v>24004.75</v>
      </c>
      <c r="J64" s="49">
        <v>-7.6E-3</v>
      </c>
      <c r="K64" s="13"/>
      <c r="L64" s="13"/>
      <c r="M64" s="13"/>
      <c r="N64" s="13"/>
      <c r="O64" s="13"/>
      <c r="P64" s="13"/>
      <c r="Q64" s="13"/>
      <c r="R64" s="13"/>
      <c r="S64" s="13"/>
      <c r="T64" s="13"/>
      <c r="U64" s="13"/>
      <c r="Y64" s="47">
        <v>45598</v>
      </c>
      <c r="Z64" s="46">
        <v>273.97000000000003</v>
      </c>
      <c r="AA64" s="49">
        <v>-5.8999999999999999E-3</v>
      </c>
      <c r="AB64" s="13"/>
      <c r="AC64" s="13"/>
      <c r="AD64" s="13"/>
      <c r="AE64" s="47">
        <v>45598</v>
      </c>
      <c r="AF64" s="48">
        <v>22040.7</v>
      </c>
      <c r="AG64" s="49">
        <v>1.1900000000000001E-2</v>
      </c>
      <c r="AH64" s="13"/>
      <c r="AI64" s="13"/>
      <c r="AJ64" s="13"/>
      <c r="AK64" s="13"/>
      <c r="AL64" s="13"/>
      <c r="AM64" s="13"/>
      <c r="AN64" s="13"/>
      <c r="AO64" s="13"/>
      <c r="AP64" s="13"/>
      <c r="AQ64" s="13"/>
      <c r="AR64" s="13"/>
      <c r="AS64" s="13"/>
    </row>
    <row r="65" spans="1:45">
      <c r="A65" s="13"/>
      <c r="B65" s="47">
        <v>45689</v>
      </c>
      <c r="C65" s="46">
        <v>341.5</v>
      </c>
      <c r="D65" s="49">
        <v>-8.6999999999999994E-3</v>
      </c>
      <c r="E65" s="13"/>
      <c r="F65" s="13"/>
      <c r="G65" s="13"/>
      <c r="H65" s="47">
        <v>45689</v>
      </c>
      <c r="I65" s="48">
        <v>24188.65</v>
      </c>
      <c r="J65" s="49">
        <v>1.8800000000000001E-2</v>
      </c>
      <c r="K65" s="13"/>
      <c r="L65" s="13"/>
      <c r="M65" s="13"/>
      <c r="N65" s="13"/>
      <c r="O65" s="13"/>
      <c r="P65" s="13"/>
      <c r="Q65" s="13"/>
      <c r="R65" s="13"/>
      <c r="S65" s="13"/>
      <c r="T65" s="13"/>
      <c r="U65" s="13"/>
      <c r="Y65" s="47">
        <v>45384</v>
      </c>
      <c r="Z65" s="46">
        <v>275.58999999999997</v>
      </c>
      <c r="AA65" s="49">
        <v>-2.4299999999999999E-2</v>
      </c>
      <c r="AB65" s="13"/>
      <c r="AC65" s="13"/>
      <c r="AD65" s="13"/>
      <c r="AE65" s="47">
        <v>45384</v>
      </c>
      <c r="AF65" s="48">
        <v>21782.5</v>
      </c>
      <c r="AG65" s="49">
        <v>-3.3E-3</v>
      </c>
      <c r="AH65" s="13"/>
      <c r="AI65" s="13"/>
      <c r="AJ65" s="13"/>
      <c r="AK65" s="13"/>
      <c r="AL65" s="13"/>
      <c r="AM65" s="13"/>
      <c r="AN65" s="13"/>
      <c r="AO65" s="13"/>
      <c r="AP65" s="13"/>
      <c r="AQ65" s="13"/>
      <c r="AR65" s="13"/>
      <c r="AS65" s="13"/>
    </row>
    <row r="66" spans="1:45">
      <c r="A66" s="13"/>
      <c r="B66" s="47">
        <v>45658</v>
      </c>
      <c r="C66" s="46">
        <v>344.5</v>
      </c>
      <c r="D66" s="49">
        <v>4.1700000000000001E-2</v>
      </c>
      <c r="E66" s="13"/>
      <c r="F66" s="13"/>
      <c r="G66" s="13"/>
      <c r="H66" s="47">
        <v>45658</v>
      </c>
      <c r="I66" s="48">
        <v>23742.9</v>
      </c>
      <c r="J66" s="49">
        <v>4.1000000000000003E-3</v>
      </c>
      <c r="K66" s="13"/>
      <c r="L66" s="13"/>
      <c r="M66" s="13"/>
      <c r="N66" s="13"/>
      <c r="O66" s="13"/>
      <c r="P66" s="13"/>
      <c r="Q66" s="13"/>
      <c r="R66" s="13"/>
      <c r="S66" s="13"/>
      <c r="T66" s="13"/>
      <c r="U66" s="13"/>
      <c r="Y66" s="46" t="s">
        <v>361</v>
      </c>
      <c r="Z66" s="46">
        <v>282.45</v>
      </c>
      <c r="AA66" s="49">
        <v>-8.0999999999999996E-3</v>
      </c>
      <c r="AB66" s="13"/>
      <c r="AC66" s="13"/>
      <c r="AD66" s="13"/>
      <c r="AE66" s="46" t="s">
        <v>361</v>
      </c>
      <c r="AF66" s="48">
        <v>21853.8</v>
      </c>
      <c r="AG66" s="49">
        <v>2.35E-2</v>
      </c>
      <c r="AH66" s="13"/>
      <c r="AI66" s="13"/>
      <c r="AJ66" s="13"/>
      <c r="AK66" s="13"/>
      <c r="AL66" s="13"/>
      <c r="AM66" s="13"/>
      <c r="AN66" s="13"/>
      <c r="AO66" s="13"/>
      <c r="AP66" s="13"/>
      <c r="AQ66" s="13"/>
      <c r="AR66" s="13"/>
      <c r="AS66" s="13"/>
    </row>
    <row r="67" spans="1:45">
      <c r="A67" s="13"/>
      <c r="B67" s="46" t="s">
        <v>233</v>
      </c>
      <c r="C67" s="46">
        <v>330.7</v>
      </c>
      <c r="D67" s="49">
        <v>-5.0000000000000001E-3</v>
      </c>
      <c r="E67" s="13"/>
      <c r="F67" s="13"/>
      <c r="G67" s="13"/>
      <c r="H67" s="46" t="s">
        <v>233</v>
      </c>
      <c r="I67" s="48">
        <v>23644.799999999999</v>
      </c>
      <c r="J67" s="49">
        <v>0</v>
      </c>
      <c r="K67" s="13"/>
      <c r="L67" s="13"/>
      <c r="M67" s="13"/>
      <c r="N67" s="13"/>
      <c r="O67" s="13"/>
      <c r="P67" s="13"/>
      <c r="Q67" s="13"/>
      <c r="R67" s="13"/>
      <c r="S67" s="13"/>
      <c r="T67" s="13"/>
      <c r="U67" s="13"/>
      <c r="Y67" s="46" t="s">
        <v>363</v>
      </c>
      <c r="Z67" s="46">
        <v>284.76</v>
      </c>
      <c r="AA67" s="49">
        <v>2.0000000000000001E-4</v>
      </c>
      <c r="AB67" s="13"/>
      <c r="AC67" s="13"/>
      <c r="AD67" s="13"/>
      <c r="AE67" s="46" t="s">
        <v>363</v>
      </c>
      <c r="AF67" s="48">
        <v>21352.6</v>
      </c>
      <c r="AG67" s="49">
        <v>-1.2500000000000001E-2</v>
      </c>
      <c r="AH67" s="13"/>
      <c r="AI67" s="13"/>
      <c r="AJ67" s="13"/>
      <c r="AK67" s="13"/>
      <c r="AL67" s="13"/>
      <c r="AM67" s="13"/>
      <c r="AN67" s="13"/>
      <c r="AO67" s="13"/>
      <c r="AP67" s="13"/>
      <c r="AQ67" s="13"/>
      <c r="AR67" s="13"/>
      <c r="AS67" s="13"/>
    </row>
    <row r="68" spans="1:45">
      <c r="A68" s="13"/>
      <c r="B68" s="46" t="s">
        <v>234</v>
      </c>
      <c r="C68" s="46">
        <v>332.35</v>
      </c>
      <c r="D68" s="49">
        <v>6.1999999999999998E-3</v>
      </c>
      <c r="E68" s="13"/>
      <c r="F68" s="13"/>
      <c r="G68" s="13"/>
      <c r="H68" s="46" t="s">
        <v>234</v>
      </c>
      <c r="I68" s="48">
        <v>23644.9</v>
      </c>
      <c r="J68" s="49">
        <v>-7.1000000000000004E-3</v>
      </c>
      <c r="K68" s="13"/>
      <c r="L68" s="13"/>
      <c r="M68" s="13"/>
      <c r="N68" s="13"/>
      <c r="O68" s="13"/>
      <c r="P68" s="13"/>
      <c r="Q68" s="13"/>
      <c r="R68" s="13"/>
      <c r="S68" s="13"/>
      <c r="T68" s="13"/>
      <c r="U68" s="13"/>
      <c r="Y68" s="46" t="s">
        <v>364</v>
      </c>
      <c r="Z68" s="46">
        <v>284.70999999999998</v>
      </c>
      <c r="AA68" s="49">
        <v>-1.49E-2</v>
      </c>
      <c r="AB68" s="13"/>
      <c r="AC68" s="13"/>
      <c r="AD68" s="13"/>
      <c r="AE68" s="46" t="s">
        <v>364</v>
      </c>
      <c r="AF68" s="48">
        <v>21622.400000000001</v>
      </c>
      <c r="AG68" s="49">
        <v>-1.24E-2</v>
      </c>
      <c r="AH68" s="13"/>
      <c r="AI68" s="13"/>
      <c r="AJ68" s="13"/>
      <c r="AK68" s="13"/>
      <c r="AL68" s="13"/>
      <c r="AM68" s="13"/>
      <c r="AN68" s="13"/>
      <c r="AO68" s="13"/>
      <c r="AP68" s="13"/>
      <c r="AQ68" s="13"/>
      <c r="AR68" s="13"/>
      <c r="AS68" s="13"/>
    </row>
    <row r="69" spans="1:45">
      <c r="A69" s="13"/>
      <c r="B69" s="46" t="s">
        <v>235</v>
      </c>
      <c r="C69" s="46">
        <v>330.3</v>
      </c>
      <c r="D69" s="49">
        <v>2.8000000000000001E-2</v>
      </c>
      <c r="E69" s="13"/>
      <c r="F69" s="13"/>
      <c r="G69" s="13"/>
      <c r="H69" s="46" t="s">
        <v>235</v>
      </c>
      <c r="I69" s="48">
        <v>23813.4</v>
      </c>
      <c r="J69" s="49">
        <v>2.7000000000000001E-3</v>
      </c>
      <c r="K69" s="13"/>
      <c r="L69" s="13"/>
      <c r="M69" s="13"/>
      <c r="N69" s="13"/>
      <c r="O69" s="13"/>
      <c r="P69" s="13"/>
      <c r="Q69" s="13"/>
      <c r="R69" s="13"/>
      <c r="S69" s="13"/>
      <c r="T69" s="13"/>
      <c r="U69" s="13"/>
      <c r="Y69" s="47">
        <v>45474</v>
      </c>
      <c r="Z69" s="46">
        <v>289.01</v>
      </c>
      <c r="AA69" s="49">
        <v>1.38E-2</v>
      </c>
      <c r="AB69" s="13"/>
      <c r="AC69" s="13"/>
      <c r="AD69" s="13"/>
      <c r="AE69" s="47">
        <v>45474</v>
      </c>
      <c r="AF69" s="48">
        <v>21894.55</v>
      </c>
      <c r="AG69" s="49">
        <v>8.5000000000000006E-3</v>
      </c>
      <c r="AH69" s="13"/>
      <c r="AI69" s="13"/>
      <c r="AJ69" s="13"/>
      <c r="AK69" s="13"/>
      <c r="AL69" s="13"/>
      <c r="AM69" s="13"/>
      <c r="AN69" s="13"/>
      <c r="AO69" s="13"/>
      <c r="AP69" s="13"/>
      <c r="AQ69" s="13"/>
      <c r="AR69" s="13"/>
      <c r="AS69" s="13"/>
    </row>
    <row r="70" spans="1:45">
      <c r="A70" s="13"/>
      <c r="B70" s="46" t="s">
        <v>236</v>
      </c>
      <c r="C70" s="46">
        <v>321.3</v>
      </c>
      <c r="D70" s="49">
        <v>-1.12E-2</v>
      </c>
      <c r="E70" s="13"/>
      <c r="F70" s="13"/>
      <c r="G70" s="13"/>
      <c r="H70" s="46" t="s">
        <v>236</v>
      </c>
      <c r="I70" s="48">
        <v>23750.2</v>
      </c>
      <c r="J70" s="49">
        <v>1E-3</v>
      </c>
      <c r="K70" s="13"/>
      <c r="L70" s="13"/>
      <c r="M70" s="13"/>
      <c r="N70" s="13"/>
      <c r="O70" s="13"/>
      <c r="P70" s="13"/>
      <c r="Q70" s="13"/>
      <c r="R70" s="13"/>
      <c r="S70" s="13"/>
      <c r="T70" s="13"/>
      <c r="U70" s="13"/>
      <c r="Y70" s="46" t="s">
        <v>365</v>
      </c>
      <c r="Z70" s="46">
        <v>285.08</v>
      </c>
      <c r="AA70" s="49">
        <v>3.3E-3</v>
      </c>
      <c r="AB70" s="13"/>
      <c r="AC70" s="13"/>
      <c r="AD70" s="13"/>
      <c r="AE70" s="46" t="s">
        <v>365</v>
      </c>
      <c r="AF70" s="48">
        <v>21710.799999999999</v>
      </c>
      <c r="AG70" s="49">
        <v>-8.9999999999999998E-4</v>
      </c>
      <c r="AH70" s="13"/>
      <c r="AI70" s="13"/>
      <c r="AJ70" s="13"/>
      <c r="AK70" s="13"/>
      <c r="AL70" s="13"/>
      <c r="AM70" s="13"/>
      <c r="AN70" s="13"/>
      <c r="AO70" s="13"/>
      <c r="AP70" s="13"/>
      <c r="AQ70" s="13"/>
      <c r="AR70" s="13"/>
      <c r="AS70" s="13"/>
    </row>
    <row r="71" spans="1:45">
      <c r="A71" s="13"/>
      <c r="B71" s="46" t="s">
        <v>237</v>
      </c>
      <c r="C71" s="46">
        <v>324.95</v>
      </c>
      <c r="D71" s="49">
        <v>2.23E-2</v>
      </c>
      <c r="E71" s="13"/>
      <c r="F71" s="13"/>
      <c r="G71" s="13"/>
      <c r="H71" s="46" t="s">
        <v>237</v>
      </c>
      <c r="I71" s="48">
        <v>23727.65</v>
      </c>
      <c r="J71" s="49">
        <v>-1.1000000000000001E-3</v>
      </c>
      <c r="K71" s="13"/>
      <c r="L71" s="13"/>
      <c r="M71" s="13"/>
      <c r="N71" s="13"/>
      <c r="O71" s="13"/>
      <c r="P71" s="13"/>
      <c r="Q71" s="13"/>
      <c r="R71" s="13"/>
      <c r="S71" s="13"/>
      <c r="T71" s="13"/>
      <c r="U71" s="13"/>
      <c r="Y71" s="46" t="s">
        <v>366</v>
      </c>
      <c r="Z71" s="46">
        <v>284.14</v>
      </c>
      <c r="AA71" s="49">
        <v>4.4999999999999997E-3</v>
      </c>
      <c r="AB71" s="13"/>
      <c r="AC71" s="13"/>
      <c r="AD71" s="13"/>
      <c r="AE71" s="46" t="s">
        <v>366</v>
      </c>
      <c r="AF71" s="48">
        <v>21731.4</v>
      </c>
      <c r="AG71" s="49">
        <v>1.7899999999999999E-2</v>
      </c>
      <c r="AH71" s="13"/>
      <c r="AI71" s="13"/>
      <c r="AJ71" s="13"/>
      <c r="AK71" s="13"/>
      <c r="AL71" s="13"/>
      <c r="AM71" s="13"/>
      <c r="AN71" s="13"/>
      <c r="AO71" s="13"/>
      <c r="AP71" s="13"/>
      <c r="AQ71" s="13"/>
      <c r="AR71" s="13"/>
      <c r="AS71" s="13"/>
    </row>
    <row r="72" spans="1:45">
      <c r="A72" s="13"/>
      <c r="B72" s="46" t="s">
        <v>238</v>
      </c>
      <c r="C72" s="46">
        <v>317.85000000000002</v>
      </c>
      <c r="D72" s="49">
        <v>1.9400000000000001E-2</v>
      </c>
      <c r="E72" s="13"/>
      <c r="F72" s="13"/>
      <c r="G72" s="13"/>
      <c r="H72" s="46" t="s">
        <v>238</v>
      </c>
      <c r="I72" s="48">
        <v>23753.45</v>
      </c>
      <c r="J72" s="49">
        <v>7.0000000000000001E-3</v>
      </c>
      <c r="K72" s="13"/>
      <c r="L72" s="13"/>
      <c r="M72" s="13"/>
      <c r="N72" s="13"/>
      <c r="O72" s="13"/>
      <c r="P72" s="13"/>
      <c r="Q72" s="13"/>
      <c r="R72" s="13"/>
      <c r="S72" s="13"/>
      <c r="T72" s="13"/>
      <c r="U72" s="13"/>
      <c r="Y72" s="46" t="s">
        <v>367</v>
      </c>
      <c r="Z72" s="46">
        <v>282.86</v>
      </c>
      <c r="AA72" s="49">
        <v>5.4999999999999997E-3</v>
      </c>
      <c r="AB72" s="13"/>
      <c r="AC72" s="13"/>
      <c r="AD72" s="13"/>
      <c r="AE72" s="46" t="s">
        <v>367</v>
      </c>
      <c r="AF72" s="48">
        <v>21349.4</v>
      </c>
      <c r="AG72" s="49">
        <v>-5.0000000000000001E-3</v>
      </c>
      <c r="AH72" s="13"/>
      <c r="AI72" s="13"/>
      <c r="AJ72" s="13"/>
      <c r="AK72" s="13"/>
      <c r="AL72" s="13"/>
      <c r="AM72" s="13"/>
      <c r="AN72" s="13"/>
      <c r="AO72" s="13"/>
      <c r="AP72" s="13"/>
      <c r="AQ72" s="13"/>
      <c r="AR72" s="13"/>
      <c r="AS72" s="13"/>
    </row>
    <row r="73" spans="1:45">
      <c r="A73" s="13"/>
      <c r="B73" s="46" t="s">
        <v>239</v>
      </c>
      <c r="C73" s="46">
        <v>311.8</v>
      </c>
      <c r="D73" s="49">
        <v>1.0200000000000001E-2</v>
      </c>
      <c r="E73" s="13"/>
      <c r="F73" s="13"/>
      <c r="G73" s="13"/>
      <c r="H73" s="46" t="s">
        <v>239</v>
      </c>
      <c r="I73" s="48">
        <v>23587.5</v>
      </c>
      <c r="J73" s="49">
        <v>-1.52E-2</v>
      </c>
      <c r="K73" s="13"/>
      <c r="L73" s="13"/>
      <c r="M73" s="13"/>
      <c r="N73" s="13"/>
      <c r="O73" s="13"/>
      <c r="P73" s="13"/>
      <c r="Q73" s="13"/>
      <c r="R73" s="13"/>
      <c r="S73" s="13"/>
      <c r="T73" s="13"/>
      <c r="U73" s="13"/>
      <c r="Y73" s="47">
        <v>45211</v>
      </c>
      <c r="Z73" s="46">
        <v>281.32</v>
      </c>
      <c r="AA73" s="49">
        <v>-1.78E-2</v>
      </c>
      <c r="AB73" s="13"/>
      <c r="AC73" s="13"/>
      <c r="AD73" s="13"/>
      <c r="AE73" s="47">
        <v>45211</v>
      </c>
      <c r="AF73" s="48">
        <v>21456.65</v>
      </c>
      <c r="AG73" s="49">
        <v>2.3199999999999998E-2</v>
      </c>
      <c r="AH73" s="13"/>
      <c r="AI73" s="13"/>
      <c r="AJ73" s="13"/>
      <c r="AK73" s="13"/>
      <c r="AL73" s="13"/>
      <c r="AM73" s="13"/>
      <c r="AN73" s="13"/>
      <c r="AO73" s="13"/>
      <c r="AP73" s="13"/>
      <c r="AQ73" s="13"/>
      <c r="AR73" s="13"/>
      <c r="AS73" s="13"/>
    </row>
    <row r="74" spans="1:45">
      <c r="A74" s="13"/>
      <c r="B74" s="46" t="s">
        <v>240</v>
      </c>
      <c r="C74" s="46">
        <v>308.64999999999998</v>
      </c>
      <c r="D74" s="49">
        <v>-1.8E-3</v>
      </c>
      <c r="E74" s="13"/>
      <c r="F74" s="13"/>
      <c r="G74" s="13"/>
      <c r="H74" s="46" t="s">
        <v>240</v>
      </c>
      <c r="I74" s="48">
        <v>23951.7</v>
      </c>
      <c r="J74" s="49">
        <v>-1.0200000000000001E-2</v>
      </c>
      <c r="K74" s="13"/>
      <c r="L74" s="13"/>
      <c r="M74" s="13"/>
      <c r="N74" s="13"/>
      <c r="O74" s="13"/>
      <c r="P74" s="13"/>
      <c r="Q74" s="13"/>
      <c r="R74" s="13"/>
      <c r="S74" s="13"/>
      <c r="T74" s="13"/>
      <c r="U74" s="13"/>
      <c r="Y74" s="47">
        <v>44997</v>
      </c>
      <c r="Z74" s="46">
        <v>286.43</v>
      </c>
      <c r="AA74" s="49">
        <v>1.24E-2</v>
      </c>
      <c r="AB74" s="13"/>
      <c r="AC74" s="13"/>
      <c r="AD74" s="13"/>
      <c r="AE74" s="47">
        <v>44997</v>
      </c>
      <c r="AF74" s="48">
        <v>20969.400000000001</v>
      </c>
      <c r="AG74" s="49">
        <v>3.4599999999999999E-2</v>
      </c>
      <c r="AH74" s="13"/>
      <c r="AI74" s="13"/>
      <c r="AJ74" s="13"/>
      <c r="AK74" s="13"/>
      <c r="AL74" s="13"/>
      <c r="AM74" s="13"/>
      <c r="AN74" s="13"/>
      <c r="AO74" s="13"/>
      <c r="AP74" s="13"/>
      <c r="AQ74" s="13"/>
      <c r="AR74" s="13"/>
      <c r="AS74" s="13"/>
    </row>
    <row r="75" spans="1:45">
      <c r="A75" s="13"/>
      <c r="B75" s="46" t="s">
        <v>241</v>
      </c>
      <c r="C75" s="46">
        <v>309.2</v>
      </c>
      <c r="D75" s="49">
        <v>-1.7299999999999999E-2</v>
      </c>
      <c r="E75" s="13"/>
      <c r="F75" s="13"/>
      <c r="G75" s="13"/>
      <c r="H75" s="46" t="s">
        <v>241</v>
      </c>
      <c r="I75" s="48">
        <v>24198.85</v>
      </c>
      <c r="J75" s="49">
        <v>-5.5999999999999999E-3</v>
      </c>
      <c r="K75" s="13"/>
      <c r="L75" s="13"/>
      <c r="M75" s="13"/>
      <c r="N75" s="13"/>
      <c r="O75" s="13"/>
      <c r="P75" s="13"/>
      <c r="Q75" s="13"/>
      <c r="R75" s="13"/>
      <c r="S75" s="13"/>
      <c r="T75" s="13"/>
      <c r="U75" s="13"/>
      <c r="Y75" s="46" t="s">
        <v>368</v>
      </c>
      <c r="Z75" s="46">
        <v>282.91000000000003</v>
      </c>
      <c r="AA75" s="49">
        <v>5.3E-3</v>
      </c>
      <c r="AB75" s="13"/>
      <c r="AC75" s="13"/>
      <c r="AD75" s="13"/>
      <c r="AE75" s="46" t="s">
        <v>368</v>
      </c>
      <c r="AF75" s="48">
        <v>20267.900000000001</v>
      </c>
      <c r="AG75" s="49">
        <v>2.3900000000000001E-2</v>
      </c>
      <c r="AH75" s="13"/>
      <c r="AI75" s="13"/>
      <c r="AJ75" s="13"/>
      <c r="AK75" s="13"/>
      <c r="AL75" s="13"/>
      <c r="AM75" s="13"/>
      <c r="AN75" s="13"/>
      <c r="AO75" s="13"/>
      <c r="AP75" s="13"/>
      <c r="AQ75" s="13"/>
      <c r="AR75" s="13"/>
      <c r="AS75" s="13"/>
    </row>
    <row r="76" spans="1:45">
      <c r="A76" s="13"/>
      <c r="B76" s="46" t="s">
        <v>242</v>
      </c>
      <c r="C76" s="46">
        <v>314.64999999999998</v>
      </c>
      <c r="D76" s="49">
        <v>-7.6E-3</v>
      </c>
      <c r="E76" s="13"/>
      <c r="F76" s="13"/>
      <c r="G76" s="13"/>
      <c r="H76" s="46" t="s">
        <v>242</v>
      </c>
      <c r="I76" s="48">
        <v>24336</v>
      </c>
      <c r="J76" s="49">
        <v>-1.35E-2</v>
      </c>
      <c r="K76" s="13"/>
      <c r="L76" s="13"/>
      <c r="M76" s="13"/>
      <c r="N76" s="13"/>
      <c r="O76" s="13"/>
      <c r="P76" s="13"/>
      <c r="Q76" s="13"/>
      <c r="R76" s="13"/>
      <c r="S76" s="13"/>
      <c r="T76" s="13"/>
      <c r="U76" s="13"/>
      <c r="Y76" s="46" t="s">
        <v>370</v>
      </c>
      <c r="Z76" s="46">
        <v>281.42</v>
      </c>
      <c r="AA76" s="49">
        <v>1.09E-2</v>
      </c>
      <c r="AB76" s="13"/>
      <c r="AC76" s="13"/>
      <c r="AD76" s="13"/>
      <c r="AE76" s="46" t="s">
        <v>370</v>
      </c>
      <c r="AF76" s="48">
        <v>19794.7</v>
      </c>
      <c r="AG76" s="49">
        <v>3.2000000000000002E-3</v>
      </c>
      <c r="AH76" s="13"/>
      <c r="AI76" s="13"/>
      <c r="AJ76" s="13"/>
      <c r="AK76" s="13"/>
      <c r="AL76" s="13"/>
      <c r="AM76" s="13"/>
      <c r="AN76" s="13"/>
      <c r="AO76" s="13"/>
      <c r="AP76" s="13"/>
      <c r="AQ76" s="13"/>
      <c r="AR76" s="13"/>
      <c r="AS76" s="13"/>
    </row>
    <row r="77" spans="1:45">
      <c r="A77" s="13"/>
      <c r="B77" s="46" t="s">
        <v>243</v>
      </c>
      <c r="C77" s="46">
        <v>317.05</v>
      </c>
      <c r="D77" s="49">
        <v>1.6299999999999999E-2</v>
      </c>
      <c r="E77" s="13"/>
      <c r="F77" s="13"/>
      <c r="G77" s="13"/>
      <c r="H77" s="46" t="s">
        <v>243</v>
      </c>
      <c r="I77" s="48">
        <v>24668.25</v>
      </c>
      <c r="J77" s="49">
        <v>-4.0000000000000001E-3</v>
      </c>
      <c r="K77" s="13"/>
      <c r="L77" s="13"/>
      <c r="M77" s="13"/>
      <c r="N77" s="13"/>
      <c r="O77" s="13"/>
      <c r="P77" s="13"/>
      <c r="Q77" s="13"/>
      <c r="R77" s="13"/>
      <c r="S77" s="13"/>
      <c r="T77" s="13"/>
      <c r="U77" s="13"/>
      <c r="Y77" s="47">
        <v>45271</v>
      </c>
      <c r="Z77" s="46">
        <v>278.38</v>
      </c>
      <c r="AA77" s="49">
        <v>7.0599999999999996E-2</v>
      </c>
      <c r="AB77" s="13"/>
      <c r="AC77" s="13"/>
      <c r="AD77" s="13"/>
      <c r="AE77" s="47">
        <v>45271</v>
      </c>
      <c r="AF77" s="48">
        <v>19731.8</v>
      </c>
      <c r="AG77" s="49">
        <v>1.5800000000000002E-2</v>
      </c>
      <c r="AH77" s="13"/>
      <c r="AI77" s="13"/>
      <c r="AJ77" s="13"/>
      <c r="AK77" s="13"/>
      <c r="AL77" s="13"/>
      <c r="AM77" s="13"/>
      <c r="AN77" s="13"/>
      <c r="AO77" s="13"/>
      <c r="AP77" s="13"/>
      <c r="AQ77" s="13"/>
      <c r="AR77" s="13"/>
      <c r="AS77" s="13"/>
    </row>
    <row r="78" spans="1:45">
      <c r="A78" s="13"/>
      <c r="B78" s="46" t="s">
        <v>244</v>
      </c>
      <c r="C78" s="46">
        <v>311.95</v>
      </c>
      <c r="D78" s="49">
        <v>-2.3900000000000001E-2</v>
      </c>
      <c r="E78" s="13"/>
      <c r="F78" s="13"/>
      <c r="G78" s="13"/>
      <c r="H78" s="46" t="s">
        <v>244</v>
      </c>
      <c r="I78" s="48">
        <v>24768.3</v>
      </c>
      <c r="J78" s="49">
        <v>8.8999999999999999E-3</v>
      </c>
      <c r="K78" s="13"/>
      <c r="L78" s="13"/>
      <c r="M78" s="13"/>
      <c r="N78" s="13"/>
      <c r="O78" s="13"/>
      <c r="P78" s="13"/>
      <c r="Q78" s="13"/>
      <c r="R78" s="13"/>
      <c r="S78" s="13"/>
      <c r="T78" s="13"/>
      <c r="U78" s="13"/>
      <c r="Y78" s="47">
        <v>45057</v>
      </c>
      <c r="Z78" s="46">
        <v>260.02</v>
      </c>
      <c r="AA78" s="49">
        <v>-4.8999999999999998E-3</v>
      </c>
      <c r="AB78" s="13"/>
      <c r="AC78" s="13"/>
      <c r="AD78" s="13"/>
      <c r="AE78" s="47">
        <v>45057</v>
      </c>
      <c r="AF78" s="48">
        <v>19425.349999999999</v>
      </c>
      <c r="AG78" s="49">
        <v>1.01E-2</v>
      </c>
      <c r="AH78" s="13"/>
      <c r="AI78" s="13"/>
      <c r="AJ78" s="13"/>
      <c r="AK78" s="13"/>
      <c r="AL78" s="13"/>
      <c r="AM78" s="13"/>
      <c r="AN78" s="13"/>
      <c r="AO78" s="13"/>
      <c r="AP78" s="13"/>
      <c r="AQ78" s="13"/>
      <c r="AR78" s="13"/>
      <c r="AS78" s="13"/>
    </row>
    <row r="79" spans="1:45">
      <c r="A79" s="13"/>
      <c r="B79" s="47">
        <v>45638</v>
      </c>
      <c r="C79" s="46">
        <v>319.60000000000002</v>
      </c>
      <c r="D79" s="49">
        <v>-1.6299999999999999E-2</v>
      </c>
      <c r="E79" s="13"/>
      <c r="F79" s="13"/>
      <c r="G79" s="13"/>
      <c r="H79" s="47">
        <v>45638</v>
      </c>
      <c r="I79" s="48">
        <v>24548.7</v>
      </c>
      <c r="J79" s="49">
        <v>-3.8E-3</v>
      </c>
      <c r="K79" s="13"/>
      <c r="L79" s="13"/>
      <c r="M79" s="13"/>
      <c r="N79" s="13"/>
      <c r="O79" s="13"/>
      <c r="P79" s="13"/>
      <c r="Q79" s="13"/>
      <c r="R79" s="13"/>
      <c r="S79" s="13"/>
      <c r="T79" s="13"/>
      <c r="U79" s="13"/>
      <c r="Y79" s="46" t="s">
        <v>374</v>
      </c>
      <c r="Z79" s="46">
        <v>261.3</v>
      </c>
      <c r="AA79" s="49">
        <v>1.1299999999999999E-2</v>
      </c>
      <c r="AB79" s="13"/>
      <c r="AC79" s="13"/>
      <c r="AD79" s="13"/>
      <c r="AE79" s="46" t="s">
        <v>374</v>
      </c>
      <c r="AF79" s="48">
        <v>19230.599999999999</v>
      </c>
      <c r="AG79" s="49">
        <v>9.5999999999999992E-3</v>
      </c>
      <c r="AH79" s="13"/>
      <c r="AI79" s="13"/>
      <c r="AJ79" s="13"/>
      <c r="AK79" s="13"/>
      <c r="AL79" s="13"/>
      <c r="AM79" s="13"/>
      <c r="AN79" s="13"/>
      <c r="AO79" s="13"/>
      <c r="AP79" s="13"/>
      <c r="AQ79" s="13"/>
      <c r="AR79" s="13"/>
      <c r="AS79" s="13"/>
    </row>
    <row r="80" spans="1:45">
      <c r="A80" s="13"/>
      <c r="B80" s="47">
        <v>45608</v>
      </c>
      <c r="C80" s="46">
        <v>324.89999999999998</v>
      </c>
      <c r="D80" s="49">
        <v>-1.4999999999999999E-2</v>
      </c>
      <c r="E80" s="13"/>
      <c r="F80" s="13"/>
      <c r="G80" s="13"/>
      <c r="H80" s="47">
        <v>45608</v>
      </c>
      <c r="I80" s="48">
        <v>24641.8</v>
      </c>
      <c r="J80" s="49">
        <v>1.2999999999999999E-3</v>
      </c>
      <c r="K80" s="13"/>
      <c r="L80" s="13"/>
      <c r="M80" s="13"/>
      <c r="N80" s="13"/>
      <c r="O80" s="13"/>
      <c r="P80" s="13"/>
      <c r="Q80" s="13"/>
      <c r="R80" s="13"/>
      <c r="S80" s="13"/>
      <c r="T80" s="13"/>
      <c r="U80" s="13"/>
      <c r="Y80" s="46" t="s">
        <v>376</v>
      </c>
      <c r="Z80" s="46">
        <v>258.38</v>
      </c>
      <c r="AA80" s="49">
        <v>-8.3000000000000004E-2</v>
      </c>
      <c r="AB80" s="13"/>
      <c r="AC80" s="13"/>
      <c r="AD80" s="13"/>
      <c r="AE80" s="46" t="s">
        <v>376</v>
      </c>
      <c r="AF80" s="48">
        <v>19047.25</v>
      </c>
      <c r="AG80" s="49">
        <v>-2.53E-2</v>
      </c>
      <c r="AH80" s="13"/>
      <c r="AI80" s="13"/>
      <c r="AJ80" s="13"/>
      <c r="AK80" s="13"/>
      <c r="AL80" s="13"/>
      <c r="AM80" s="13"/>
      <c r="AN80" s="13"/>
      <c r="AO80" s="13"/>
      <c r="AP80" s="13"/>
      <c r="AQ80" s="13"/>
      <c r="AR80" s="13"/>
      <c r="AS80" s="13"/>
    </row>
    <row r="81" spans="1:45">
      <c r="A81" s="13"/>
      <c r="B81" s="47">
        <v>45577</v>
      </c>
      <c r="C81" s="46">
        <v>329.85</v>
      </c>
      <c r="D81" s="49">
        <v>-3.0599999999999999E-2</v>
      </c>
      <c r="E81" s="13"/>
      <c r="F81" s="13"/>
      <c r="G81" s="13"/>
      <c r="H81" s="47">
        <v>45577</v>
      </c>
      <c r="I81" s="48">
        <v>24610.05</v>
      </c>
      <c r="J81" s="49">
        <v>-4.0000000000000002E-4</v>
      </c>
      <c r="K81" s="13"/>
      <c r="L81" s="13"/>
      <c r="M81" s="13"/>
      <c r="N81" s="13"/>
      <c r="O81" s="13"/>
      <c r="P81" s="13"/>
      <c r="Q81" s="13"/>
      <c r="R81" s="13"/>
      <c r="S81" s="13"/>
      <c r="T81" s="13"/>
      <c r="U81" s="13"/>
      <c r="Y81" s="46" t="s">
        <v>378</v>
      </c>
      <c r="Z81" s="46">
        <v>281.77</v>
      </c>
      <c r="AA81" s="49">
        <v>-1.5800000000000002E-2</v>
      </c>
      <c r="AB81" s="13"/>
      <c r="AC81" s="13"/>
      <c r="AD81" s="13"/>
      <c r="AE81" s="46" t="s">
        <v>378</v>
      </c>
      <c r="AF81" s="48">
        <v>19542.650000000001</v>
      </c>
      <c r="AG81" s="49">
        <v>-1.06E-2</v>
      </c>
      <c r="AH81" s="13"/>
      <c r="AI81" s="13"/>
      <c r="AJ81" s="13"/>
      <c r="AK81" s="13"/>
      <c r="AL81" s="13"/>
      <c r="AM81" s="13"/>
      <c r="AN81" s="13"/>
      <c r="AO81" s="13"/>
      <c r="AP81" s="13"/>
      <c r="AQ81" s="13"/>
      <c r="AR81" s="13"/>
      <c r="AS81" s="13"/>
    </row>
    <row r="82" spans="1:45">
      <c r="A82" s="13"/>
      <c r="B82" s="47">
        <v>45547</v>
      </c>
      <c r="C82" s="46">
        <v>340.25</v>
      </c>
      <c r="D82" s="49">
        <v>-2.7900000000000001E-2</v>
      </c>
      <c r="E82" s="13"/>
      <c r="F82" s="13"/>
      <c r="G82" s="13"/>
      <c r="H82" s="47">
        <v>45547</v>
      </c>
      <c r="I82" s="48">
        <v>24619</v>
      </c>
      <c r="J82" s="49">
        <v>-2.3999999999999998E-3</v>
      </c>
      <c r="K82" s="13"/>
      <c r="L82" s="13"/>
      <c r="M82" s="13"/>
      <c r="N82" s="13"/>
      <c r="O82" s="13"/>
      <c r="P82" s="13"/>
      <c r="Q82" s="13"/>
      <c r="R82" s="13"/>
      <c r="S82" s="13"/>
      <c r="T82" s="13"/>
      <c r="U82" s="13"/>
      <c r="Y82" s="47">
        <v>45148</v>
      </c>
      <c r="Z82" s="46">
        <v>286.3</v>
      </c>
      <c r="AA82" s="49">
        <v>1.5E-3</v>
      </c>
      <c r="AB82" s="13"/>
      <c r="AC82" s="13"/>
      <c r="AD82" s="13"/>
      <c r="AE82" s="47">
        <v>45148</v>
      </c>
      <c r="AF82" s="48">
        <v>19751.05</v>
      </c>
      <c r="AG82" s="49">
        <v>5.0000000000000001E-3</v>
      </c>
      <c r="AH82" s="13"/>
      <c r="AI82" s="13"/>
      <c r="AJ82" s="13"/>
      <c r="AK82" s="13"/>
      <c r="AL82" s="13"/>
      <c r="AM82" s="13"/>
      <c r="AN82" s="13"/>
      <c r="AO82" s="13"/>
      <c r="AP82" s="13"/>
      <c r="AQ82" s="13"/>
      <c r="AR82" s="13"/>
      <c r="AS82" s="13"/>
    </row>
    <row r="83" spans="1:45">
      <c r="A83" s="13"/>
      <c r="B83" s="47">
        <v>45455</v>
      </c>
      <c r="C83" s="46">
        <v>350</v>
      </c>
      <c r="D83" s="49">
        <v>2.1299999999999999E-2</v>
      </c>
      <c r="E83" s="13"/>
      <c r="F83" s="13"/>
      <c r="G83" s="13"/>
      <c r="H83" s="47">
        <v>45455</v>
      </c>
      <c r="I83" s="48">
        <v>24677.8</v>
      </c>
      <c r="J83" s="49">
        <v>-1.1999999999999999E-3</v>
      </c>
      <c r="K83" s="13"/>
      <c r="L83" s="13"/>
      <c r="M83" s="13"/>
      <c r="N83" s="13"/>
      <c r="O83" s="13"/>
      <c r="P83" s="13"/>
      <c r="Q83" s="13"/>
      <c r="R83" s="13"/>
      <c r="S83" s="13"/>
      <c r="T83" s="13"/>
      <c r="U83" s="13"/>
      <c r="Y83" s="47">
        <v>44936</v>
      </c>
      <c r="Z83" s="46">
        <v>285.87</v>
      </c>
      <c r="AA83" s="49">
        <v>-1.6299999999999999E-2</v>
      </c>
      <c r="AB83" s="13"/>
      <c r="AC83" s="13"/>
      <c r="AD83" s="13"/>
      <c r="AE83" s="47">
        <v>44936</v>
      </c>
      <c r="AF83" s="48">
        <v>19653.5</v>
      </c>
      <c r="AG83" s="49">
        <v>8.0000000000000004E-4</v>
      </c>
      <c r="AH83" s="13"/>
      <c r="AI83" s="13"/>
      <c r="AJ83" s="13"/>
      <c r="AK83" s="13"/>
      <c r="AL83" s="13"/>
      <c r="AM83" s="13"/>
      <c r="AN83" s="13"/>
      <c r="AO83" s="13"/>
      <c r="AP83" s="13"/>
      <c r="AQ83" s="13"/>
      <c r="AR83" s="13"/>
      <c r="AS83" s="13"/>
    </row>
    <row r="84" spans="1:45">
      <c r="A84" s="13"/>
      <c r="B84" s="47">
        <v>45424</v>
      </c>
      <c r="C84" s="46">
        <v>342.7</v>
      </c>
      <c r="D84" s="49">
        <v>3.2000000000000002E-3</v>
      </c>
      <c r="E84" s="13"/>
      <c r="F84" s="13"/>
      <c r="G84" s="13"/>
      <c r="H84" s="47">
        <v>45424</v>
      </c>
      <c r="I84" s="48">
        <v>24708.400000000001</v>
      </c>
      <c r="J84" s="49">
        <v>9.7999999999999997E-3</v>
      </c>
      <c r="K84" s="13"/>
      <c r="L84" s="13"/>
      <c r="M84" s="13"/>
      <c r="N84" s="13"/>
      <c r="O84" s="13"/>
      <c r="P84" s="13"/>
      <c r="Q84" s="13"/>
      <c r="R84" s="13"/>
      <c r="S84" s="13"/>
      <c r="T84" s="13"/>
      <c r="U84" s="13"/>
      <c r="Y84" s="46" t="s">
        <v>382</v>
      </c>
      <c r="Z84" s="46">
        <v>290.62</v>
      </c>
      <c r="AA84" s="49">
        <v>-2.1399999999999999E-2</v>
      </c>
      <c r="AB84" s="13"/>
      <c r="AC84" s="13"/>
      <c r="AD84" s="13"/>
      <c r="AE84" s="46" t="s">
        <v>382</v>
      </c>
      <c r="AF84" s="48">
        <v>19638.3</v>
      </c>
      <c r="AG84" s="49">
        <v>-1.8E-3</v>
      </c>
      <c r="AH84" s="13"/>
      <c r="AI84" s="13"/>
      <c r="AJ84" s="13"/>
      <c r="AK84" s="13"/>
      <c r="AL84" s="13"/>
      <c r="AM84" s="13"/>
      <c r="AN84" s="13"/>
      <c r="AO84" s="13"/>
      <c r="AP84" s="13"/>
      <c r="AQ84" s="13"/>
      <c r="AR84" s="13"/>
      <c r="AS84" s="13"/>
    </row>
    <row r="85" spans="1:45">
      <c r="A85" s="13"/>
      <c r="B85" s="47">
        <v>45394</v>
      </c>
      <c r="C85" s="46">
        <v>341.6</v>
      </c>
      <c r="D85" s="49">
        <v>1.11E-2</v>
      </c>
      <c r="E85" s="13"/>
      <c r="F85" s="13"/>
      <c r="G85" s="13"/>
      <c r="H85" s="47">
        <v>45394</v>
      </c>
      <c r="I85" s="48">
        <v>24467.45</v>
      </c>
      <c r="J85" s="49">
        <v>4.0000000000000002E-4</v>
      </c>
      <c r="K85" s="13"/>
      <c r="L85" s="13"/>
      <c r="M85" s="13"/>
      <c r="N85" s="13"/>
      <c r="O85" s="13"/>
      <c r="P85" s="13"/>
      <c r="Q85" s="13"/>
      <c r="R85" s="13"/>
      <c r="S85" s="13"/>
      <c r="T85" s="13"/>
      <c r="U85" s="13"/>
      <c r="Y85" s="46" t="s">
        <v>384</v>
      </c>
      <c r="Z85" s="46">
        <v>296.99</v>
      </c>
      <c r="AA85" s="49">
        <v>8.6E-3</v>
      </c>
      <c r="AB85" s="13"/>
      <c r="AC85" s="13"/>
      <c r="AD85" s="13"/>
      <c r="AE85" s="46" t="s">
        <v>384</v>
      </c>
      <c r="AF85" s="48">
        <v>19674.25</v>
      </c>
      <c r="AG85" s="49">
        <v>-2.5700000000000001E-2</v>
      </c>
      <c r="AH85" s="13"/>
      <c r="AI85" s="13"/>
      <c r="AJ85" s="13"/>
      <c r="AK85" s="13"/>
      <c r="AL85" s="13"/>
      <c r="AM85" s="13"/>
      <c r="AN85" s="13"/>
      <c r="AO85" s="13"/>
      <c r="AP85" s="13"/>
      <c r="AQ85" s="13"/>
      <c r="AR85" s="13"/>
      <c r="AS85" s="13"/>
    </row>
    <row r="86" spans="1:45">
      <c r="A86" s="13"/>
      <c r="B86" s="47">
        <v>45363</v>
      </c>
      <c r="C86" s="46">
        <v>337.85</v>
      </c>
      <c r="D86" s="49">
        <v>3.9100000000000003E-2</v>
      </c>
      <c r="E86" s="13"/>
      <c r="F86" s="13"/>
      <c r="G86" s="13"/>
      <c r="H86" s="47">
        <v>45363</v>
      </c>
      <c r="I86" s="48">
        <v>24457.15</v>
      </c>
      <c r="J86" s="49">
        <v>7.4999999999999997E-3</v>
      </c>
      <c r="K86" s="13"/>
      <c r="L86" s="13"/>
      <c r="M86" s="13"/>
      <c r="N86" s="13"/>
      <c r="O86" s="13"/>
      <c r="P86" s="13"/>
      <c r="Q86" s="13"/>
      <c r="R86" s="13"/>
      <c r="S86" s="13"/>
      <c r="T86" s="13"/>
      <c r="U86" s="13"/>
      <c r="Y86" s="47">
        <v>45208</v>
      </c>
      <c r="Z86" s="46">
        <v>294.45999999999998</v>
      </c>
      <c r="AA86" s="49">
        <v>-2.87E-2</v>
      </c>
      <c r="AB86" s="13"/>
      <c r="AC86" s="13"/>
      <c r="AD86" s="13"/>
      <c r="AE86" s="47">
        <v>45208</v>
      </c>
      <c r="AF86" s="48">
        <v>20192.349999999999</v>
      </c>
      <c r="AG86" s="49">
        <v>1.8800000000000001E-2</v>
      </c>
      <c r="AH86" s="13"/>
      <c r="AI86" s="13"/>
      <c r="AJ86" s="13"/>
      <c r="AK86" s="13"/>
      <c r="AL86" s="13"/>
      <c r="AM86" s="13"/>
      <c r="AN86" s="13"/>
      <c r="AO86" s="13"/>
      <c r="AP86" s="13"/>
      <c r="AQ86" s="13"/>
      <c r="AR86" s="13"/>
      <c r="AS86" s="13"/>
    </row>
    <row r="87" spans="1:45">
      <c r="A87" s="13"/>
      <c r="B87" s="47">
        <v>45334</v>
      </c>
      <c r="C87" s="46">
        <v>325.14999999999998</v>
      </c>
      <c r="D87" s="49">
        <v>-3.8E-3</v>
      </c>
      <c r="E87" s="13"/>
      <c r="F87" s="13"/>
      <c r="G87" s="13"/>
      <c r="H87" s="47">
        <v>45334</v>
      </c>
      <c r="I87" s="48">
        <v>24276.05</v>
      </c>
      <c r="J87" s="49">
        <v>6.0000000000000001E-3</v>
      </c>
      <c r="K87" s="13"/>
      <c r="L87" s="13"/>
      <c r="M87" s="13"/>
      <c r="N87" s="13"/>
      <c r="O87" s="13"/>
      <c r="P87" s="13"/>
      <c r="Q87" s="13"/>
      <c r="R87" s="13"/>
      <c r="S87" s="13"/>
      <c r="T87" s="13"/>
      <c r="U87" s="13"/>
      <c r="Y87" s="47">
        <v>44994</v>
      </c>
      <c r="Z87" s="46">
        <v>303.14999999999998</v>
      </c>
      <c r="AA87" s="49">
        <v>7.9600000000000004E-2</v>
      </c>
      <c r="AB87" s="13"/>
      <c r="AC87" s="13"/>
      <c r="AD87" s="13"/>
      <c r="AE87" s="47">
        <v>44994</v>
      </c>
      <c r="AF87" s="48">
        <v>19819.95</v>
      </c>
      <c r="AG87" s="49">
        <v>1.9800000000000002E-2</v>
      </c>
      <c r="AH87" s="13"/>
      <c r="AI87" s="13"/>
      <c r="AJ87" s="13"/>
      <c r="AK87" s="13"/>
      <c r="AL87" s="13"/>
      <c r="AM87" s="13"/>
      <c r="AN87" s="13"/>
      <c r="AO87" s="13"/>
      <c r="AP87" s="13"/>
      <c r="AQ87" s="13"/>
      <c r="AR87" s="13"/>
      <c r="AS87" s="13"/>
    </row>
    <row r="88" spans="1:45">
      <c r="A88" s="13"/>
      <c r="B88" s="46" t="s">
        <v>245</v>
      </c>
      <c r="C88" s="46">
        <v>326.39999999999998</v>
      </c>
      <c r="D88" s="49">
        <v>6.6E-3</v>
      </c>
      <c r="E88" s="13"/>
      <c r="F88" s="13"/>
      <c r="G88" s="13"/>
      <c r="H88" s="46" t="s">
        <v>245</v>
      </c>
      <c r="I88" s="48">
        <v>24131.1</v>
      </c>
      <c r="J88" s="49">
        <v>9.1000000000000004E-3</v>
      </c>
      <c r="K88" s="13"/>
      <c r="L88" s="13"/>
      <c r="M88" s="13"/>
      <c r="N88" s="13"/>
      <c r="O88" s="13"/>
      <c r="P88" s="13"/>
      <c r="Q88" s="13"/>
      <c r="R88" s="13"/>
      <c r="S88" s="13"/>
      <c r="T88" s="13"/>
      <c r="U88" s="13"/>
      <c r="Y88" s="46" t="s">
        <v>388</v>
      </c>
      <c r="Z88" s="46">
        <v>280.79000000000002</v>
      </c>
      <c r="AA88" s="49">
        <v>2.1499999999999998E-2</v>
      </c>
      <c r="AB88" s="13"/>
      <c r="AC88" s="13"/>
      <c r="AD88" s="13"/>
      <c r="AE88" s="46" t="s">
        <v>388</v>
      </c>
      <c r="AF88" s="48">
        <v>19435.3</v>
      </c>
      <c r="AG88" s="49">
        <v>8.8000000000000005E-3</v>
      </c>
      <c r="AH88" s="13"/>
      <c r="AI88" s="13"/>
      <c r="AJ88" s="13"/>
      <c r="AK88" s="13"/>
      <c r="AL88" s="13"/>
      <c r="AM88" s="13"/>
      <c r="AN88" s="13"/>
      <c r="AO88" s="13"/>
      <c r="AP88" s="13"/>
      <c r="AQ88" s="13"/>
      <c r="AR88" s="13"/>
      <c r="AS88" s="13"/>
    </row>
    <row r="89" spans="1:45">
      <c r="A89" s="13"/>
      <c r="B89" s="46" t="s">
        <v>246</v>
      </c>
      <c r="C89" s="46">
        <v>324.25</v>
      </c>
      <c r="D89" s="49">
        <v>-8.0000000000000004E-4</v>
      </c>
      <c r="E89" s="13"/>
      <c r="F89" s="13"/>
      <c r="G89" s="13"/>
      <c r="H89" s="46" t="s">
        <v>246</v>
      </c>
      <c r="I89" s="48">
        <v>23914.15</v>
      </c>
      <c r="J89" s="49">
        <v>-1.49E-2</v>
      </c>
      <c r="K89" s="13"/>
      <c r="L89" s="13"/>
      <c r="M89" s="13"/>
      <c r="N89" s="13"/>
      <c r="O89" s="13"/>
      <c r="P89" s="13"/>
      <c r="Q89" s="13"/>
      <c r="R89" s="13"/>
      <c r="S89" s="13"/>
      <c r="T89" s="13"/>
      <c r="U89" s="13"/>
      <c r="Y89" s="46" t="s">
        <v>389</v>
      </c>
      <c r="Z89" s="46">
        <v>274.87</v>
      </c>
      <c r="AA89" s="49">
        <v>3.2800000000000003E-2</v>
      </c>
      <c r="AB89" s="13"/>
      <c r="AC89" s="13"/>
      <c r="AD89" s="13"/>
      <c r="AE89" s="46" t="s">
        <v>389</v>
      </c>
      <c r="AF89" s="48">
        <v>19265.8</v>
      </c>
      <c r="AG89" s="49">
        <v>-2.3E-3</v>
      </c>
      <c r="AH89" s="13"/>
      <c r="AI89" s="13"/>
      <c r="AJ89" s="13"/>
      <c r="AK89" s="13"/>
      <c r="AL89" s="13"/>
      <c r="AM89" s="13"/>
      <c r="AN89" s="13"/>
      <c r="AO89" s="13"/>
      <c r="AP89" s="13"/>
      <c r="AQ89" s="13"/>
      <c r="AR89" s="13"/>
      <c r="AS89" s="13"/>
    </row>
    <row r="90" spans="1:45">
      <c r="A90" s="13"/>
      <c r="B90" s="46" t="s">
        <v>247</v>
      </c>
      <c r="C90" s="46">
        <v>324.5</v>
      </c>
      <c r="D90" s="49">
        <v>2.3699999999999999E-2</v>
      </c>
      <c r="E90" s="13"/>
      <c r="F90" s="13"/>
      <c r="G90" s="13"/>
      <c r="H90" s="46" t="s">
        <v>247</v>
      </c>
      <c r="I90" s="48">
        <v>24274.9</v>
      </c>
      <c r="J90" s="49">
        <v>3.3E-3</v>
      </c>
      <c r="K90" s="13"/>
      <c r="L90" s="13"/>
      <c r="M90" s="13"/>
      <c r="N90" s="13"/>
      <c r="O90" s="13"/>
      <c r="P90" s="13"/>
      <c r="Q90" s="13"/>
      <c r="R90" s="13"/>
      <c r="S90" s="13"/>
      <c r="T90" s="13"/>
      <c r="U90" s="13"/>
      <c r="Y90" s="46" t="s">
        <v>390</v>
      </c>
      <c r="Z90" s="46">
        <v>266.14</v>
      </c>
      <c r="AA90" s="49">
        <v>-2.3599999999999999E-2</v>
      </c>
      <c r="AB90" s="13"/>
      <c r="AC90" s="13"/>
      <c r="AD90" s="13"/>
      <c r="AE90" s="46" t="s">
        <v>390</v>
      </c>
      <c r="AF90" s="48">
        <v>19310.150000000001</v>
      </c>
      <c r="AG90" s="49">
        <v>-6.1000000000000004E-3</v>
      </c>
      <c r="AH90" s="13"/>
      <c r="AI90" s="13"/>
      <c r="AJ90" s="13"/>
      <c r="AK90" s="13"/>
      <c r="AL90" s="13"/>
      <c r="AM90" s="13"/>
      <c r="AN90" s="13"/>
      <c r="AO90" s="13"/>
      <c r="AP90" s="13"/>
      <c r="AQ90" s="13"/>
      <c r="AR90" s="13"/>
      <c r="AS90" s="13"/>
    </row>
    <row r="91" spans="1:45">
      <c r="A91" s="13"/>
      <c r="B91" s="46" t="s">
        <v>248</v>
      </c>
      <c r="C91" s="46">
        <v>317</v>
      </c>
      <c r="D91" s="49">
        <v>2.0899999999999998E-2</v>
      </c>
      <c r="E91" s="13"/>
      <c r="F91" s="13"/>
      <c r="G91" s="13"/>
      <c r="H91" s="46" t="s">
        <v>248</v>
      </c>
      <c r="I91" s="48">
        <v>24194.5</v>
      </c>
      <c r="J91" s="49">
        <v>-1.1000000000000001E-3</v>
      </c>
      <c r="K91" s="13"/>
      <c r="L91" s="13"/>
      <c r="M91" s="13"/>
      <c r="N91" s="13"/>
      <c r="O91" s="13"/>
      <c r="P91" s="13"/>
      <c r="Q91" s="13"/>
      <c r="R91" s="13"/>
      <c r="S91" s="13"/>
      <c r="T91" s="13"/>
      <c r="U91" s="13"/>
      <c r="Y91" s="47">
        <v>45085</v>
      </c>
      <c r="Z91" s="46">
        <v>272.57</v>
      </c>
      <c r="AA91" s="49">
        <v>1E-3</v>
      </c>
      <c r="AB91" s="13"/>
      <c r="AC91" s="13"/>
      <c r="AD91" s="13"/>
      <c r="AE91" s="47">
        <v>45085</v>
      </c>
      <c r="AF91" s="48">
        <v>19428.3</v>
      </c>
      <c r="AG91" s="49">
        <v>-4.4999999999999997E-3</v>
      </c>
      <c r="AH91" s="13"/>
      <c r="AI91" s="13"/>
      <c r="AJ91" s="13"/>
      <c r="AK91" s="13"/>
      <c r="AL91" s="13"/>
      <c r="AM91" s="13"/>
      <c r="AN91" s="13"/>
      <c r="AO91" s="13"/>
      <c r="AP91" s="13"/>
      <c r="AQ91" s="13"/>
      <c r="AR91" s="13"/>
      <c r="AS91" s="13"/>
    </row>
    <row r="92" spans="1:45">
      <c r="A92" s="13"/>
      <c r="B92" s="46" t="s">
        <v>249</v>
      </c>
      <c r="C92" s="46">
        <v>310.5</v>
      </c>
      <c r="D92" s="49">
        <v>3.2800000000000003E-2</v>
      </c>
      <c r="E92" s="13"/>
      <c r="F92" s="13"/>
      <c r="G92" s="13"/>
      <c r="H92" s="46" t="s">
        <v>249</v>
      </c>
      <c r="I92" s="48">
        <v>24221.9</v>
      </c>
      <c r="J92" s="49">
        <v>1.32E-2</v>
      </c>
      <c r="K92" s="13"/>
      <c r="L92" s="13"/>
      <c r="M92" s="13"/>
      <c r="N92" s="13"/>
      <c r="O92" s="13"/>
      <c r="P92" s="13"/>
      <c r="Q92" s="13"/>
      <c r="R92" s="13"/>
      <c r="S92" s="13"/>
      <c r="T92" s="13"/>
      <c r="U92" s="13"/>
      <c r="Y92" s="46" t="s">
        <v>391</v>
      </c>
      <c r="Z92" s="46">
        <v>272.3</v>
      </c>
      <c r="AA92" s="49">
        <v>-1.95E-2</v>
      </c>
      <c r="AB92" s="13"/>
      <c r="AC92" s="13"/>
      <c r="AD92" s="13"/>
      <c r="AE92" s="46" t="s">
        <v>391</v>
      </c>
      <c r="AF92" s="48">
        <v>19517</v>
      </c>
      <c r="AG92" s="49">
        <v>-6.6E-3</v>
      </c>
      <c r="AH92" s="13"/>
      <c r="AI92" s="13"/>
      <c r="AJ92" s="13"/>
      <c r="AK92" s="13"/>
      <c r="AL92" s="13"/>
      <c r="AM92" s="13"/>
      <c r="AN92" s="13"/>
      <c r="AO92" s="13"/>
      <c r="AP92" s="13"/>
      <c r="AQ92" s="13"/>
      <c r="AR92" s="13"/>
      <c r="AS92" s="13"/>
    </row>
    <row r="93" spans="1:45">
      <c r="A93" s="13"/>
      <c r="B93" s="46" t="s">
        <v>250</v>
      </c>
      <c r="C93" s="46">
        <v>300.64999999999998</v>
      </c>
      <c r="D93" s="49">
        <v>0</v>
      </c>
      <c r="E93" s="13"/>
      <c r="F93" s="13"/>
      <c r="G93" s="13"/>
      <c r="H93" s="46" t="s">
        <v>250</v>
      </c>
      <c r="I93" s="48">
        <v>23907.25</v>
      </c>
      <c r="J93" s="49">
        <v>2.3900000000000001E-2</v>
      </c>
      <c r="K93" s="13"/>
      <c r="L93" s="13"/>
      <c r="M93" s="13"/>
      <c r="N93" s="13"/>
      <c r="O93" s="13"/>
      <c r="P93" s="13"/>
      <c r="Q93" s="13"/>
      <c r="R93" s="13"/>
      <c r="S93" s="13"/>
      <c r="T93" s="13"/>
      <c r="U93" s="13"/>
      <c r="Y93" s="46" t="s">
        <v>392</v>
      </c>
      <c r="Z93" s="46">
        <v>277.70999999999998</v>
      </c>
      <c r="AA93" s="49">
        <v>-2.35E-2</v>
      </c>
      <c r="AB93" s="13"/>
      <c r="AC93" s="13"/>
      <c r="AD93" s="13"/>
      <c r="AE93" s="46" t="s">
        <v>392</v>
      </c>
      <c r="AF93" s="48">
        <v>19646.05</v>
      </c>
      <c r="AG93" s="49">
        <v>-5.0000000000000001E-3</v>
      </c>
      <c r="AH93" s="13"/>
      <c r="AI93" s="13"/>
      <c r="AJ93" s="13"/>
      <c r="AK93" s="13"/>
      <c r="AL93" s="13"/>
      <c r="AM93" s="13"/>
      <c r="AN93" s="13"/>
      <c r="AO93" s="13"/>
      <c r="AP93" s="13"/>
      <c r="AQ93" s="13"/>
      <c r="AR93" s="13"/>
      <c r="AS93" s="13"/>
    </row>
    <row r="94" spans="1:45">
      <c r="A94" s="13"/>
      <c r="B94" s="46" t="s">
        <v>251</v>
      </c>
      <c r="C94" s="46">
        <v>300.64999999999998</v>
      </c>
      <c r="D94" s="49">
        <v>-2.0500000000000001E-2</v>
      </c>
      <c r="E94" s="13"/>
      <c r="F94" s="13"/>
      <c r="G94" s="13"/>
      <c r="H94" s="46" t="s">
        <v>251</v>
      </c>
      <c r="I94" s="48">
        <v>23349.9</v>
      </c>
      <c r="J94" s="49">
        <v>-7.1999999999999998E-3</v>
      </c>
      <c r="K94" s="13"/>
      <c r="L94" s="13"/>
      <c r="M94" s="13"/>
      <c r="N94" s="13"/>
      <c r="O94" s="13"/>
      <c r="P94" s="13"/>
      <c r="Q94" s="13"/>
      <c r="R94" s="13"/>
      <c r="S94" s="13"/>
      <c r="T94" s="13"/>
      <c r="U94" s="13"/>
      <c r="Y94" s="46" t="s">
        <v>393</v>
      </c>
      <c r="Z94" s="46">
        <v>284.39999999999998</v>
      </c>
      <c r="AA94" s="49">
        <v>1.15E-2</v>
      </c>
      <c r="AB94" s="13"/>
      <c r="AC94" s="13"/>
      <c r="AD94" s="13"/>
      <c r="AE94" s="46" t="s">
        <v>393</v>
      </c>
      <c r="AF94" s="48">
        <v>19745</v>
      </c>
      <c r="AG94" s="49">
        <v>9.1999999999999998E-3</v>
      </c>
      <c r="AH94" s="13"/>
      <c r="AI94" s="13"/>
      <c r="AJ94" s="13"/>
      <c r="AK94" s="13"/>
      <c r="AL94" s="13"/>
      <c r="AM94" s="13"/>
      <c r="AN94" s="13"/>
      <c r="AO94" s="13"/>
      <c r="AP94" s="13"/>
      <c r="AQ94" s="13"/>
      <c r="AR94" s="13"/>
      <c r="AS94" s="13"/>
    </row>
    <row r="95" spans="1:45">
      <c r="A95" s="13"/>
      <c r="B95" s="46" t="s">
        <v>252</v>
      </c>
      <c r="C95" s="46">
        <v>306.95</v>
      </c>
      <c r="D95" s="49">
        <v>5.8999999999999999E-3</v>
      </c>
      <c r="E95" s="13"/>
      <c r="F95" s="13"/>
      <c r="G95" s="13"/>
      <c r="H95" s="46" t="s">
        <v>252</v>
      </c>
      <c r="I95" s="48">
        <v>23518.5</v>
      </c>
      <c r="J95" s="49">
        <v>2.8E-3</v>
      </c>
      <c r="K95" s="13"/>
      <c r="L95" s="13"/>
      <c r="M95" s="13"/>
      <c r="N95" s="13"/>
      <c r="O95" s="13"/>
      <c r="P95" s="13"/>
      <c r="Q95" s="13"/>
      <c r="R95" s="13"/>
      <c r="S95" s="13"/>
      <c r="T95" s="13"/>
      <c r="U95" s="13"/>
      <c r="Y95" s="47">
        <v>45176</v>
      </c>
      <c r="Z95" s="46">
        <v>281.16000000000003</v>
      </c>
      <c r="AA95" s="49">
        <v>1.04E-2</v>
      </c>
      <c r="AB95" s="13"/>
      <c r="AC95" s="13"/>
      <c r="AD95" s="13"/>
      <c r="AE95" s="47">
        <v>45176</v>
      </c>
      <c r="AF95" s="48">
        <v>19564.5</v>
      </c>
      <c r="AG95" s="49">
        <v>1.2E-2</v>
      </c>
      <c r="AH95" s="13"/>
      <c r="AI95" s="13"/>
      <c r="AJ95" s="13"/>
      <c r="AK95" s="13"/>
      <c r="AL95" s="13"/>
      <c r="AM95" s="13"/>
      <c r="AN95" s="13"/>
      <c r="AO95" s="13"/>
      <c r="AP95" s="13"/>
      <c r="AQ95" s="13"/>
      <c r="AR95" s="13"/>
      <c r="AS95" s="13"/>
    </row>
    <row r="96" spans="1:45">
      <c r="A96" s="13"/>
      <c r="B96" s="46" t="s">
        <v>253</v>
      </c>
      <c r="C96" s="46">
        <v>305.14999999999998</v>
      </c>
      <c r="D96" s="49">
        <v>-5.4000000000000003E-3</v>
      </c>
      <c r="E96" s="13"/>
      <c r="F96" s="13"/>
      <c r="G96" s="13"/>
      <c r="H96" s="46" t="s">
        <v>253</v>
      </c>
      <c r="I96" s="48">
        <v>23453.8</v>
      </c>
      <c r="J96" s="49">
        <v>-3.3999999999999998E-3</v>
      </c>
      <c r="K96" s="13"/>
      <c r="L96" s="13"/>
      <c r="M96" s="13"/>
      <c r="N96" s="13"/>
      <c r="O96" s="13"/>
      <c r="P96" s="13"/>
      <c r="Q96" s="13"/>
      <c r="R96" s="13"/>
      <c r="S96" s="13"/>
      <c r="T96" s="13"/>
      <c r="U96" s="13"/>
      <c r="Y96" s="47">
        <v>44964</v>
      </c>
      <c r="Z96" s="46">
        <v>278.26</v>
      </c>
      <c r="AA96" s="49">
        <v>1.23E-2</v>
      </c>
      <c r="AB96" s="13"/>
      <c r="AC96" s="13"/>
      <c r="AD96" s="13"/>
      <c r="AE96" s="47">
        <v>44964</v>
      </c>
      <c r="AF96" s="48">
        <v>19331.8</v>
      </c>
      <c r="AG96" s="49">
        <v>7.4000000000000003E-3</v>
      </c>
      <c r="AH96" s="13"/>
      <c r="AI96" s="13"/>
      <c r="AJ96" s="13"/>
      <c r="AK96" s="13"/>
      <c r="AL96" s="13"/>
      <c r="AM96" s="13"/>
      <c r="AN96" s="13"/>
      <c r="AO96" s="13"/>
      <c r="AP96" s="13"/>
      <c r="AQ96" s="13"/>
      <c r="AR96" s="13"/>
      <c r="AS96" s="13"/>
    </row>
    <row r="97" spans="1:45">
      <c r="A97" s="13"/>
      <c r="B97" s="46" t="s">
        <v>254</v>
      </c>
      <c r="C97" s="46">
        <v>306.8</v>
      </c>
      <c r="D97" s="49">
        <v>-7.4000000000000003E-3</v>
      </c>
      <c r="E97" s="13"/>
      <c r="F97" s="13"/>
      <c r="G97" s="13"/>
      <c r="H97" s="46" t="s">
        <v>254</v>
      </c>
      <c r="I97" s="48">
        <v>23532.7</v>
      </c>
      <c r="J97" s="49">
        <v>-1.1000000000000001E-3</v>
      </c>
      <c r="K97" s="13"/>
      <c r="L97" s="13"/>
      <c r="M97" s="13"/>
      <c r="N97" s="13"/>
      <c r="O97" s="13"/>
      <c r="P97" s="13"/>
      <c r="Q97" s="13"/>
      <c r="R97" s="13"/>
      <c r="S97" s="13"/>
      <c r="T97" s="13"/>
      <c r="U97" s="13"/>
      <c r="Y97" s="46" t="s">
        <v>395</v>
      </c>
      <c r="Z97" s="46">
        <v>274.88</v>
      </c>
      <c r="AA97" s="49">
        <v>1.3899999999999999E-2</v>
      </c>
      <c r="AB97" s="13"/>
      <c r="AC97" s="13"/>
      <c r="AD97" s="13"/>
      <c r="AE97" s="46" t="s">
        <v>395</v>
      </c>
      <c r="AF97" s="48">
        <v>19189.05</v>
      </c>
      <c r="AG97" s="49">
        <v>2.8000000000000001E-2</v>
      </c>
      <c r="AH97" s="13"/>
      <c r="AI97" s="13"/>
      <c r="AJ97" s="13"/>
      <c r="AK97" s="13"/>
      <c r="AL97" s="13"/>
      <c r="AM97" s="13"/>
      <c r="AN97" s="13"/>
      <c r="AO97" s="13"/>
      <c r="AP97" s="13"/>
      <c r="AQ97" s="13"/>
      <c r="AR97" s="13"/>
      <c r="AS97" s="13"/>
    </row>
    <row r="98" spans="1:45">
      <c r="A98" s="13"/>
      <c r="B98" s="46" t="s">
        <v>255</v>
      </c>
      <c r="C98" s="46">
        <v>309.10000000000002</v>
      </c>
      <c r="D98" s="49">
        <v>-2.1100000000000001E-2</v>
      </c>
      <c r="E98" s="13"/>
      <c r="F98" s="13"/>
      <c r="G98" s="13"/>
      <c r="H98" s="46" t="s">
        <v>255</v>
      </c>
      <c r="I98" s="48">
        <v>23559.05</v>
      </c>
      <c r="J98" s="49">
        <v>-1.3599999999999999E-2</v>
      </c>
      <c r="K98" s="13"/>
      <c r="L98" s="13"/>
      <c r="M98" s="13"/>
      <c r="N98" s="13"/>
      <c r="O98" s="13"/>
      <c r="P98" s="13"/>
      <c r="Q98" s="13"/>
      <c r="R98" s="13"/>
      <c r="S98" s="13"/>
      <c r="T98" s="13"/>
      <c r="U98" s="13"/>
      <c r="Y98" s="46" t="s">
        <v>397</v>
      </c>
      <c r="Z98" s="46">
        <v>271.11</v>
      </c>
      <c r="AA98" s="49">
        <v>-3.0099999999999998E-2</v>
      </c>
      <c r="AB98" s="13"/>
      <c r="AC98" s="13"/>
      <c r="AD98" s="13"/>
      <c r="AE98" s="46" t="s">
        <v>397</v>
      </c>
      <c r="AF98" s="48">
        <v>18665.5</v>
      </c>
      <c r="AG98" s="49">
        <v>-8.5000000000000006E-3</v>
      </c>
      <c r="AH98" s="13"/>
      <c r="AI98" s="13"/>
      <c r="AJ98" s="13"/>
      <c r="AK98" s="13"/>
      <c r="AL98" s="13"/>
      <c r="AM98" s="13"/>
      <c r="AN98" s="13"/>
      <c r="AO98" s="13"/>
      <c r="AP98" s="13"/>
      <c r="AQ98" s="13"/>
      <c r="AR98" s="13"/>
      <c r="AS98" s="13"/>
    </row>
    <row r="99" spans="1:45">
      <c r="A99" s="13"/>
      <c r="B99" s="47">
        <v>45637</v>
      </c>
      <c r="C99" s="46">
        <v>315.75</v>
      </c>
      <c r="D99" s="49">
        <v>3.7000000000000002E-3</v>
      </c>
      <c r="E99" s="13"/>
      <c r="F99" s="13"/>
      <c r="G99" s="13"/>
      <c r="H99" s="47">
        <v>45637</v>
      </c>
      <c r="I99" s="48">
        <v>23883.45</v>
      </c>
      <c r="J99" s="49">
        <v>-1.0699999999999999E-2</v>
      </c>
      <c r="K99" s="13"/>
      <c r="L99" s="13"/>
      <c r="M99" s="13"/>
      <c r="N99" s="13"/>
      <c r="O99" s="13"/>
      <c r="P99" s="13"/>
      <c r="Q99" s="13"/>
      <c r="R99" s="13"/>
      <c r="S99" s="13"/>
      <c r="T99" s="13"/>
      <c r="U99" s="13"/>
      <c r="Y99" s="47">
        <v>45236</v>
      </c>
      <c r="Z99" s="46">
        <v>279.52</v>
      </c>
      <c r="AA99" s="49">
        <v>2.1700000000000001E-2</v>
      </c>
      <c r="AB99" s="13"/>
      <c r="AC99" s="13"/>
      <c r="AD99" s="13"/>
      <c r="AE99" s="47">
        <v>45236</v>
      </c>
      <c r="AF99" s="48">
        <v>18826</v>
      </c>
      <c r="AG99" s="49">
        <v>1.41E-2</v>
      </c>
      <c r="AH99" s="13"/>
      <c r="AI99" s="13"/>
      <c r="AJ99" s="13"/>
      <c r="AK99" s="13"/>
      <c r="AL99" s="13"/>
      <c r="AM99" s="13"/>
      <c r="AN99" s="13"/>
      <c r="AO99" s="13"/>
      <c r="AP99" s="13"/>
      <c r="AQ99" s="13"/>
      <c r="AR99" s="13"/>
      <c r="AS99" s="13"/>
    </row>
    <row r="100" spans="1:45">
      <c r="A100" s="13"/>
      <c r="B100" s="47">
        <v>45607</v>
      </c>
      <c r="C100" s="46">
        <v>314.60000000000002</v>
      </c>
      <c r="D100" s="49">
        <v>-1.9599999999999999E-2</v>
      </c>
      <c r="E100" s="13"/>
      <c r="F100" s="13"/>
      <c r="G100" s="13"/>
      <c r="H100" s="47">
        <v>45607</v>
      </c>
      <c r="I100" s="48">
        <v>24141.3</v>
      </c>
      <c r="J100" s="49">
        <v>-2.9999999999999997E-4</v>
      </c>
      <c r="K100" s="13"/>
      <c r="L100" s="13"/>
      <c r="M100" s="13"/>
      <c r="N100" s="13"/>
      <c r="O100" s="13"/>
      <c r="P100" s="13"/>
      <c r="Q100" s="13"/>
      <c r="R100" s="13"/>
      <c r="S100" s="13"/>
      <c r="T100" s="13"/>
      <c r="U100" s="13"/>
      <c r="Y100" s="47">
        <v>45022</v>
      </c>
      <c r="Z100" s="46">
        <v>273.57</v>
      </c>
      <c r="AA100" s="49">
        <v>-4.3400000000000001E-2</v>
      </c>
      <c r="AB100" s="13"/>
      <c r="AC100" s="13"/>
      <c r="AD100" s="13"/>
      <c r="AE100" s="47">
        <v>45022</v>
      </c>
      <c r="AF100" s="48">
        <v>18563.400000000001</v>
      </c>
      <c r="AG100" s="49">
        <v>1.6000000000000001E-3</v>
      </c>
      <c r="AH100" s="13"/>
      <c r="AI100" s="13"/>
      <c r="AJ100" s="13"/>
      <c r="AK100" s="13"/>
      <c r="AL100" s="13"/>
      <c r="AM100" s="13"/>
      <c r="AN100" s="13"/>
      <c r="AO100" s="13"/>
      <c r="AP100" s="13"/>
      <c r="AQ100" s="13"/>
      <c r="AR100" s="13"/>
      <c r="AS100" s="13"/>
    </row>
    <row r="101" spans="1:45">
      <c r="A101" s="13"/>
      <c r="B101" s="47">
        <v>45515</v>
      </c>
      <c r="C101" s="46">
        <v>320.89999999999998</v>
      </c>
      <c r="D101" s="49">
        <v>8.9999999999999993E-3</v>
      </c>
      <c r="E101" s="13"/>
      <c r="F101" s="13"/>
      <c r="G101" s="13"/>
      <c r="H101" s="47">
        <v>45515</v>
      </c>
      <c r="I101" s="48">
        <v>24148.2</v>
      </c>
      <c r="J101" s="49">
        <v>-2.0999999999999999E-3</v>
      </c>
      <c r="K101" s="13"/>
      <c r="L101" s="13"/>
      <c r="M101" s="13"/>
      <c r="N101" s="13"/>
      <c r="O101" s="13"/>
      <c r="P101" s="13"/>
      <c r="Q101" s="13"/>
      <c r="R101" s="13"/>
      <c r="S101" s="13"/>
      <c r="T101" s="13"/>
      <c r="U101" s="13"/>
      <c r="Y101" s="46" t="s">
        <v>401</v>
      </c>
      <c r="Z101" s="46">
        <v>285.98</v>
      </c>
      <c r="AA101" s="49">
        <v>7.5499999999999998E-2</v>
      </c>
      <c r="AB101" s="13"/>
      <c r="AC101" s="13"/>
      <c r="AD101" s="13"/>
      <c r="AE101" s="46" t="s">
        <v>401</v>
      </c>
      <c r="AF101" s="48">
        <v>18534.099999999999</v>
      </c>
      <c r="AG101" s="49">
        <v>1.9E-3</v>
      </c>
      <c r="AH101" s="13"/>
      <c r="AI101" s="13"/>
      <c r="AJ101" s="13"/>
      <c r="AK101" s="13"/>
      <c r="AL101" s="13"/>
      <c r="AM101" s="13"/>
      <c r="AN101" s="13"/>
      <c r="AO101" s="13"/>
      <c r="AP101" s="13"/>
      <c r="AQ101" s="13"/>
      <c r="AR101" s="13"/>
      <c r="AS101" s="13"/>
    </row>
    <row r="102" spans="1:45">
      <c r="A102" s="13"/>
      <c r="B102" s="47">
        <v>45484</v>
      </c>
      <c r="C102" s="46">
        <v>318.05</v>
      </c>
      <c r="D102" s="49">
        <v>-5.5999999999999999E-3</v>
      </c>
      <c r="E102" s="13"/>
      <c r="F102" s="13"/>
      <c r="G102" s="13"/>
      <c r="H102" s="47">
        <v>45484</v>
      </c>
      <c r="I102" s="48">
        <v>24199.35</v>
      </c>
      <c r="J102" s="49">
        <v>-1.1599999999999999E-2</v>
      </c>
      <c r="K102" s="13"/>
      <c r="L102" s="13"/>
      <c r="M102" s="13"/>
      <c r="N102" s="13"/>
      <c r="O102" s="13"/>
      <c r="P102" s="13"/>
      <c r="Q102" s="13"/>
      <c r="R102" s="13"/>
      <c r="S102" s="13"/>
      <c r="T102" s="13"/>
      <c r="U102" s="13"/>
      <c r="Y102" s="46" t="s">
        <v>403</v>
      </c>
      <c r="Z102" s="46">
        <v>265.91000000000003</v>
      </c>
      <c r="AA102" s="49">
        <v>2.4899999999999999E-2</v>
      </c>
      <c r="AB102" s="13"/>
      <c r="AC102" s="13"/>
      <c r="AD102" s="13"/>
      <c r="AE102" s="46" t="s">
        <v>403</v>
      </c>
      <c r="AF102" s="48">
        <v>18499.349999999999</v>
      </c>
      <c r="AG102" s="49">
        <v>1.6299999999999999E-2</v>
      </c>
      <c r="AH102" s="13"/>
      <c r="AI102" s="13"/>
      <c r="AJ102" s="13"/>
      <c r="AK102" s="13"/>
      <c r="AL102" s="13"/>
      <c r="AM102" s="13"/>
      <c r="AN102" s="13"/>
      <c r="AO102" s="13"/>
      <c r="AP102" s="13"/>
      <c r="AQ102" s="13"/>
      <c r="AR102" s="13"/>
      <c r="AS102" s="13"/>
    </row>
    <row r="103" spans="1:45">
      <c r="A103" s="13"/>
      <c r="B103" s="47">
        <v>45454</v>
      </c>
      <c r="C103" s="46">
        <v>319.85000000000002</v>
      </c>
      <c r="D103" s="49">
        <v>-6.1000000000000004E-3</v>
      </c>
      <c r="E103" s="13"/>
      <c r="F103" s="13"/>
      <c r="G103" s="13"/>
      <c r="H103" s="47">
        <v>45454</v>
      </c>
      <c r="I103" s="48">
        <v>24484.05</v>
      </c>
      <c r="J103" s="49">
        <v>1.12E-2</v>
      </c>
      <c r="K103" s="13"/>
      <c r="L103" s="13"/>
      <c r="M103" s="13"/>
      <c r="N103" s="13"/>
      <c r="O103" s="13"/>
      <c r="P103" s="13"/>
      <c r="Q103" s="13"/>
      <c r="R103" s="13"/>
      <c r="S103" s="13"/>
      <c r="T103" s="13"/>
      <c r="U103" s="13"/>
      <c r="Y103" s="46" t="s">
        <v>405</v>
      </c>
      <c r="Z103" s="46">
        <v>259.44</v>
      </c>
      <c r="AA103" s="49">
        <v>1.5599999999999999E-2</v>
      </c>
      <c r="AB103" s="13"/>
      <c r="AC103" s="13"/>
      <c r="AD103" s="13"/>
      <c r="AE103" s="46" t="s">
        <v>405</v>
      </c>
      <c r="AF103" s="48">
        <v>18203.400000000001</v>
      </c>
      <c r="AG103" s="49">
        <v>-6.1000000000000004E-3</v>
      </c>
      <c r="AH103" s="13"/>
      <c r="AI103" s="13"/>
      <c r="AJ103" s="13"/>
      <c r="AK103" s="13"/>
      <c r="AL103" s="13"/>
      <c r="AM103" s="13"/>
      <c r="AN103" s="13"/>
      <c r="AO103" s="13"/>
      <c r="AP103" s="13"/>
      <c r="AQ103" s="13"/>
      <c r="AR103" s="13"/>
      <c r="AS103" s="13"/>
    </row>
    <row r="104" spans="1:45">
      <c r="A104" s="13"/>
      <c r="B104" s="47">
        <v>45423</v>
      </c>
      <c r="C104" s="46">
        <v>321.8</v>
      </c>
      <c r="D104" s="49">
        <v>2.7E-2</v>
      </c>
      <c r="E104" s="13"/>
      <c r="F104" s="13"/>
      <c r="G104" s="13"/>
      <c r="H104" s="47">
        <v>45423</v>
      </c>
      <c r="I104" s="48">
        <v>24213.3</v>
      </c>
      <c r="J104" s="49">
        <v>9.1000000000000004E-3</v>
      </c>
      <c r="K104" s="13"/>
      <c r="L104" s="13"/>
      <c r="M104" s="13"/>
      <c r="N104" s="13"/>
      <c r="O104" s="13"/>
      <c r="P104" s="13"/>
      <c r="Q104" s="13"/>
      <c r="R104" s="13"/>
      <c r="S104" s="13"/>
      <c r="T104" s="13"/>
      <c r="U104" s="13"/>
      <c r="Y104" s="47">
        <v>45112</v>
      </c>
      <c r="Z104" s="46">
        <v>255.46</v>
      </c>
      <c r="AA104" s="49">
        <v>-1.84E-2</v>
      </c>
      <c r="AB104" s="13"/>
      <c r="AC104" s="13"/>
      <c r="AD104" s="13"/>
      <c r="AE104" s="47">
        <v>45112</v>
      </c>
      <c r="AF104" s="48">
        <v>18314.8</v>
      </c>
      <c r="AG104" s="49">
        <v>1.3599999999999999E-2</v>
      </c>
      <c r="AH104" s="13"/>
      <c r="AI104" s="13"/>
      <c r="AJ104" s="13"/>
      <c r="AK104" s="13"/>
      <c r="AL104" s="13"/>
      <c r="AM104" s="13"/>
      <c r="AN104" s="13"/>
      <c r="AO104" s="13"/>
      <c r="AP104" s="13"/>
      <c r="AQ104" s="13"/>
      <c r="AR104" s="13"/>
      <c r="AS104" s="13"/>
    </row>
    <row r="105" spans="1:45">
      <c r="A105" s="13"/>
      <c r="B105" s="47">
        <v>45393</v>
      </c>
      <c r="C105" s="46">
        <v>313.35000000000002</v>
      </c>
      <c r="D105" s="49">
        <v>-3.6999999999999998E-2</v>
      </c>
      <c r="E105" s="13"/>
      <c r="F105" s="13"/>
      <c r="G105" s="13"/>
      <c r="H105" s="47">
        <v>45393</v>
      </c>
      <c r="I105" s="48">
        <v>23995.35</v>
      </c>
      <c r="J105" s="49">
        <v>-1.2699999999999999E-2</v>
      </c>
      <c r="K105" s="13"/>
      <c r="L105" s="13"/>
      <c r="M105" s="13"/>
      <c r="N105" s="13"/>
      <c r="O105" s="13"/>
      <c r="P105" s="13"/>
      <c r="Q105" s="13"/>
      <c r="R105" s="13"/>
      <c r="S105" s="13"/>
      <c r="T105" s="13"/>
      <c r="U105" s="13"/>
      <c r="Y105" s="46" t="s">
        <v>408</v>
      </c>
      <c r="Z105" s="46">
        <v>260.25</v>
      </c>
      <c r="AA105" s="49">
        <v>9.0399999999999994E-2</v>
      </c>
      <c r="AB105" s="13"/>
      <c r="AC105" s="13"/>
      <c r="AD105" s="13"/>
      <c r="AE105" s="46" t="s">
        <v>408</v>
      </c>
      <c r="AF105" s="48">
        <v>18069</v>
      </c>
      <c r="AG105" s="49">
        <v>2.0000000000000001E-4</v>
      </c>
      <c r="AH105" s="13"/>
      <c r="AI105" s="13"/>
      <c r="AJ105" s="13"/>
      <c r="AK105" s="13"/>
      <c r="AL105" s="13"/>
      <c r="AM105" s="13"/>
      <c r="AN105" s="13"/>
      <c r="AO105" s="13"/>
      <c r="AP105" s="13"/>
      <c r="AQ105" s="13"/>
      <c r="AR105" s="13"/>
      <c r="AS105" s="13"/>
    </row>
    <row r="106" spans="1:45">
      <c r="A106" s="13"/>
      <c r="B106" s="47">
        <v>45302</v>
      </c>
      <c r="C106" s="46">
        <v>325.39999999999998</v>
      </c>
      <c r="D106" s="49">
        <v>1.4200000000000001E-2</v>
      </c>
      <c r="E106" s="13"/>
      <c r="F106" s="13"/>
      <c r="G106" s="13"/>
      <c r="H106" s="47">
        <v>45302</v>
      </c>
      <c r="I106" s="48">
        <v>24304.35</v>
      </c>
      <c r="J106" s="49">
        <v>4.1000000000000003E-3</v>
      </c>
      <c r="K106" s="13"/>
      <c r="L106" s="13"/>
      <c r="M106" s="13"/>
      <c r="N106" s="13"/>
      <c r="O106" s="13"/>
      <c r="P106" s="13"/>
      <c r="Q106" s="13"/>
      <c r="R106" s="13"/>
      <c r="S106" s="13"/>
      <c r="T106" s="13"/>
      <c r="U106" s="13"/>
      <c r="Y106" s="46" t="s">
        <v>410</v>
      </c>
      <c r="Z106" s="46">
        <v>238.68</v>
      </c>
      <c r="AA106" s="49">
        <v>-4.7000000000000002E-3</v>
      </c>
      <c r="AB106" s="13"/>
      <c r="AC106" s="13"/>
      <c r="AD106" s="13"/>
      <c r="AE106" s="46" t="s">
        <v>410</v>
      </c>
      <c r="AF106" s="48">
        <v>18065</v>
      </c>
      <c r="AG106" s="49">
        <v>2.5000000000000001E-2</v>
      </c>
      <c r="AH106" s="13"/>
      <c r="AI106" s="13"/>
      <c r="AJ106" s="13"/>
      <c r="AK106" s="13"/>
      <c r="AL106" s="13"/>
      <c r="AM106" s="13"/>
      <c r="AN106" s="13"/>
      <c r="AO106" s="13"/>
      <c r="AP106" s="13"/>
      <c r="AQ106" s="13"/>
      <c r="AR106" s="13"/>
      <c r="AS106" s="13"/>
    </row>
    <row r="107" spans="1:45">
      <c r="A107" s="13"/>
      <c r="B107" s="46" t="s">
        <v>256</v>
      </c>
      <c r="C107" s="46">
        <v>320.85000000000002</v>
      </c>
      <c r="D107" s="49">
        <v>-1.1900000000000001E-2</v>
      </c>
      <c r="E107" s="13"/>
      <c r="F107" s="13"/>
      <c r="G107" s="13"/>
      <c r="H107" s="46" t="s">
        <v>256</v>
      </c>
      <c r="I107" s="48">
        <v>24205.35</v>
      </c>
      <c r="J107" s="49">
        <v>-5.5999999999999999E-3</v>
      </c>
      <c r="K107" s="13"/>
      <c r="L107" s="13"/>
      <c r="M107" s="13"/>
      <c r="N107" s="13"/>
      <c r="O107" s="13"/>
      <c r="P107" s="13"/>
      <c r="Q107" s="13"/>
      <c r="R107" s="13"/>
      <c r="S107" s="13"/>
      <c r="T107" s="13"/>
      <c r="U107" s="13"/>
      <c r="Y107" s="46" t="s">
        <v>412</v>
      </c>
      <c r="Z107" s="46">
        <v>239.81</v>
      </c>
      <c r="AA107" s="49">
        <v>5.7000000000000002E-3</v>
      </c>
      <c r="AB107" s="13"/>
      <c r="AC107" s="13"/>
      <c r="AD107" s="13"/>
      <c r="AE107" s="46" t="s">
        <v>412</v>
      </c>
      <c r="AF107" s="48">
        <v>17624.05</v>
      </c>
      <c r="AG107" s="49">
        <v>-1.14E-2</v>
      </c>
      <c r="AH107" s="13"/>
      <c r="AI107" s="13"/>
      <c r="AJ107" s="13"/>
      <c r="AK107" s="13"/>
      <c r="AL107" s="13"/>
      <c r="AM107" s="13"/>
      <c r="AN107" s="13"/>
      <c r="AO107" s="13"/>
      <c r="AP107" s="13"/>
      <c r="AQ107" s="13"/>
      <c r="AR107" s="13"/>
      <c r="AS107" s="13"/>
    </row>
    <row r="108" spans="1:45">
      <c r="A108" s="13"/>
      <c r="B108" s="46" t="s">
        <v>257</v>
      </c>
      <c r="C108" s="46">
        <v>324.7</v>
      </c>
      <c r="D108" s="49">
        <v>1.1000000000000001E-3</v>
      </c>
      <c r="E108" s="13"/>
      <c r="F108" s="13"/>
      <c r="G108" s="13"/>
      <c r="H108" s="46" t="s">
        <v>257</v>
      </c>
      <c r="I108" s="48">
        <v>24340.85</v>
      </c>
      <c r="J108" s="49">
        <v>-5.1000000000000004E-3</v>
      </c>
      <c r="K108" s="13"/>
      <c r="L108" s="13"/>
      <c r="M108" s="13"/>
      <c r="N108" s="13"/>
      <c r="O108" s="13"/>
      <c r="P108" s="13"/>
      <c r="Q108" s="13"/>
      <c r="R108" s="13"/>
      <c r="S108" s="13"/>
      <c r="T108" s="13"/>
      <c r="U108" s="13"/>
      <c r="Y108" s="47">
        <v>45173</v>
      </c>
      <c r="Z108" s="46">
        <v>238.44</v>
      </c>
      <c r="AA108" s="49">
        <v>-2.0299999999999999E-2</v>
      </c>
      <c r="AB108" s="13"/>
      <c r="AC108" s="13"/>
      <c r="AD108" s="13"/>
      <c r="AE108" s="47">
        <v>45173</v>
      </c>
      <c r="AF108" s="48">
        <v>17828</v>
      </c>
      <c r="AG108" s="49">
        <v>1.2999999999999999E-2</v>
      </c>
      <c r="AH108" s="13"/>
      <c r="AI108" s="13"/>
      <c r="AJ108" s="13"/>
      <c r="AK108" s="13"/>
      <c r="AL108" s="13"/>
      <c r="AM108" s="13"/>
      <c r="AN108" s="13"/>
      <c r="AO108" s="13"/>
      <c r="AP108" s="13"/>
      <c r="AQ108" s="13"/>
      <c r="AR108" s="13"/>
      <c r="AS108" s="13"/>
    </row>
    <row r="109" spans="1:45">
      <c r="A109" s="13"/>
      <c r="B109" s="46" t="s">
        <v>258</v>
      </c>
      <c r="C109" s="46">
        <v>324.35000000000002</v>
      </c>
      <c r="D109" s="49">
        <v>-6.1800000000000001E-2</v>
      </c>
      <c r="E109" s="13"/>
      <c r="F109" s="13"/>
      <c r="G109" s="13"/>
      <c r="H109" s="46" t="s">
        <v>258</v>
      </c>
      <c r="I109" s="48">
        <v>24466.85</v>
      </c>
      <c r="J109" s="49">
        <v>5.1999999999999998E-3</v>
      </c>
      <c r="K109" s="13"/>
      <c r="L109" s="13"/>
      <c r="M109" s="13"/>
      <c r="N109" s="13"/>
      <c r="O109" s="13"/>
      <c r="P109" s="13"/>
      <c r="Q109" s="13"/>
      <c r="R109" s="13"/>
      <c r="S109" s="13"/>
      <c r="T109" s="13"/>
      <c r="U109" s="13"/>
      <c r="Y109" s="47">
        <v>44961</v>
      </c>
      <c r="Z109" s="46">
        <v>243.39</v>
      </c>
      <c r="AA109" s="49">
        <v>-8.9999999999999998E-4</v>
      </c>
      <c r="AB109" s="13"/>
      <c r="AC109" s="13"/>
      <c r="AD109" s="13"/>
      <c r="AE109" s="47">
        <v>44961</v>
      </c>
      <c r="AF109" s="48">
        <v>17599.150000000001</v>
      </c>
      <c r="AG109" s="49">
        <v>1.38E-2</v>
      </c>
      <c r="AH109" s="13"/>
      <c r="AI109" s="13"/>
      <c r="AJ109" s="13"/>
      <c r="AK109" s="13"/>
      <c r="AL109" s="13"/>
      <c r="AM109" s="13"/>
      <c r="AN109" s="13"/>
      <c r="AO109" s="13"/>
      <c r="AP109" s="13"/>
      <c r="AQ109" s="13"/>
      <c r="AR109" s="13"/>
      <c r="AS109" s="13"/>
    </row>
    <row r="110" spans="1:45">
      <c r="A110" s="13"/>
      <c r="B110" s="46" t="s">
        <v>259</v>
      </c>
      <c r="C110" s="46">
        <v>345.7</v>
      </c>
      <c r="D110" s="49">
        <v>6.8000000000000005E-2</v>
      </c>
      <c r="E110" s="13"/>
      <c r="F110" s="13"/>
      <c r="G110" s="13"/>
      <c r="H110" s="46" t="s">
        <v>259</v>
      </c>
      <c r="I110" s="48">
        <v>24339.15</v>
      </c>
      <c r="J110" s="49">
        <v>6.4999999999999997E-3</v>
      </c>
      <c r="K110" s="13"/>
      <c r="L110" s="13"/>
      <c r="M110" s="13"/>
      <c r="N110" s="13"/>
      <c r="O110" s="13"/>
      <c r="P110" s="13"/>
      <c r="Q110" s="13"/>
      <c r="R110" s="13"/>
      <c r="S110" s="13"/>
      <c r="T110" s="13"/>
      <c r="U110" s="13"/>
      <c r="Y110" s="46" t="s">
        <v>526</v>
      </c>
      <c r="Z110" s="46">
        <v>243.62</v>
      </c>
      <c r="AA110" s="49">
        <v>3.44E-2</v>
      </c>
      <c r="AB110" s="13"/>
      <c r="AC110" s="13"/>
      <c r="AD110" s="13"/>
      <c r="AE110" s="46" t="s">
        <v>526</v>
      </c>
      <c r="AF110" s="48">
        <v>17359.75</v>
      </c>
      <c r="AG110" s="49">
        <v>2.4500000000000001E-2</v>
      </c>
      <c r="AH110" s="13"/>
      <c r="AI110" s="13"/>
      <c r="AJ110" s="13"/>
      <c r="AK110" s="13"/>
      <c r="AL110" s="13"/>
      <c r="AM110" s="13"/>
      <c r="AN110" s="13"/>
      <c r="AO110" s="13"/>
      <c r="AP110" s="13"/>
      <c r="AQ110" s="13"/>
      <c r="AR110" s="13"/>
      <c r="AS110" s="13"/>
    </row>
    <row r="111" spans="1:45">
      <c r="A111" s="13"/>
      <c r="B111" s="46" t="s">
        <v>260</v>
      </c>
      <c r="C111" s="46">
        <v>323.7</v>
      </c>
      <c r="D111" s="49">
        <v>-1.8200000000000001E-2</v>
      </c>
      <c r="E111" s="13"/>
      <c r="F111" s="13"/>
      <c r="G111" s="13"/>
      <c r="H111" s="46" t="s">
        <v>260</v>
      </c>
      <c r="I111" s="48">
        <v>24180.799999999999</v>
      </c>
      <c r="J111" s="49">
        <v>-8.9999999999999993E-3</v>
      </c>
      <c r="K111" s="13"/>
      <c r="L111" s="13"/>
      <c r="M111" s="13"/>
      <c r="N111" s="13"/>
      <c r="O111" s="13"/>
      <c r="P111" s="13"/>
      <c r="Q111" s="13"/>
      <c r="R111" s="13"/>
      <c r="S111" s="13"/>
      <c r="T111" s="13"/>
      <c r="U111" s="13"/>
      <c r="Y111" s="46" t="s">
        <v>528</v>
      </c>
      <c r="Z111" s="46">
        <v>235.52</v>
      </c>
      <c r="AA111" s="49">
        <v>-7.6E-3</v>
      </c>
      <c r="AB111" s="13"/>
      <c r="AC111" s="13"/>
      <c r="AD111" s="13"/>
      <c r="AE111" s="46" t="s">
        <v>528</v>
      </c>
      <c r="AF111" s="48">
        <v>16945.05</v>
      </c>
      <c r="AG111" s="49">
        <v>-9.1000000000000004E-3</v>
      </c>
      <c r="AH111" s="13"/>
      <c r="AI111" s="13"/>
      <c r="AJ111" s="13"/>
      <c r="AK111" s="13"/>
      <c r="AL111" s="13"/>
      <c r="AM111" s="13"/>
      <c r="AN111" s="13"/>
      <c r="AO111" s="13"/>
      <c r="AP111" s="13"/>
      <c r="AQ111" s="13"/>
      <c r="AR111" s="13"/>
      <c r="AS111" s="13"/>
    </row>
    <row r="112" spans="1:45">
      <c r="A112" s="13"/>
      <c r="B112" s="46" t="s">
        <v>261</v>
      </c>
      <c r="C112" s="46">
        <v>329.7</v>
      </c>
      <c r="D112" s="49">
        <v>-5.3E-3</v>
      </c>
      <c r="E112" s="13"/>
      <c r="F112" s="13"/>
      <c r="G112" s="13"/>
      <c r="H112" s="46" t="s">
        <v>261</v>
      </c>
      <c r="I112" s="48">
        <v>24399.4</v>
      </c>
      <c r="J112" s="49">
        <v>-1.5E-3</v>
      </c>
      <c r="K112" s="13"/>
      <c r="L112" s="13"/>
      <c r="M112" s="13"/>
      <c r="N112" s="13"/>
      <c r="O112" s="13"/>
      <c r="P112" s="13"/>
      <c r="Q112" s="13"/>
      <c r="R112" s="13"/>
      <c r="S112" s="13"/>
      <c r="T112" s="13"/>
      <c r="U112" s="13"/>
      <c r="Y112" s="47">
        <v>45263</v>
      </c>
      <c r="Z112" s="46">
        <v>237.32</v>
      </c>
      <c r="AA112" s="49">
        <v>-2.2499999999999999E-2</v>
      </c>
      <c r="AB112" s="13"/>
      <c r="AC112" s="13"/>
      <c r="AD112" s="13"/>
      <c r="AE112" s="47">
        <v>45263</v>
      </c>
      <c r="AF112" s="48">
        <v>17100.05</v>
      </c>
      <c r="AG112" s="49">
        <v>-1.7999999999999999E-2</v>
      </c>
      <c r="AH112" s="13"/>
      <c r="AI112" s="13"/>
      <c r="AJ112" s="13"/>
      <c r="AK112" s="13"/>
      <c r="AL112" s="13"/>
      <c r="AM112" s="13"/>
      <c r="AN112" s="13"/>
      <c r="AO112" s="13"/>
      <c r="AP112" s="13"/>
      <c r="AQ112" s="13"/>
      <c r="AR112" s="13"/>
      <c r="AS112" s="13"/>
    </row>
    <row r="113" spans="1:45">
      <c r="A113" s="13"/>
      <c r="B113" s="46" t="s">
        <v>262</v>
      </c>
      <c r="C113" s="46">
        <v>331.45</v>
      </c>
      <c r="D113" s="49">
        <v>-2.1000000000000001E-2</v>
      </c>
      <c r="E113" s="13"/>
      <c r="F113" s="13"/>
      <c r="G113" s="13"/>
      <c r="H113" s="46" t="s">
        <v>262</v>
      </c>
      <c r="I113" s="48">
        <v>24435.5</v>
      </c>
      <c r="J113" s="49">
        <v>-1.5E-3</v>
      </c>
      <c r="K113" s="13"/>
      <c r="L113" s="13"/>
      <c r="M113" s="13"/>
      <c r="N113" s="13"/>
      <c r="O113" s="13"/>
      <c r="P113" s="13"/>
      <c r="Q113" s="13"/>
      <c r="R113" s="13"/>
      <c r="S113" s="13"/>
      <c r="T113" s="13"/>
      <c r="U113" s="13"/>
      <c r="Y113" s="47">
        <v>45049</v>
      </c>
      <c r="Z113" s="46">
        <v>242.79</v>
      </c>
      <c r="AA113" s="49">
        <v>-2.6700000000000002E-2</v>
      </c>
      <c r="AB113" s="13"/>
      <c r="AC113" s="13"/>
      <c r="AD113" s="13"/>
      <c r="AE113" s="47">
        <v>45049</v>
      </c>
      <c r="AF113" s="48">
        <v>17412.900000000001</v>
      </c>
      <c r="AG113" s="49">
        <v>-1.03E-2</v>
      </c>
      <c r="AH113" s="13"/>
      <c r="AI113" s="13"/>
      <c r="AJ113" s="13"/>
      <c r="AK113" s="13"/>
      <c r="AL113" s="13"/>
      <c r="AM113" s="13"/>
      <c r="AN113" s="13"/>
      <c r="AO113" s="13"/>
      <c r="AP113" s="13"/>
      <c r="AQ113" s="13"/>
      <c r="AR113" s="13"/>
      <c r="AS113" s="13"/>
    </row>
    <row r="114" spans="1:45">
      <c r="A114" s="13"/>
      <c r="B114" s="46" t="s">
        <v>263</v>
      </c>
      <c r="C114" s="46">
        <v>338.55</v>
      </c>
      <c r="D114" s="49">
        <v>-1.77E-2</v>
      </c>
      <c r="E114" s="13"/>
      <c r="F114" s="13"/>
      <c r="G114" s="13"/>
      <c r="H114" s="46" t="s">
        <v>263</v>
      </c>
      <c r="I114" s="48">
        <v>24472.1</v>
      </c>
      <c r="J114" s="49">
        <v>-1.2500000000000001E-2</v>
      </c>
      <c r="K114" s="13"/>
      <c r="L114" s="13"/>
      <c r="M114" s="13"/>
      <c r="N114" s="13"/>
      <c r="O114" s="13"/>
      <c r="P114" s="13"/>
      <c r="Q114" s="13"/>
      <c r="R114" s="13"/>
      <c r="S114" s="13"/>
      <c r="T114" s="13"/>
      <c r="U114" s="13"/>
      <c r="Y114" s="46" t="s">
        <v>532</v>
      </c>
      <c r="Z114" s="46">
        <v>249.44</v>
      </c>
      <c r="AA114" s="49">
        <v>4.5699999999999998E-2</v>
      </c>
      <c r="AB114" s="13"/>
      <c r="AC114" s="13"/>
      <c r="AD114" s="13"/>
      <c r="AE114" s="46" t="s">
        <v>532</v>
      </c>
      <c r="AF114" s="48">
        <v>17594.349999999999</v>
      </c>
      <c r="AG114" s="49">
        <v>7.4000000000000003E-3</v>
      </c>
      <c r="AH114" s="13"/>
      <c r="AI114" s="13"/>
      <c r="AJ114" s="13"/>
      <c r="AK114" s="13"/>
      <c r="AL114" s="13"/>
      <c r="AM114" s="13"/>
      <c r="AN114" s="13"/>
      <c r="AO114" s="13"/>
      <c r="AP114" s="13"/>
      <c r="AQ114" s="13"/>
      <c r="AR114" s="13"/>
      <c r="AS114" s="13"/>
    </row>
    <row r="115" spans="1:45">
      <c r="A115" s="13"/>
      <c r="B115" s="46" t="s">
        <v>264</v>
      </c>
      <c r="C115" s="46">
        <v>344.65</v>
      </c>
      <c r="D115" s="49">
        <v>-7.4999999999999997E-3</v>
      </c>
      <c r="E115" s="13"/>
      <c r="F115" s="13"/>
      <c r="G115" s="13"/>
      <c r="H115" s="46" t="s">
        <v>264</v>
      </c>
      <c r="I115" s="48">
        <v>24781.1</v>
      </c>
      <c r="J115" s="49">
        <v>-2.8999999999999998E-3</v>
      </c>
      <c r="K115" s="13"/>
      <c r="L115" s="13"/>
      <c r="M115" s="13"/>
      <c r="N115" s="13"/>
      <c r="O115" s="13"/>
      <c r="P115" s="13"/>
      <c r="Q115" s="13"/>
      <c r="R115" s="13"/>
      <c r="S115" s="13"/>
      <c r="T115" s="13"/>
      <c r="U115" s="13"/>
      <c r="Y115" s="46" t="s">
        <v>534</v>
      </c>
      <c r="Z115" s="46">
        <v>238.55</v>
      </c>
      <c r="AA115" s="49">
        <v>1.8599999999999998E-2</v>
      </c>
      <c r="AB115" s="13"/>
      <c r="AC115" s="13"/>
      <c r="AD115" s="13"/>
      <c r="AE115" s="46" t="s">
        <v>534</v>
      </c>
      <c r="AF115" s="48">
        <v>17465.8</v>
      </c>
      <c r="AG115" s="49">
        <v>-2.6700000000000002E-2</v>
      </c>
      <c r="AH115" s="13"/>
      <c r="AI115" s="13"/>
      <c r="AJ115" s="13"/>
      <c r="AK115" s="13"/>
      <c r="AL115" s="13"/>
      <c r="AM115" s="13"/>
      <c r="AN115" s="13"/>
      <c r="AO115" s="13"/>
      <c r="AP115" s="13"/>
      <c r="AQ115" s="13"/>
      <c r="AR115" s="13"/>
      <c r="AS115" s="13"/>
    </row>
    <row r="116" spans="1:45">
      <c r="A116" s="13"/>
      <c r="B116" s="46" t="s">
        <v>265</v>
      </c>
      <c r="C116" s="46">
        <v>347.25</v>
      </c>
      <c r="D116" s="49">
        <v>-8.8000000000000005E-3</v>
      </c>
      <c r="E116" s="13"/>
      <c r="F116" s="13"/>
      <c r="G116" s="13"/>
      <c r="H116" s="46" t="s">
        <v>265</v>
      </c>
      <c r="I116" s="48">
        <v>24854.05</v>
      </c>
      <c r="J116" s="49">
        <v>4.1999999999999997E-3</v>
      </c>
      <c r="K116" s="13"/>
      <c r="L116" s="13"/>
      <c r="M116" s="13"/>
      <c r="N116" s="13"/>
      <c r="O116" s="13"/>
      <c r="P116" s="13"/>
      <c r="Q116" s="13"/>
      <c r="R116" s="13"/>
      <c r="S116" s="13"/>
      <c r="T116" s="13"/>
      <c r="U116" s="13"/>
      <c r="Y116" s="47">
        <v>45262</v>
      </c>
      <c r="Z116" s="46">
        <v>234.2</v>
      </c>
      <c r="AA116" s="49">
        <v>-3.0700000000000002E-2</v>
      </c>
      <c r="AB116" s="13"/>
      <c r="AC116" s="13"/>
      <c r="AD116" s="13"/>
      <c r="AE116" s="47">
        <v>45262</v>
      </c>
      <c r="AF116" s="48">
        <v>17944.2</v>
      </c>
      <c r="AG116" s="49">
        <v>4.8999999999999998E-3</v>
      </c>
      <c r="AH116" s="13"/>
      <c r="AI116" s="13"/>
      <c r="AJ116" s="13"/>
      <c r="AK116" s="13"/>
      <c r="AL116" s="13"/>
      <c r="AM116" s="13"/>
      <c r="AN116" s="13"/>
      <c r="AO116" s="13"/>
      <c r="AP116" s="13"/>
      <c r="AQ116" s="13"/>
      <c r="AR116" s="13"/>
      <c r="AS116" s="13"/>
    </row>
    <row r="117" spans="1:45">
      <c r="A117" s="13"/>
      <c r="B117" s="46" t="s">
        <v>266</v>
      </c>
      <c r="C117" s="46">
        <v>350.35</v>
      </c>
      <c r="D117" s="49">
        <v>-1.2999999999999999E-2</v>
      </c>
      <c r="E117" s="13"/>
      <c r="F117" s="13"/>
      <c r="G117" s="13"/>
      <c r="H117" s="46" t="s">
        <v>266</v>
      </c>
      <c r="I117" s="48">
        <v>24749.85</v>
      </c>
      <c r="J117" s="49">
        <v>-8.8999999999999999E-3</v>
      </c>
      <c r="K117" s="13"/>
      <c r="L117" s="13"/>
      <c r="M117" s="13"/>
      <c r="N117" s="13"/>
      <c r="O117" s="13"/>
      <c r="P117" s="13"/>
      <c r="Q117" s="13"/>
      <c r="R117" s="13"/>
      <c r="S117" s="13"/>
      <c r="T117" s="13"/>
      <c r="U117" s="13"/>
      <c r="Y117" s="47">
        <v>45048</v>
      </c>
      <c r="Z117" s="46">
        <v>241.62</v>
      </c>
      <c r="AA117" s="49">
        <v>4.3799999999999999E-2</v>
      </c>
      <c r="AB117" s="13"/>
      <c r="AC117" s="13"/>
      <c r="AD117" s="13"/>
      <c r="AE117" s="47">
        <v>45048</v>
      </c>
      <c r="AF117" s="48">
        <v>17856.5</v>
      </c>
      <c r="AG117" s="49">
        <v>1E-4</v>
      </c>
      <c r="AH117" s="13"/>
      <c r="AI117" s="13"/>
      <c r="AJ117" s="13"/>
      <c r="AK117" s="13"/>
      <c r="AL117" s="13"/>
      <c r="AM117" s="13"/>
      <c r="AN117" s="13"/>
      <c r="AO117" s="13"/>
      <c r="AP117" s="13"/>
      <c r="AQ117" s="13"/>
      <c r="AR117" s="13"/>
      <c r="AS117" s="13"/>
    </row>
    <row r="118" spans="1:45">
      <c r="A118" s="13"/>
      <c r="B118" s="46" t="s">
        <v>267</v>
      </c>
      <c r="C118" s="46">
        <v>354.95</v>
      </c>
      <c r="D118" s="49">
        <v>-6.7000000000000002E-3</v>
      </c>
      <c r="E118" s="13"/>
      <c r="F118" s="13"/>
      <c r="G118" s="13"/>
      <c r="H118" s="46" t="s">
        <v>267</v>
      </c>
      <c r="I118" s="48">
        <v>24971.3</v>
      </c>
      <c r="J118" s="49">
        <v>-3.3999999999999998E-3</v>
      </c>
      <c r="K118" s="13"/>
      <c r="L118" s="13"/>
      <c r="M118" s="13"/>
      <c r="N118" s="13"/>
      <c r="O118" s="13"/>
      <c r="P118" s="13"/>
      <c r="Q118" s="13"/>
      <c r="R118" s="13"/>
      <c r="S118" s="13"/>
      <c r="T118" s="13"/>
      <c r="U118" s="13"/>
      <c r="Y118" s="46" t="s">
        <v>538</v>
      </c>
      <c r="Z118" s="46">
        <v>231.49</v>
      </c>
      <c r="AA118" s="49">
        <v>-0.1024</v>
      </c>
      <c r="AB118" s="13"/>
      <c r="AC118" s="13"/>
      <c r="AD118" s="13"/>
      <c r="AE118" s="46" t="s">
        <v>538</v>
      </c>
      <c r="AF118" s="48">
        <v>17854.05</v>
      </c>
      <c r="AG118" s="49">
        <v>1.4200000000000001E-2</v>
      </c>
      <c r="AH118" s="13"/>
      <c r="AI118" s="13"/>
      <c r="AJ118" s="13"/>
      <c r="AK118" s="13"/>
      <c r="AL118" s="13"/>
      <c r="AM118" s="13"/>
      <c r="AN118" s="13"/>
      <c r="AO118" s="13"/>
      <c r="AP118" s="13"/>
      <c r="AQ118" s="13"/>
      <c r="AR118" s="13"/>
      <c r="AS118" s="13"/>
    </row>
    <row r="119" spans="1:45">
      <c r="A119" s="13"/>
      <c r="B119" s="46" t="s">
        <v>268</v>
      </c>
      <c r="C119" s="46">
        <v>357.35</v>
      </c>
      <c r="D119" s="49">
        <v>1.6999999999999999E-3</v>
      </c>
      <c r="E119" s="13"/>
      <c r="F119" s="13"/>
      <c r="G119" s="13"/>
      <c r="H119" s="46" t="s">
        <v>268</v>
      </c>
      <c r="I119" s="48">
        <v>25057.35</v>
      </c>
      <c r="J119" s="49">
        <v>-2.8E-3</v>
      </c>
      <c r="K119" s="13"/>
      <c r="L119" s="13"/>
      <c r="M119" s="13"/>
      <c r="N119" s="13"/>
      <c r="O119" s="13"/>
      <c r="P119" s="13"/>
      <c r="Q119" s="13"/>
      <c r="R119" s="13"/>
      <c r="S119" s="13"/>
      <c r="T119" s="13"/>
      <c r="U119" s="13"/>
      <c r="Y119" s="46" t="s">
        <v>540</v>
      </c>
      <c r="Z119" s="46">
        <v>257.89</v>
      </c>
      <c r="AA119" s="49">
        <v>-4.5999999999999999E-3</v>
      </c>
      <c r="AB119" s="13"/>
      <c r="AC119" s="13"/>
      <c r="AD119" s="13"/>
      <c r="AE119" s="46" t="s">
        <v>540</v>
      </c>
      <c r="AF119" s="48">
        <v>17604.349999999999</v>
      </c>
      <c r="AG119" s="49">
        <v>-2.35E-2</v>
      </c>
      <c r="AH119" s="13"/>
      <c r="AI119" s="13"/>
      <c r="AJ119" s="13"/>
      <c r="AK119" s="13"/>
      <c r="AL119" s="13"/>
      <c r="AM119" s="13"/>
      <c r="AN119" s="13"/>
      <c r="AO119" s="13"/>
      <c r="AP119" s="13"/>
      <c r="AQ119" s="13"/>
      <c r="AR119" s="13"/>
      <c r="AS119" s="13"/>
    </row>
    <row r="120" spans="1:45">
      <c r="A120" s="13"/>
      <c r="B120" s="46" t="s">
        <v>269</v>
      </c>
      <c r="C120" s="46">
        <v>356.75</v>
      </c>
      <c r="D120" s="49">
        <v>-3.8699999999999998E-2</v>
      </c>
      <c r="E120" s="13"/>
      <c r="F120" s="13"/>
      <c r="G120" s="13"/>
      <c r="H120" s="46" t="s">
        <v>269</v>
      </c>
      <c r="I120" s="48">
        <v>25127.95</v>
      </c>
      <c r="J120" s="49">
        <v>6.6E-3</v>
      </c>
      <c r="K120" s="13"/>
      <c r="L120" s="13"/>
      <c r="M120" s="13"/>
      <c r="N120" s="13"/>
      <c r="O120" s="13"/>
      <c r="P120" s="13"/>
      <c r="Q120" s="13"/>
      <c r="R120" s="13"/>
      <c r="S120" s="13"/>
      <c r="T120" s="13"/>
      <c r="U120" s="13"/>
      <c r="Y120" s="46" t="s">
        <v>542</v>
      </c>
      <c r="Z120" s="46">
        <v>259.07</v>
      </c>
      <c r="AA120" s="49">
        <v>-6.0000000000000001E-3</v>
      </c>
      <c r="AB120" s="13"/>
      <c r="AC120" s="13"/>
      <c r="AD120" s="13"/>
      <c r="AE120" s="46" t="s">
        <v>542</v>
      </c>
      <c r="AF120" s="48">
        <v>18027.650000000001</v>
      </c>
      <c r="AG120" s="49">
        <v>4.0000000000000001E-3</v>
      </c>
      <c r="AH120" s="13"/>
      <c r="AI120" s="13"/>
      <c r="AJ120" s="13"/>
      <c r="AK120" s="13"/>
      <c r="AL120" s="13"/>
      <c r="AM120" s="13"/>
      <c r="AN120" s="13"/>
      <c r="AO120" s="13"/>
      <c r="AP120" s="13"/>
      <c r="AQ120" s="13"/>
      <c r="AR120" s="13"/>
      <c r="AS120" s="13"/>
    </row>
    <row r="121" spans="1:45">
      <c r="A121" s="13"/>
      <c r="B121" s="47">
        <v>45606</v>
      </c>
      <c r="C121" s="46">
        <v>371.1</v>
      </c>
      <c r="D121" s="49">
        <v>3.8600000000000002E-2</v>
      </c>
      <c r="E121" s="13"/>
      <c r="F121" s="13"/>
      <c r="G121" s="13"/>
      <c r="H121" s="47">
        <v>45606</v>
      </c>
      <c r="I121" s="48">
        <v>24964.25</v>
      </c>
      <c r="J121" s="49">
        <v>-1.4E-3</v>
      </c>
      <c r="K121" s="13"/>
      <c r="L121" s="13"/>
      <c r="M121" s="13"/>
      <c r="N121" s="13"/>
      <c r="O121" s="13"/>
      <c r="P121" s="13"/>
      <c r="Q121" s="13"/>
      <c r="R121" s="13"/>
      <c r="S121" s="13"/>
      <c r="T121" s="13"/>
      <c r="U121" s="13"/>
      <c r="Y121" s="47">
        <v>45139</v>
      </c>
      <c r="Z121" s="46">
        <v>260.63</v>
      </c>
      <c r="AA121" s="49">
        <v>-1.5699999999999999E-2</v>
      </c>
      <c r="AB121" s="13"/>
      <c r="AC121" s="13"/>
      <c r="AD121" s="13"/>
      <c r="AE121" s="47">
        <v>45139</v>
      </c>
      <c r="AF121" s="48">
        <v>17956.599999999999</v>
      </c>
      <c r="AG121" s="49">
        <v>5.4000000000000003E-3</v>
      </c>
      <c r="AH121" s="13"/>
      <c r="AI121" s="13"/>
      <c r="AJ121" s="13"/>
      <c r="AK121" s="13"/>
      <c r="AL121" s="13"/>
      <c r="AM121" s="13"/>
      <c r="AN121" s="13"/>
      <c r="AO121" s="13"/>
      <c r="AP121" s="13"/>
      <c r="AQ121" s="13"/>
      <c r="AR121" s="13"/>
      <c r="AS121" s="13"/>
    </row>
    <row r="122" spans="1:45">
      <c r="A122" s="13"/>
      <c r="B122" s="47">
        <v>45575</v>
      </c>
      <c r="C122" s="46">
        <v>357.3</v>
      </c>
      <c r="D122" s="49">
        <v>1.2E-2</v>
      </c>
      <c r="E122" s="13"/>
      <c r="F122" s="13"/>
      <c r="G122" s="13"/>
      <c r="H122" s="47">
        <v>45575</v>
      </c>
      <c r="I122" s="48">
        <v>24998.45</v>
      </c>
      <c r="J122" s="49">
        <v>6.9999999999999999E-4</v>
      </c>
      <c r="K122" s="13"/>
      <c r="L122" s="13"/>
      <c r="M122" s="13"/>
      <c r="N122" s="13"/>
      <c r="O122" s="13"/>
      <c r="P122" s="13"/>
      <c r="Q122" s="13"/>
      <c r="R122" s="13"/>
      <c r="S122" s="13"/>
      <c r="T122" s="13"/>
      <c r="U122" s="13"/>
      <c r="Y122" s="47">
        <v>44927</v>
      </c>
      <c r="Z122" s="46">
        <v>264.79000000000002</v>
      </c>
      <c r="AA122" s="49">
        <v>-6.8999999999999999E-3</v>
      </c>
      <c r="AB122" s="13"/>
      <c r="AC122" s="13"/>
      <c r="AD122" s="13"/>
      <c r="AE122" s="47">
        <v>44927</v>
      </c>
      <c r="AF122" s="48">
        <v>17859.45</v>
      </c>
      <c r="AG122" s="49">
        <v>-1.3599999999999999E-2</v>
      </c>
      <c r="AH122" s="13"/>
      <c r="AI122" s="13"/>
      <c r="AJ122" s="13"/>
      <c r="AK122" s="13"/>
      <c r="AL122" s="13"/>
      <c r="AM122" s="13"/>
      <c r="AN122" s="13"/>
      <c r="AO122" s="13"/>
      <c r="AP122" s="13"/>
      <c r="AQ122" s="13"/>
      <c r="AR122" s="13"/>
      <c r="AS122" s="13"/>
    </row>
    <row r="123" spans="1:45">
      <c r="A123" s="13"/>
      <c r="B123" s="47">
        <v>45545</v>
      </c>
      <c r="C123" s="46">
        <v>353.05</v>
      </c>
      <c r="D123" s="49">
        <v>1.0699999999999999E-2</v>
      </c>
      <c r="E123" s="13"/>
      <c r="F123" s="13"/>
      <c r="G123" s="13"/>
      <c r="H123" s="47">
        <v>45545</v>
      </c>
      <c r="I123" s="48">
        <v>24981.95</v>
      </c>
      <c r="J123" s="49">
        <v>-1.1999999999999999E-3</v>
      </c>
      <c r="K123" s="13"/>
      <c r="L123" s="13"/>
      <c r="M123" s="13"/>
      <c r="N123" s="13"/>
      <c r="O123" s="13"/>
      <c r="P123" s="13"/>
      <c r="Q123" s="13"/>
      <c r="R123" s="13"/>
      <c r="S123" s="13"/>
      <c r="T123" s="13"/>
      <c r="U123" s="13"/>
      <c r="Y123" s="46" t="s">
        <v>546</v>
      </c>
      <c r="Z123" s="46">
        <v>266.64</v>
      </c>
      <c r="AA123" s="49">
        <v>3.3E-3</v>
      </c>
      <c r="AB123" s="13"/>
      <c r="AC123" s="13"/>
      <c r="AD123" s="13"/>
      <c r="AE123" s="46" t="s">
        <v>546</v>
      </c>
      <c r="AF123" s="48">
        <v>18105.3</v>
      </c>
      <c r="AG123" s="49">
        <v>1.6799999999999999E-2</v>
      </c>
      <c r="AH123" s="13"/>
      <c r="AI123" s="13"/>
      <c r="AJ123" s="13"/>
      <c r="AK123" s="13"/>
      <c r="AL123" s="13"/>
      <c r="AM123" s="13"/>
      <c r="AN123" s="13"/>
      <c r="AO123" s="13"/>
      <c r="AP123" s="13"/>
      <c r="AQ123" s="13"/>
      <c r="AR123" s="13"/>
      <c r="AS123" s="13"/>
    </row>
    <row r="124" spans="1:45">
      <c r="A124" s="13"/>
      <c r="B124" s="47">
        <v>45514</v>
      </c>
      <c r="C124" s="46">
        <v>349.3</v>
      </c>
      <c r="D124" s="49">
        <v>4.4999999999999997E-3</v>
      </c>
      <c r="E124" s="13"/>
      <c r="F124" s="13"/>
      <c r="G124" s="13"/>
      <c r="H124" s="47">
        <v>45514</v>
      </c>
      <c r="I124" s="48">
        <v>25013.15</v>
      </c>
      <c r="J124" s="49">
        <v>8.8000000000000005E-3</v>
      </c>
      <c r="K124" s="13"/>
      <c r="L124" s="13"/>
      <c r="M124" s="13"/>
      <c r="N124" s="13"/>
      <c r="O124" s="13"/>
      <c r="P124" s="13"/>
      <c r="Q124" s="13"/>
      <c r="R124" s="13"/>
      <c r="S124" s="13"/>
      <c r="T124" s="13"/>
      <c r="U124" s="13"/>
      <c r="Y124" s="46" t="s">
        <v>547</v>
      </c>
      <c r="Z124" s="46">
        <v>265.75</v>
      </c>
      <c r="AA124" s="49">
        <v>-3.2099999999999997E-2</v>
      </c>
      <c r="AB124" s="13"/>
      <c r="AC124" s="13"/>
      <c r="AD124" s="13"/>
      <c r="AE124" s="46" t="s">
        <v>547</v>
      </c>
      <c r="AF124" s="48">
        <v>17806.8</v>
      </c>
      <c r="AG124" s="49">
        <v>-2.53E-2</v>
      </c>
      <c r="AH124" s="13"/>
      <c r="AI124" s="13"/>
      <c r="AJ124" s="13"/>
      <c r="AK124" s="13"/>
      <c r="AL124" s="13"/>
      <c r="AM124" s="13"/>
      <c r="AN124" s="13"/>
      <c r="AO124" s="13"/>
      <c r="AP124" s="13"/>
      <c r="AQ124" s="13"/>
      <c r="AR124" s="13"/>
      <c r="AS124" s="13"/>
    </row>
    <row r="125" spans="1:45">
      <c r="A125" s="13"/>
      <c r="B125" s="47">
        <v>45483</v>
      </c>
      <c r="C125" s="46">
        <v>347.75</v>
      </c>
      <c r="D125" s="49">
        <v>-7.6E-3</v>
      </c>
      <c r="E125" s="13"/>
      <c r="F125" s="13"/>
      <c r="G125" s="13"/>
      <c r="H125" s="47">
        <v>45483</v>
      </c>
      <c r="I125" s="48">
        <v>24795.75</v>
      </c>
      <c r="J125" s="49">
        <v>-8.6999999999999994E-3</v>
      </c>
      <c r="K125" s="13"/>
      <c r="L125" s="13"/>
      <c r="M125" s="13"/>
      <c r="N125" s="13"/>
      <c r="O125" s="13"/>
      <c r="P125" s="13"/>
      <c r="Q125" s="13"/>
      <c r="R125" s="13"/>
      <c r="S125" s="13"/>
      <c r="T125" s="13"/>
      <c r="U125" s="13"/>
      <c r="Y125" s="47">
        <v>44877</v>
      </c>
      <c r="Z125" s="46">
        <v>274.57</v>
      </c>
      <c r="AA125" s="49">
        <v>-9.1000000000000004E-3</v>
      </c>
      <c r="AB125" s="13"/>
      <c r="AC125" s="13"/>
      <c r="AD125" s="13"/>
      <c r="AE125" s="47">
        <v>44877</v>
      </c>
      <c r="AF125" s="48">
        <v>18269</v>
      </c>
      <c r="AG125" s="49">
        <v>-1.23E-2</v>
      </c>
      <c r="AH125" s="13"/>
      <c r="AI125" s="13"/>
      <c r="AJ125" s="13"/>
      <c r="AK125" s="13"/>
      <c r="AL125" s="13"/>
      <c r="AM125" s="13"/>
      <c r="AN125" s="13"/>
      <c r="AO125" s="13"/>
      <c r="AP125" s="13"/>
      <c r="AQ125" s="13"/>
      <c r="AR125" s="13"/>
      <c r="AS125" s="13"/>
    </row>
    <row r="126" spans="1:45">
      <c r="A126" s="13"/>
      <c r="B126" s="47">
        <v>45392</v>
      </c>
      <c r="C126" s="46">
        <v>350.4</v>
      </c>
      <c r="D126" s="49">
        <v>-5.9999999999999995E-4</v>
      </c>
      <c r="E126" s="13"/>
      <c r="F126" s="13"/>
      <c r="G126" s="13"/>
      <c r="H126" s="47">
        <v>45392</v>
      </c>
      <c r="I126" s="48">
        <v>25014.6</v>
      </c>
      <c r="J126" s="49">
        <v>-9.2999999999999992E-3</v>
      </c>
      <c r="K126" s="13"/>
      <c r="L126" s="13"/>
      <c r="M126" s="13"/>
      <c r="N126" s="13"/>
      <c r="O126" s="13"/>
      <c r="P126" s="13"/>
      <c r="Q126" s="13"/>
      <c r="R126" s="13"/>
      <c r="S126" s="13"/>
      <c r="T126" s="13"/>
      <c r="U126" s="13"/>
      <c r="Y126" s="47">
        <v>44663</v>
      </c>
      <c r="Z126" s="46">
        <v>277.10000000000002</v>
      </c>
      <c r="AA126" s="49">
        <v>2.1600000000000001E-2</v>
      </c>
      <c r="AB126" s="13"/>
      <c r="AC126" s="13"/>
      <c r="AD126" s="13"/>
      <c r="AE126" s="47">
        <v>44663</v>
      </c>
      <c r="AF126" s="48">
        <v>18496.599999999999</v>
      </c>
      <c r="AG126" s="49">
        <v>-1.0699999999999999E-2</v>
      </c>
      <c r="AH126" s="13"/>
      <c r="AI126" s="13"/>
      <c r="AJ126" s="13"/>
      <c r="AK126" s="13"/>
      <c r="AL126" s="13"/>
      <c r="AM126" s="13"/>
      <c r="AN126" s="13"/>
      <c r="AO126" s="13"/>
      <c r="AP126" s="13"/>
      <c r="AQ126" s="13"/>
      <c r="AR126" s="13"/>
      <c r="AS126" s="13"/>
    </row>
    <row r="127" spans="1:45">
      <c r="A127" s="13"/>
      <c r="B127" s="47">
        <v>45361</v>
      </c>
      <c r="C127" s="46">
        <v>350.6</v>
      </c>
      <c r="D127" s="49">
        <v>-2.0500000000000001E-2</v>
      </c>
      <c r="E127" s="13"/>
      <c r="F127" s="13"/>
      <c r="G127" s="13"/>
      <c r="H127" s="47">
        <v>45361</v>
      </c>
      <c r="I127" s="48">
        <v>25250.1</v>
      </c>
      <c r="J127" s="49">
        <v>-2.12E-2</v>
      </c>
      <c r="K127" s="13"/>
      <c r="L127" s="13"/>
      <c r="M127" s="13"/>
      <c r="N127" s="13"/>
      <c r="O127" s="13"/>
      <c r="P127" s="13"/>
      <c r="Q127" s="13"/>
      <c r="R127" s="13"/>
      <c r="S127" s="13"/>
      <c r="T127" s="13"/>
      <c r="U127" s="13"/>
      <c r="Y127" s="46" t="s">
        <v>548</v>
      </c>
      <c r="Z127" s="46">
        <v>271.23</v>
      </c>
      <c r="AA127" s="49">
        <v>2.1999999999999999E-2</v>
      </c>
      <c r="AB127" s="13"/>
      <c r="AC127" s="13"/>
      <c r="AD127" s="13"/>
      <c r="AE127" s="46" t="s">
        <v>548</v>
      </c>
      <c r="AF127" s="48">
        <v>18696.099999999999</v>
      </c>
      <c r="AG127" s="49">
        <v>9.9000000000000008E-3</v>
      </c>
      <c r="AH127" s="13"/>
      <c r="AI127" s="13"/>
      <c r="AJ127" s="13"/>
      <c r="AK127" s="13"/>
      <c r="AL127" s="13"/>
      <c r="AM127" s="13"/>
      <c r="AN127" s="13"/>
      <c r="AO127" s="13"/>
      <c r="AP127" s="13"/>
      <c r="AQ127" s="13"/>
      <c r="AR127" s="13"/>
      <c r="AS127" s="13"/>
    </row>
    <row r="128" spans="1:45">
      <c r="A128" s="13"/>
      <c r="B128" s="47">
        <v>45301</v>
      </c>
      <c r="C128" s="46">
        <v>357.95</v>
      </c>
      <c r="D128" s="49">
        <v>2.9999999999999997E-4</v>
      </c>
      <c r="E128" s="13"/>
      <c r="F128" s="13"/>
      <c r="G128" s="13"/>
      <c r="H128" s="47">
        <v>45301</v>
      </c>
      <c r="I128" s="48">
        <v>25796.9</v>
      </c>
      <c r="J128" s="49">
        <v>-5.0000000000000001E-4</v>
      </c>
      <c r="K128" s="13"/>
      <c r="L128" s="13"/>
      <c r="M128" s="13"/>
      <c r="N128" s="13"/>
      <c r="O128" s="13"/>
      <c r="P128" s="13"/>
      <c r="Q128" s="13"/>
      <c r="R128" s="13"/>
      <c r="S128" s="13"/>
      <c r="T128" s="13"/>
      <c r="U128" s="13"/>
      <c r="Y128" s="46" t="s">
        <v>549</v>
      </c>
      <c r="Z128" s="46">
        <v>265.38</v>
      </c>
      <c r="AA128" s="49">
        <v>-1.24E-2</v>
      </c>
      <c r="AB128" s="13"/>
      <c r="AC128" s="13"/>
      <c r="AD128" s="13"/>
      <c r="AE128" s="46" t="s">
        <v>549</v>
      </c>
      <c r="AF128" s="48">
        <v>18512.75</v>
      </c>
      <c r="AG128" s="49">
        <v>1.12E-2</v>
      </c>
      <c r="AH128" s="13"/>
      <c r="AI128" s="13"/>
      <c r="AJ128" s="13"/>
      <c r="AK128" s="13"/>
      <c r="AL128" s="13"/>
      <c r="AM128" s="13"/>
      <c r="AN128" s="13"/>
      <c r="AO128" s="13"/>
      <c r="AP128" s="13"/>
      <c r="AQ128" s="13"/>
      <c r="AR128" s="13"/>
      <c r="AS128" s="13"/>
    </row>
    <row r="129" spans="1:45">
      <c r="A129" s="13"/>
      <c r="B129" s="46" t="s">
        <v>270</v>
      </c>
      <c r="C129" s="46">
        <v>357.85</v>
      </c>
      <c r="D129" s="49">
        <v>-3.9300000000000002E-2</v>
      </c>
      <c r="E129" s="13"/>
      <c r="F129" s="13"/>
      <c r="G129" s="13"/>
      <c r="H129" s="46" t="s">
        <v>270</v>
      </c>
      <c r="I129" s="48">
        <v>25810.85</v>
      </c>
      <c r="J129" s="49">
        <v>-1.41E-2</v>
      </c>
      <c r="K129" s="13"/>
      <c r="L129" s="13"/>
      <c r="M129" s="13"/>
      <c r="N129" s="13"/>
      <c r="O129" s="13"/>
      <c r="P129" s="13"/>
      <c r="Q129" s="13"/>
      <c r="R129" s="13"/>
      <c r="S129" s="13"/>
      <c r="T129" s="13"/>
      <c r="U129" s="13"/>
      <c r="Y129" s="46" t="s">
        <v>550</v>
      </c>
      <c r="Z129" s="46">
        <v>268.7</v>
      </c>
      <c r="AA129" s="49">
        <v>-1.67E-2</v>
      </c>
      <c r="AB129" s="13"/>
      <c r="AC129" s="13"/>
      <c r="AD129" s="13"/>
      <c r="AE129" s="46" t="s">
        <v>550</v>
      </c>
      <c r="AF129" s="48">
        <v>18307.650000000001</v>
      </c>
      <c r="AG129" s="49">
        <v>-2.3E-3</v>
      </c>
      <c r="AH129" s="13"/>
      <c r="AI129" s="13"/>
      <c r="AJ129" s="13"/>
      <c r="AK129" s="13"/>
      <c r="AL129" s="13"/>
      <c r="AM129" s="13"/>
      <c r="AN129" s="13"/>
      <c r="AO129" s="13"/>
      <c r="AP129" s="13"/>
      <c r="AQ129" s="13"/>
      <c r="AR129" s="13"/>
      <c r="AS129" s="13"/>
    </row>
    <row r="130" spans="1:45">
      <c r="A130" s="13"/>
      <c r="B130" s="46" t="s">
        <v>271</v>
      </c>
      <c r="C130" s="46">
        <v>372.5</v>
      </c>
      <c r="D130" s="49">
        <v>-2.35E-2</v>
      </c>
      <c r="E130" s="13"/>
      <c r="F130" s="13"/>
      <c r="G130" s="13"/>
      <c r="H130" s="46" t="s">
        <v>271</v>
      </c>
      <c r="I130" s="48">
        <v>26178.95</v>
      </c>
      <c r="J130" s="49">
        <v>-1.4E-3</v>
      </c>
      <c r="K130" s="13"/>
      <c r="L130" s="13"/>
      <c r="M130" s="13"/>
      <c r="N130" s="13"/>
      <c r="O130" s="13"/>
      <c r="P130" s="13"/>
      <c r="Q130" s="13"/>
      <c r="R130" s="13"/>
      <c r="S130" s="13"/>
      <c r="T130" s="13"/>
      <c r="U130" s="13"/>
      <c r="Y130" s="47">
        <v>44723</v>
      </c>
      <c r="Z130" s="46">
        <v>273.25</v>
      </c>
      <c r="AA130" s="49">
        <v>-4.1099999999999998E-2</v>
      </c>
      <c r="AB130" s="13"/>
      <c r="AC130" s="13"/>
      <c r="AD130" s="13"/>
      <c r="AE130" s="47">
        <v>44723</v>
      </c>
      <c r="AF130" s="48">
        <v>18349.7</v>
      </c>
      <c r="AG130" s="49">
        <v>1.2800000000000001E-2</v>
      </c>
      <c r="AH130" s="13"/>
      <c r="AI130" s="13"/>
      <c r="AJ130" s="13"/>
      <c r="AK130" s="13"/>
      <c r="AL130" s="13"/>
      <c r="AM130" s="13"/>
      <c r="AN130" s="13"/>
      <c r="AO130" s="13"/>
      <c r="AP130" s="13"/>
      <c r="AQ130" s="13"/>
      <c r="AR130" s="13"/>
      <c r="AS130" s="13"/>
    </row>
    <row r="131" spans="1:45">
      <c r="A131" s="13"/>
      <c r="B131" s="46" t="s">
        <v>272</v>
      </c>
      <c r="C131" s="46">
        <v>381.45</v>
      </c>
      <c r="D131" s="49">
        <v>3.0499999999999999E-2</v>
      </c>
      <c r="E131" s="13"/>
      <c r="F131" s="13"/>
      <c r="G131" s="13"/>
      <c r="H131" s="46" t="s">
        <v>272</v>
      </c>
      <c r="I131" s="48">
        <v>26216.05</v>
      </c>
      <c r="J131" s="49">
        <v>8.0999999999999996E-3</v>
      </c>
      <c r="K131" s="13"/>
      <c r="L131" s="13"/>
      <c r="M131" s="13"/>
      <c r="N131" s="13"/>
      <c r="O131" s="13"/>
      <c r="P131" s="13"/>
      <c r="Q131" s="13"/>
      <c r="R131" s="13"/>
      <c r="S131" s="13"/>
      <c r="T131" s="13"/>
      <c r="U131" s="13"/>
      <c r="Y131" s="46" t="s">
        <v>552</v>
      </c>
      <c r="Z131" s="46">
        <v>284.95</v>
      </c>
      <c r="AA131" s="49">
        <v>-3.2399999999999998E-2</v>
      </c>
      <c r="AB131" s="13"/>
      <c r="AC131" s="13"/>
      <c r="AD131" s="13"/>
      <c r="AE131" s="46" t="s">
        <v>552</v>
      </c>
      <c r="AF131" s="48">
        <v>18117.150000000001</v>
      </c>
      <c r="AG131" s="49">
        <v>1.8599999999999998E-2</v>
      </c>
      <c r="AH131" s="13"/>
      <c r="AI131" s="13"/>
      <c r="AJ131" s="13"/>
      <c r="AK131" s="13"/>
      <c r="AL131" s="13"/>
      <c r="AM131" s="13"/>
      <c r="AN131" s="13"/>
      <c r="AO131" s="13"/>
      <c r="AP131" s="13"/>
      <c r="AQ131" s="13"/>
      <c r="AR131" s="13"/>
      <c r="AS131" s="13"/>
    </row>
    <row r="132" spans="1:45">
      <c r="A132" s="13"/>
      <c r="B132" s="46" t="s">
        <v>273</v>
      </c>
      <c r="C132" s="46">
        <v>370.15</v>
      </c>
      <c r="D132" s="49">
        <v>-1.3899999999999999E-2</v>
      </c>
      <c r="E132" s="13"/>
      <c r="F132" s="13"/>
      <c r="G132" s="13"/>
      <c r="H132" s="46" t="s">
        <v>273</v>
      </c>
      <c r="I132" s="48">
        <v>26004.15</v>
      </c>
      <c r="J132" s="49">
        <v>2.5000000000000001E-3</v>
      </c>
      <c r="K132" s="13"/>
      <c r="L132" s="13"/>
      <c r="M132" s="13"/>
      <c r="N132" s="13"/>
      <c r="O132" s="13"/>
      <c r="P132" s="13"/>
      <c r="Q132" s="13"/>
      <c r="R132" s="13"/>
      <c r="S132" s="13"/>
      <c r="T132" s="13"/>
      <c r="U132" s="13"/>
      <c r="Y132" s="46" t="s">
        <v>554</v>
      </c>
      <c r="Z132" s="46">
        <v>294.48</v>
      </c>
      <c r="AA132" s="49">
        <v>1.8499999999999999E-2</v>
      </c>
      <c r="AB132" s="13"/>
      <c r="AC132" s="13"/>
      <c r="AD132" s="13"/>
      <c r="AE132" s="46" t="s">
        <v>554</v>
      </c>
      <c r="AF132" s="48">
        <v>17786.8</v>
      </c>
      <c r="AG132" s="49">
        <v>1.2E-2</v>
      </c>
      <c r="AH132" s="13"/>
      <c r="AI132" s="13"/>
      <c r="AJ132" s="13"/>
      <c r="AK132" s="13"/>
      <c r="AL132" s="13"/>
      <c r="AM132" s="13"/>
      <c r="AN132" s="13"/>
      <c r="AO132" s="13"/>
      <c r="AP132" s="13"/>
      <c r="AQ132" s="13"/>
      <c r="AR132" s="13"/>
      <c r="AS132" s="13"/>
    </row>
    <row r="133" spans="1:45">
      <c r="A133" s="13"/>
      <c r="B133" s="46" t="s">
        <v>274</v>
      </c>
      <c r="C133" s="46">
        <v>375.35</v>
      </c>
      <c r="D133" s="49">
        <v>6.5100000000000005E-2</v>
      </c>
      <c r="E133" s="13"/>
      <c r="F133" s="13"/>
      <c r="G133" s="13"/>
      <c r="H133" s="46" t="s">
        <v>274</v>
      </c>
      <c r="I133" s="48">
        <v>25940.400000000001</v>
      </c>
      <c r="J133" s="49">
        <v>1E-4</v>
      </c>
      <c r="K133" s="13"/>
      <c r="L133" s="13"/>
      <c r="M133" s="13"/>
      <c r="N133" s="13"/>
      <c r="O133" s="13"/>
      <c r="P133" s="13"/>
      <c r="Q133" s="13"/>
      <c r="R133" s="13"/>
      <c r="S133" s="13"/>
      <c r="T133" s="13"/>
      <c r="U133" s="13"/>
      <c r="Y133" s="46" t="s">
        <v>556</v>
      </c>
      <c r="Z133" s="46">
        <v>289.14</v>
      </c>
      <c r="AA133" s="49">
        <v>1.2699999999999999E-2</v>
      </c>
      <c r="AB133" s="13"/>
      <c r="AC133" s="13"/>
      <c r="AD133" s="13"/>
      <c r="AE133" s="46" t="s">
        <v>556</v>
      </c>
      <c r="AF133" s="48">
        <v>17576.3</v>
      </c>
      <c r="AG133" s="49">
        <v>2.2700000000000001E-2</v>
      </c>
      <c r="AH133" s="13"/>
      <c r="AI133" s="13"/>
      <c r="AJ133" s="13"/>
      <c r="AK133" s="13"/>
      <c r="AL133" s="13"/>
      <c r="AM133" s="13"/>
      <c r="AN133" s="13"/>
      <c r="AO133" s="13"/>
      <c r="AP133" s="13"/>
      <c r="AQ133" s="13"/>
      <c r="AR133" s="13"/>
      <c r="AS133" s="13"/>
    </row>
    <row r="134" spans="1:45">
      <c r="A134" s="13"/>
      <c r="B134" s="46" t="s">
        <v>275</v>
      </c>
      <c r="C134" s="46">
        <v>352.4</v>
      </c>
      <c r="D134" s="49">
        <v>1.35E-2</v>
      </c>
      <c r="E134" s="13"/>
      <c r="F134" s="13"/>
      <c r="G134" s="13"/>
      <c r="H134" s="46" t="s">
        <v>275</v>
      </c>
      <c r="I134" s="48">
        <v>25939.05</v>
      </c>
      <c r="J134" s="49">
        <v>5.7000000000000002E-3</v>
      </c>
      <c r="K134" s="13"/>
      <c r="L134" s="13"/>
      <c r="M134" s="13"/>
      <c r="N134" s="13"/>
      <c r="O134" s="13"/>
      <c r="P134" s="13"/>
      <c r="Q134" s="13"/>
      <c r="R134" s="13"/>
      <c r="S134" s="13"/>
      <c r="T134" s="13"/>
      <c r="U134" s="13"/>
      <c r="Y134" s="47">
        <v>44814</v>
      </c>
      <c r="Z134" s="46">
        <v>285.51</v>
      </c>
      <c r="AA134" s="49">
        <v>-3.2000000000000001E-2</v>
      </c>
      <c r="AB134" s="13"/>
      <c r="AC134" s="13"/>
      <c r="AD134" s="13"/>
      <c r="AE134" s="47">
        <v>44814</v>
      </c>
      <c r="AF134" s="48">
        <v>17185.7</v>
      </c>
      <c r="AG134" s="49">
        <v>-7.4000000000000003E-3</v>
      </c>
      <c r="AH134" s="13"/>
      <c r="AI134" s="13"/>
      <c r="AJ134" s="13"/>
      <c r="AK134" s="13"/>
      <c r="AL134" s="13"/>
      <c r="AM134" s="13"/>
      <c r="AN134" s="13"/>
      <c r="AO134" s="13"/>
      <c r="AP134" s="13"/>
      <c r="AQ134" s="13"/>
      <c r="AR134" s="13"/>
      <c r="AS134" s="13"/>
    </row>
    <row r="135" spans="1:45">
      <c r="A135" s="13"/>
      <c r="B135" s="46" t="s">
        <v>276</v>
      </c>
      <c r="C135" s="46">
        <v>347.7</v>
      </c>
      <c r="D135" s="49">
        <v>2.8199999999999999E-2</v>
      </c>
      <c r="E135" s="13"/>
      <c r="F135" s="13"/>
      <c r="G135" s="13"/>
      <c r="H135" s="46" t="s">
        <v>276</v>
      </c>
      <c r="I135" s="48">
        <v>25790.95</v>
      </c>
      <c r="J135" s="49">
        <v>1.4800000000000001E-2</v>
      </c>
      <c r="K135" s="13"/>
      <c r="L135" s="13"/>
      <c r="M135" s="13"/>
      <c r="N135" s="13"/>
      <c r="O135" s="13"/>
      <c r="P135" s="13"/>
      <c r="Q135" s="13"/>
      <c r="R135" s="13"/>
      <c r="S135" s="13"/>
      <c r="T135" s="13"/>
      <c r="U135" s="13"/>
      <c r="Y135" s="47">
        <v>44602</v>
      </c>
      <c r="Z135" s="46">
        <v>294.95999999999998</v>
      </c>
      <c r="AA135" s="49">
        <v>-1.43E-2</v>
      </c>
      <c r="AB135" s="13"/>
      <c r="AC135" s="13"/>
      <c r="AD135" s="13"/>
      <c r="AE135" s="47">
        <v>44602</v>
      </c>
      <c r="AF135" s="48">
        <v>17314.650000000001</v>
      </c>
      <c r="AG135" s="49">
        <v>1.29E-2</v>
      </c>
      <c r="AH135" s="13"/>
      <c r="AI135" s="13"/>
      <c r="AJ135" s="13"/>
      <c r="AK135" s="13"/>
      <c r="AL135" s="13"/>
      <c r="AM135" s="13"/>
      <c r="AN135" s="13"/>
      <c r="AO135" s="13"/>
      <c r="AP135" s="13"/>
      <c r="AQ135" s="13"/>
      <c r="AR135" s="13"/>
      <c r="AS135" s="13"/>
    </row>
    <row r="136" spans="1:45">
      <c r="A136" s="13"/>
      <c r="B136" s="46" t="s">
        <v>277</v>
      </c>
      <c r="C136" s="46">
        <v>338.15</v>
      </c>
      <c r="D136" s="49">
        <v>-2.9999999999999997E-4</v>
      </c>
      <c r="E136" s="13"/>
      <c r="F136" s="13"/>
      <c r="G136" s="13"/>
      <c r="H136" s="46" t="s">
        <v>277</v>
      </c>
      <c r="I136" s="48">
        <v>25415.8</v>
      </c>
      <c r="J136" s="49">
        <v>1.5E-3</v>
      </c>
      <c r="K136" s="13"/>
      <c r="L136" s="13"/>
      <c r="M136" s="13"/>
      <c r="N136" s="13"/>
      <c r="O136" s="13"/>
      <c r="P136" s="13"/>
      <c r="Q136" s="13"/>
      <c r="R136" s="13"/>
      <c r="S136" s="13"/>
      <c r="T136" s="13"/>
      <c r="U136" s="13"/>
      <c r="Y136" s="13"/>
      <c r="Z136" s="13"/>
      <c r="AA136" s="13"/>
      <c r="AB136" s="13"/>
      <c r="AC136" s="13"/>
      <c r="AD136" s="13"/>
      <c r="AE136" s="13"/>
      <c r="AF136" s="13"/>
      <c r="AG136" s="13"/>
      <c r="AH136" s="13"/>
      <c r="AI136" s="13"/>
      <c r="AJ136" s="13"/>
      <c r="AK136" s="13"/>
      <c r="AL136" s="13"/>
      <c r="AM136" s="13"/>
      <c r="AN136" s="13"/>
      <c r="AO136" s="13"/>
      <c r="AP136" s="13"/>
      <c r="AQ136" s="13"/>
      <c r="AR136" s="13"/>
      <c r="AS136" s="13"/>
    </row>
    <row r="137" spans="1:45">
      <c r="A137" s="13"/>
      <c r="B137" s="46" t="s">
        <v>278</v>
      </c>
      <c r="C137" s="46">
        <v>338.25</v>
      </c>
      <c r="D137" s="49">
        <v>1.6199999999999999E-2</v>
      </c>
      <c r="E137" s="13"/>
      <c r="F137" s="13"/>
      <c r="G137" s="13"/>
      <c r="H137" s="46" t="s">
        <v>278</v>
      </c>
      <c r="I137" s="48">
        <v>25377.55</v>
      </c>
      <c r="J137" s="49">
        <v>-1.6000000000000001E-3</v>
      </c>
      <c r="K137" s="13"/>
      <c r="L137" s="13"/>
      <c r="M137" s="13"/>
      <c r="N137" s="13"/>
      <c r="O137" s="13"/>
      <c r="P137" s="13"/>
      <c r="Q137" s="13"/>
      <c r="R137" s="13"/>
      <c r="S137" s="13"/>
      <c r="T137" s="13"/>
      <c r="U137" s="13"/>
    </row>
    <row r="138" spans="1:45">
      <c r="A138" s="13"/>
      <c r="B138" s="46" t="s">
        <v>279</v>
      </c>
      <c r="C138" s="46">
        <v>332.85</v>
      </c>
      <c r="D138" s="49">
        <v>1.37E-2</v>
      </c>
      <c r="E138" s="13"/>
      <c r="F138" s="13"/>
      <c r="G138" s="13"/>
      <c r="H138" s="46" t="s">
        <v>279</v>
      </c>
      <c r="I138" s="48">
        <v>25418.55</v>
      </c>
      <c r="J138" s="49">
        <v>1.4E-3</v>
      </c>
      <c r="K138" s="13"/>
      <c r="L138" s="13"/>
      <c r="M138" s="13"/>
      <c r="N138" s="13"/>
      <c r="O138" s="13"/>
      <c r="P138" s="13"/>
      <c r="Q138" s="13"/>
      <c r="R138" s="13"/>
      <c r="S138" s="13"/>
      <c r="T138" s="13"/>
      <c r="U138" s="13"/>
    </row>
    <row r="139" spans="1:45">
      <c r="A139" s="13"/>
      <c r="B139" s="46" t="s">
        <v>280</v>
      </c>
      <c r="C139" s="46">
        <v>328.35</v>
      </c>
      <c r="D139" s="49">
        <v>-2.9999999999999997E-4</v>
      </c>
      <c r="E139" s="13"/>
      <c r="F139" s="13"/>
      <c r="G139" s="13"/>
      <c r="H139" s="46" t="s">
        <v>280</v>
      </c>
      <c r="I139" s="48">
        <v>25383.75</v>
      </c>
      <c r="J139" s="49">
        <v>1.1000000000000001E-3</v>
      </c>
      <c r="K139" s="13"/>
      <c r="L139" s="13"/>
      <c r="M139" s="13"/>
      <c r="N139" s="13"/>
      <c r="O139" s="13"/>
      <c r="P139" s="13"/>
      <c r="Q139" s="13"/>
      <c r="R139" s="13"/>
      <c r="S139" s="13"/>
      <c r="T139" s="13"/>
      <c r="U139" s="13"/>
    </row>
    <row r="140" spans="1:45">
      <c r="A140" s="13"/>
      <c r="B140" s="46" t="s">
        <v>281</v>
      </c>
      <c r="C140" s="46">
        <v>328.45</v>
      </c>
      <c r="D140" s="49">
        <v>-1.1999999999999999E-3</v>
      </c>
      <c r="E140" s="13"/>
      <c r="F140" s="13"/>
      <c r="G140" s="13"/>
      <c r="H140" s="46" t="s">
        <v>281</v>
      </c>
      <c r="I140" s="48">
        <v>25356.5</v>
      </c>
      <c r="J140" s="49">
        <v>-1.2999999999999999E-3</v>
      </c>
      <c r="K140" s="13"/>
      <c r="L140" s="13"/>
      <c r="M140" s="13"/>
      <c r="N140" s="13"/>
      <c r="O140" s="13"/>
      <c r="P140" s="13"/>
      <c r="Q140" s="13"/>
      <c r="R140" s="13"/>
      <c r="S140" s="13"/>
      <c r="T140" s="13"/>
      <c r="U140" s="13"/>
    </row>
    <row r="141" spans="1:45">
      <c r="A141" s="13"/>
      <c r="B141" s="47">
        <v>45635</v>
      </c>
      <c r="C141" s="46">
        <v>328.85</v>
      </c>
      <c r="D141" s="49">
        <v>-1.9800000000000002E-2</v>
      </c>
      <c r="E141" s="13"/>
      <c r="F141" s="13"/>
      <c r="G141" s="13"/>
      <c r="H141" s="47">
        <v>45635</v>
      </c>
      <c r="I141" s="48">
        <v>25388.9</v>
      </c>
      <c r="J141" s="49">
        <v>1.89E-2</v>
      </c>
      <c r="K141" s="13"/>
      <c r="L141" s="13"/>
      <c r="M141" s="13"/>
      <c r="N141" s="13"/>
      <c r="O141" s="13"/>
      <c r="P141" s="13"/>
      <c r="Q141" s="13"/>
      <c r="R141" s="13"/>
      <c r="S141" s="13"/>
      <c r="T141" s="13"/>
      <c r="U141" s="13"/>
    </row>
    <row r="142" spans="1:45">
      <c r="A142" s="13"/>
      <c r="B142" s="47">
        <v>45605</v>
      </c>
      <c r="C142" s="46">
        <v>335.5</v>
      </c>
      <c r="D142" s="49">
        <v>-8.9999999999999993E-3</v>
      </c>
      <c r="E142" s="13"/>
      <c r="F142" s="13"/>
      <c r="G142" s="13"/>
      <c r="H142" s="47">
        <v>45605</v>
      </c>
      <c r="I142" s="48">
        <v>24918.45</v>
      </c>
      <c r="J142" s="49">
        <v>-4.8999999999999998E-3</v>
      </c>
      <c r="K142" s="13"/>
      <c r="L142" s="13"/>
      <c r="M142" s="13"/>
      <c r="N142" s="13"/>
      <c r="O142" s="13"/>
      <c r="P142" s="13"/>
      <c r="Q142" s="13"/>
      <c r="R142" s="13"/>
      <c r="S142" s="13"/>
      <c r="T142" s="13"/>
      <c r="U142" s="13"/>
    </row>
    <row r="143" spans="1:45">
      <c r="A143" s="13"/>
      <c r="B143" s="47">
        <v>45574</v>
      </c>
      <c r="C143" s="46">
        <v>338.55</v>
      </c>
      <c r="D143" s="49">
        <v>3.7199999999999997E-2</v>
      </c>
      <c r="E143" s="13"/>
      <c r="F143" s="13"/>
      <c r="G143" s="13"/>
      <c r="H143" s="47">
        <v>45574</v>
      </c>
      <c r="I143" s="48">
        <v>25041.1</v>
      </c>
      <c r="J143" s="49">
        <v>4.1999999999999997E-3</v>
      </c>
      <c r="K143" s="13"/>
      <c r="L143" s="13"/>
      <c r="M143" s="13"/>
      <c r="N143" s="13"/>
      <c r="O143" s="13"/>
      <c r="P143" s="13"/>
      <c r="Q143" s="13"/>
      <c r="R143" s="13"/>
      <c r="S143" s="13"/>
      <c r="T143" s="13"/>
      <c r="U143" s="13"/>
    </row>
    <row r="144" spans="1:45">
      <c r="A144" s="13"/>
      <c r="B144" s="47">
        <v>45544</v>
      </c>
      <c r="C144" s="46">
        <v>326.39999999999998</v>
      </c>
      <c r="D144" s="49">
        <v>-2.9700000000000001E-2</v>
      </c>
      <c r="E144" s="13"/>
      <c r="F144" s="13"/>
      <c r="G144" s="13"/>
      <c r="H144" s="47">
        <v>45544</v>
      </c>
      <c r="I144" s="48">
        <v>24936.400000000001</v>
      </c>
      <c r="J144" s="49">
        <v>3.3999999999999998E-3</v>
      </c>
      <c r="K144" s="13"/>
      <c r="L144" s="13"/>
      <c r="M144" s="13"/>
      <c r="N144" s="13"/>
      <c r="O144" s="13"/>
      <c r="P144" s="13"/>
      <c r="Q144" s="13"/>
      <c r="R144" s="13"/>
      <c r="S144" s="13"/>
      <c r="T144" s="13"/>
      <c r="U144" s="13"/>
    </row>
    <row r="145" spans="1:21">
      <c r="A145" s="13"/>
      <c r="B145" s="47">
        <v>45452</v>
      </c>
      <c r="C145" s="46">
        <v>336.4</v>
      </c>
      <c r="D145" s="49">
        <v>1.6299999999999999E-2</v>
      </c>
      <c r="E145" s="13"/>
      <c r="F145" s="13"/>
      <c r="G145" s="13"/>
      <c r="H145" s="47">
        <v>45452</v>
      </c>
      <c r="I145" s="48">
        <v>24852.15</v>
      </c>
      <c r="J145" s="49">
        <v>-1.17E-2</v>
      </c>
      <c r="K145" s="13"/>
      <c r="L145" s="13"/>
      <c r="M145" s="13"/>
      <c r="N145" s="13"/>
      <c r="O145" s="13"/>
      <c r="P145" s="13"/>
      <c r="Q145" s="13"/>
      <c r="R145" s="13"/>
      <c r="S145" s="13"/>
      <c r="T145" s="13"/>
      <c r="U145" s="13"/>
    </row>
    <row r="146" spans="1:21">
      <c r="A146" s="13"/>
      <c r="B146" s="47">
        <v>45421</v>
      </c>
      <c r="C146" s="46">
        <v>331</v>
      </c>
      <c r="D146" s="49">
        <v>-1.72E-2</v>
      </c>
      <c r="E146" s="13"/>
      <c r="F146" s="13"/>
      <c r="G146" s="13"/>
      <c r="H146" s="47">
        <v>45421</v>
      </c>
      <c r="I146" s="48">
        <v>25145.1</v>
      </c>
      <c r="J146" s="49">
        <v>-2.0999999999999999E-3</v>
      </c>
      <c r="K146" s="13"/>
      <c r="L146" s="13"/>
      <c r="M146" s="13"/>
      <c r="N146" s="13"/>
      <c r="O146" s="13"/>
      <c r="P146" s="13"/>
      <c r="Q146" s="13"/>
      <c r="R146" s="13"/>
      <c r="S146" s="13"/>
      <c r="T146" s="13"/>
      <c r="U146" s="13"/>
    </row>
    <row r="147" spans="1:21">
      <c r="A147" s="13"/>
      <c r="B147" s="47">
        <v>45391</v>
      </c>
      <c r="C147" s="46">
        <v>336.8</v>
      </c>
      <c r="D147" s="49">
        <v>1.5800000000000002E-2</v>
      </c>
      <c r="E147" s="13"/>
      <c r="F147" s="13"/>
      <c r="G147" s="13"/>
      <c r="H147" s="47">
        <v>45391</v>
      </c>
      <c r="I147" s="48">
        <v>25198.7</v>
      </c>
      <c r="J147" s="49">
        <v>-3.2000000000000002E-3</v>
      </c>
      <c r="K147" s="13"/>
      <c r="L147" s="13"/>
      <c r="M147" s="13"/>
      <c r="N147" s="13"/>
      <c r="O147" s="13"/>
      <c r="P147" s="13"/>
      <c r="Q147" s="13"/>
      <c r="R147" s="13"/>
      <c r="S147" s="13"/>
      <c r="T147" s="13"/>
      <c r="U147" s="13"/>
    </row>
    <row r="148" spans="1:21">
      <c r="A148" s="13"/>
      <c r="B148" s="47">
        <v>45360</v>
      </c>
      <c r="C148" s="46">
        <v>331.57</v>
      </c>
      <c r="D148" s="49">
        <v>3.0999999999999999E-3</v>
      </c>
      <c r="E148" s="13"/>
      <c r="F148" s="13"/>
      <c r="G148" s="13"/>
      <c r="H148" s="47">
        <v>45360</v>
      </c>
      <c r="I148" s="48">
        <v>25279.85</v>
      </c>
      <c r="J148" s="49">
        <v>0</v>
      </c>
      <c r="K148" s="13"/>
      <c r="L148" s="13"/>
      <c r="M148" s="13"/>
      <c r="N148" s="13"/>
      <c r="O148" s="13"/>
      <c r="P148" s="13"/>
      <c r="Q148" s="13"/>
      <c r="R148" s="13"/>
      <c r="S148" s="13"/>
      <c r="T148" s="13"/>
      <c r="U148" s="13"/>
    </row>
    <row r="149" spans="1:21">
      <c r="A149" s="13"/>
      <c r="B149" s="47">
        <v>45331</v>
      </c>
      <c r="C149" s="46">
        <v>330.56</v>
      </c>
      <c r="D149" s="49">
        <v>-7.4999999999999997E-3</v>
      </c>
      <c r="E149" s="13"/>
      <c r="F149" s="13"/>
      <c r="G149" s="13"/>
      <c r="H149" s="47">
        <v>45331</v>
      </c>
      <c r="I149" s="48">
        <v>25278.7</v>
      </c>
      <c r="J149" s="49">
        <v>1.6999999999999999E-3</v>
      </c>
      <c r="K149" s="13"/>
      <c r="L149" s="13"/>
      <c r="M149" s="13"/>
      <c r="N149" s="13"/>
      <c r="O149" s="13"/>
      <c r="P149" s="13"/>
      <c r="Q149" s="13"/>
      <c r="R149" s="13"/>
      <c r="S149" s="13"/>
      <c r="T149" s="13"/>
      <c r="U149" s="13"/>
    </row>
    <row r="150" spans="1:21">
      <c r="A150" s="13"/>
      <c r="B150" s="46" t="s">
        <v>282</v>
      </c>
      <c r="C150" s="46">
        <v>333.07</v>
      </c>
      <c r="D150" s="49">
        <v>4.02E-2</v>
      </c>
      <c r="E150" s="13"/>
      <c r="F150" s="13"/>
      <c r="G150" s="13"/>
      <c r="H150" s="46" t="s">
        <v>282</v>
      </c>
      <c r="I150" s="48">
        <v>25235.9</v>
      </c>
      <c r="J150" s="49">
        <v>3.3E-3</v>
      </c>
      <c r="K150" s="13"/>
      <c r="L150" s="13"/>
      <c r="M150" s="13"/>
      <c r="N150" s="13"/>
      <c r="O150" s="13"/>
      <c r="P150" s="13"/>
      <c r="Q150" s="13"/>
      <c r="R150" s="13"/>
      <c r="S150" s="13"/>
      <c r="T150" s="13"/>
      <c r="U150" s="13"/>
    </row>
    <row r="151" spans="1:21">
      <c r="A151" s="13"/>
      <c r="B151" s="46" t="s">
        <v>283</v>
      </c>
      <c r="C151" s="46">
        <v>320.20999999999998</v>
      </c>
      <c r="D151" s="49">
        <v>-1.6000000000000001E-3</v>
      </c>
      <c r="E151" s="13"/>
      <c r="F151" s="13"/>
      <c r="G151" s="13"/>
      <c r="H151" s="46" t="s">
        <v>283</v>
      </c>
      <c r="I151" s="48">
        <v>25151.95</v>
      </c>
      <c r="J151" s="49">
        <v>4.0000000000000001E-3</v>
      </c>
      <c r="K151" s="13"/>
      <c r="L151" s="13"/>
      <c r="M151" s="13"/>
      <c r="N151" s="13"/>
      <c r="O151" s="13"/>
      <c r="P151" s="13"/>
      <c r="Q151" s="13"/>
      <c r="R151" s="13"/>
      <c r="S151" s="13"/>
      <c r="T151" s="13"/>
      <c r="U151" s="13"/>
    </row>
    <row r="152" spans="1:21">
      <c r="A152" s="13"/>
      <c r="B152" s="46" t="s">
        <v>284</v>
      </c>
      <c r="C152" s="46">
        <v>320.72000000000003</v>
      </c>
      <c r="D152" s="49">
        <v>-1.11E-2</v>
      </c>
      <c r="E152" s="13"/>
      <c r="F152" s="13"/>
      <c r="G152" s="13"/>
      <c r="H152" s="46" t="s">
        <v>284</v>
      </c>
      <c r="I152" s="48">
        <v>25052.35</v>
      </c>
      <c r="J152" s="49">
        <v>1.4E-3</v>
      </c>
      <c r="K152" s="13"/>
      <c r="L152" s="13"/>
      <c r="M152" s="13"/>
      <c r="N152" s="13"/>
      <c r="O152" s="13"/>
      <c r="P152" s="13"/>
      <c r="Q152" s="13"/>
      <c r="R152" s="13"/>
      <c r="S152" s="13"/>
      <c r="T152" s="13"/>
      <c r="U152" s="13"/>
    </row>
    <row r="153" spans="1:21">
      <c r="A153" s="13"/>
      <c r="B153" s="46" t="s">
        <v>285</v>
      </c>
      <c r="C153" s="46">
        <v>324.33</v>
      </c>
      <c r="D153" s="49">
        <v>-2.0999999999999999E-3</v>
      </c>
      <c r="E153" s="13"/>
      <c r="F153" s="13"/>
      <c r="G153" s="13"/>
      <c r="H153" s="46" t="s">
        <v>285</v>
      </c>
      <c r="I153" s="48">
        <v>25017.75</v>
      </c>
      <c r="J153" s="49">
        <v>2.9999999999999997E-4</v>
      </c>
      <c r="K153" s="13"/>
      <c r="L153" s="13"/>
      <c r="M153" s="13"/>
      <c r="N153" s="13"/>
      <c r="O153" s="13"/>
      <c r="P153" s="13"/>
      <c r="Q153" s="13"/>
      <c r="R153" s="13"/>
      <c r="S153" s="13"/>
      <c r="T153" s="13"/>
      <c r="U153" s="13"/>
    </row>
    <row r="154" spans="1:21">
      <c r="A154" s="13"/>
      <c r="B154" s="46" t="s">
        <v>286</v>
      </c>
      <c r="C154" s="46">
        <v>325</v>
      </c>
      <c r="D154" s="49">
        <v>-4.5999999999999999E-3</v>
      </c>
      <c r="E154" s="13"/>
      <c r="F154" s="13"/>
      <c r="G154" s="13"/>
      <c r="H154" s="46" t="s">
        <v>286</v>
      </c>
      <c r="I154" s="48">
        <v>25010.6</v>
      </c>
      <c r="J154" s="49">
        <v>7.6E-3</v>
      </c>
      <c r="K154" s="13"/>
      <c r="L154" s="13"/>
      <c r="M154" s="13"/>
      <c r="N154" s="13"/>
      <c r="O154" s="13"/>
      <c r="P154" s="13"/>
      <c r="Q154" s="13"/>
      <c r="R154" s="13"/>
      <c r="S154" s="13"/>
      <c r="T154" s="13"/>
      <c r="U154" s="13"/>
    </row>
    <row r="155" spans="1:21">
      <c r="A155" s="13"/>
      <c r="B155" s="46" t="s">
        <v>287</v>
      </c>
      <c r="C155" s="46">
        <v>326.49</v>
      </c>
      <c r="D155" s="49">
        <v>1.4E-2</v>
      </c>
      <c r="E155" s="13"/>
      <c r="F155" s="13"/>
      <c r="G155" s="13"/>
      <c r="H155" s="46" t="s">
        <v>287</v>
      </c>
      <c r="I155" s="48">
        <v>24823.15</v>
      </c>
      <c r="J155" s="49">
        <v>5.0000000000000001E-4</v>
      </c>
      <c r="K155" s="13"/>
      <c r="L155" s="13"/>
      <c r="M155" s="13"/>
      <c r="N155" s="13"/>
      <c r="O155" s="13"/>
      <c r="P155" s="13"/>
      <c r="Q155" s="13"/>
      <c r="R155" s="13"/>
      <c r="S155" s="13"/>
      <c r="T155" s="13"/>
      <c r="U155" s="13"/>
    </row>
    <row r="156" spans="1:21">
      <c r="A156" s="13"/>
      <c r="B156" s="46" t="s">
        <v>288</v>
      </c>
      <c r="C156" s="46">
        <v>321.97000000000003</v>
      </c>
      <c r="D156" s="49">
        <v>9.4000000000000004E-3</v>
      </c>
      <c r="E156" s="13"/>
      <c r="F156" s="13"/>
      <c r="G156" s="13"/>
      <c r="H156" s="46" t="s">
        <v>288</v>
      </c>
      <c r="I156" s="48">
        <v>24811.5</v>
      </c>
      <c r="J156" s="49">
        <v>1.6999999999999999E-3</v>
      </c>
      <c r="K156" s="13"/>
      <c r="L156" s="13"/>
      <c r="M156" s="13"/>
      <c r="N156" s="13"/>
      <c r="O156" s="13"/>
      <c r="P156" s="13"/>
      <c r="Q156" s="13"/>
      <c r="R156" s="13"/>
      <c r="S156" s="13"/>
      <c r="T156" s="13"/>
      <c r="U156" s="13"/>
    </row>
    <row r="157" spans="1:21">
      <c r="A157" s="13"/>
      <c r="B157" s="46" t="s">
        <v>289</v>
      </c>
      <c r="C157" s="46">
        <v>318.95999999999998</v>
      </c>
      <c r="D157" s="49">
        <v>1.34E-2</v>
      </c>
      <c r="E157" s="13"/>
      <c r="F157" s="13"/>
      <c r="G157" s="13"/>
      <c r="H157" s="46" t="s">
        <v>289</v>
      </c>
      <c r="I157" s="48">
        <v>24770.2</v>
      </c>
      <c r="J157" s="49">
        <v>2.8999999999999998E-3</v>
      </c>
      <c r="K157" s="13"/>
      <c r="L157" s="13"/>
      <c r="M157" s="13"/>
      <c r="N157" s="13"/>
      <c r="O157" s="13"/>
      <c r="P157" s="13"/>
      <c r="Q157" s="13"/>
      <c r="R157" s="13"/>
      <c r="S157" s="13"/>
      <c r="T157" s="13"/>
      <c r="U157" s="13"/>
    </row>
    <row r="158" spans="1:21">
      <c r="A158" s="13"/>
      <c r="B158" s="46" t="s">
        <v>290</v>
      </c>
      <c r="C158" s="46">
        <v>314.75</v>
      </c>
      <c r="D158" s="49">
        <v>8.9999999999999993E-3</v>
      </c>
      <c r="E158" s="13"/>
      <c r="F158" s="13"/>
      <c r="G158" s="13"/>
      <c r="H158" s="46" t="s">
        <v>290</v>
      </c>
      <c r="I158" s="48">
        <v>24698.85</v>
      </c>
      <c r="J158" s="49">
        <v>5.1000000000000004E-3</v>
      </c>
      <c r="K158" s="13"/>
      <c r="L158" s="13"/>
      <c r="M158" s="13"/>
      <c r="N158" s="13"/>
      <c r="O158" s="13"/>
      <c r="P158" s="13"/>
      <c r="Q158" s="13"/>
      <c r="R158" s="13"/>
      <c r="S158" s="13"/>
      <c r="T158" s="13"/>
      <c r="U158" s="13"/>
    </row>
    <row r="159" spans="1:21">
      <c r="A159" s="13"/>
      <c r="B159" s="46" t="s">
        <v>291</v>
      </c>
      <c r="C159" s="46">
        <v>311.95</v>
      </c>
      <c r="D159" s="49">
        <v>-1.6999999999999999E-3</v>
      </c>
      <c r="E159" s="13"/>
      <c r="F159" s="13"/>
      <c r="G159" s="13"/>
      <c r="H159" s="46" t="s">
        <v>291</v>
      </c>
      <c r="I159" s="48">
        <v>24572.65</v>
      </c>
      <c r="J159" s="49">
        <v>1.2999999999999999E-3</v>
      </c>
      <c r="K159" s="13"/>
      <c r="L159" s="13"/>
      <c r="M159" s="13"/>
      <c r="N159" s="13"/>
      <c r="O159" s="13"/>
      <c r="P159" s="13"/>
      <c r="Q159" s="13"/>
      <c r="R159" s="13"/>
      <c r="S159" s="13"/>
      <c r="T159" s="13"/>
      <c r="U159" s="13"/>
    </row>
    <row r="160" spans="1:21">
      <c r="A160" s="13"/>
      <c r="B160" s="46" t="s">
        <v>292</v>
      </c>
      <c r="C160" s="46">
        <v>312.49</v>
      </c>
      <c r="D160" s="49">
        <v>1.6899999999999998E-2</v>
      </c>
      <c r="E160" s="13"/>
      <c r="F160" s="13"/>
      <c r="G160" s="13"/>
      <c r="H160" s="46" t="s">
        <v>292</v>
      </c>
      <c r="I160" s="48">
        <v>24541.15</v>
      </c>
      <c r="J160" s="49">
        <v>1.6500000000000001E-2</v>
      </c>
      <c r="K160" s="13"/>
      <c r="L160" s="13"/>
      <c r="M160" s="13"/>
      <c r="N160" s="13"/>
      <c r="O160" s="13"/>
      <c r="P160" s="13"/>
      <c r="Q160" s="13"/>
      <c r="R160" s="13"/>
      <c r="S160" s="13"/>
      <c r="T160" s="13"/>
      <c r="U160" s="13"/>
    </row>
    <row r="161" spans="1:21">
      <c r="A161" s="13"/>
      <c r="B161" s="46" t="s">
        <v>293</v>
      </c>
      <c r="C161" s="46">
        <v>307.3</v>
      </c>
      <c r="D161" s="49">
        <v>-2.2000000000000001E-3</v>
      </c>
      <c r="E161" s="13"/>
      <c r="F161" s="13"/>
      <c r="G161" s="13"/>
      <c r="H161" s="46" t="s">
        <v>293</v>
      </c>
      <c r="I161" s="48">
        <v>24143.75</v>
      </c>
      <c r="J161" s="49">
        <v>2.0000000000000001E-4</v>
      </c>
      <c r="K161" s="13"/>
      <c r="L161" s="13"/>
      <c r="M161" s="13"/>
      <c r="N161" s="13"/>
      <c r="O161" s="13"/>
      <c r="P161" s="13"/>
      <c r="Q161" s="13"/>
      <c r="R161" s="13"/>
      <c r="S161" s="13"/>
      <c r="T161" s="13"/>
      <c r="U161" s="13"/>
    </row>
    <row r="162" spans="1:21">
      <c r="A162" s="13"/>
      <c r="B162" s="46" t="s">
        <v>294</v>
      </c>
      <c r="C162" s="46">
        <v>307.97000000000003</v>
      </c>
      <c r="D162" s="49">
        <v>-3.4500000000000003E-2</v>
      </c>
      <c r="E162" s="13"/>
      <c r="F162" s="13"/>
      <c r="G162" s="13"/>
      <c r="H162" s="46" t="s">
        <v>294</v>
      </c>
      <c r="I162" s="48">
        <v>24139</v>
      </c>
      <c r="J162" s="49">
        <v>-8.5000000000000006E-3</v>
      </c>
      <c r="K162" s="13"/>
      <c r="L162" s="13"/>
      <c r="M162" s="13"/>
      <c r="N162" s="13"/>
      <c r="O162" s="13"/>
      <c r="P162" s="13"/>
      <c r="Q162" s="13"/>
      <c r="R162" s="13"/>
      <c r="S162" s="13"/>
      <c r="T162" s="13"/>
      <c r="U162" s="13"/>
    </row>
    <row r="163" spans="1:21">
      <c r="A163" s="13"/>
      <c r="B163" s="47">
        <v>45634</v>
      </c>
      <c r="C163" s="46">
        <v>318.99</v>
      </c>
      <c r="D163" s="49">
        <v>2.5999999999999999E-3</v>
      </c>
      <c r="E163" s="13"/>
      <c r="F163" s="13"/>
      <c r="G163" s="13"/>
      <c r="H163" s="47">
        <v>45634</v>
      </c>
      <c r="I163" s="48">
        <v>24347</v>
      </c>
      <c r="J163" s="49">
        <v>-8.0000000000000004E-4</v>
      </c>
      <c r="K163" s="13"/>
      <c r="L163" s="13"/>
      <c r="M163" s="13"/>
      <c r="N163" s="13"/>
      <c r="O163" s="13"/>
      <c r="P163" s="13"/>
      <c r="Q163" s="13"/>
      <c r="R163" s="13"/>
      <c r="S163" s="13"/>
      <c r="T163" s="13"/>
      <c r="U163" s="13"/>
    </row>
    <row r="164" spans="1:21">
      <c r="A164" s="13"/>
      <c r="B164" s="47">
        <v>45543</v>
      </c>
      <c r="C164" s="46">
        <v>318.14999999999998</v>
      </c>
      <c r="D164" s="49">
        <v>-1.3100000000000001E-2</v>
      </c>
      <c r="E164" s="13"/>
      <c r="F164" s="13"/>
      <c r="G164" s="13"/>
      <c r="H164" s="47">
        <v>45543</v>
      </c>
      <c r="I164" s="48">
        <v>24367.5</v>
      </c>
      <c r="J164" s="49">
        <v>1.04E-2</v>
      </c>
      <c r="K164" s="13"/>
      <c r="L164" s="13"/>
      <c r="M164" s="13"/>
      <c r="N164" s="13"/>
      <c r="O164" s="13"/>
      <c r="P164" s="13"/>
      <c r="Q164" s="13"/>
      <c r="R164" s="13"/>
      <c r="S164" s="13"/>
      <c r="T164" s="13"/>
      <c r="U164" s="13"/>
    </row>
    <row r="165" spans="1:21">
      <c r="A165" s="13"/>
      <c r="B165" s="47">
        <v>45512</v>
      </c>
      <c r="C165" s="46">
        <v>322.36</v>
      </c>
      <c r="D165" s="49">
        <v>-1.8100000000000002E-2</v>
      </c>
      <c r="E165" s="13"/>
      <c r="F165" s="13"/>
      <c r="G165" s="13"/>
      <c r="H165" s="47">
        <v>45512</v>
      </c>
      <c r="I165" s="48">
        <v>24117</v>
      </c>
      <c r="J165" s="49">
        <v>-7.4000000000000003E-3</v>
      </c>
      <c r="K165" s="13"/>
      <c r="L165" s="13"/>
      <c r="M165" s="13"/>
      <c r="N165" s="13"/>
      <c r="O165" s="13"/>
      <c r="P165" s="13"/>
      <c r="Q165" s="13"/>
      <c r="R165" s="13"/>
      <c r="S165" s="13"/>
      <c r="T165" s="13"/>
      <c r="U165" s="13"/>
    </row>
    <row r="166" spans="1:21">
      <c r="A166" s="13"/>
      <c r="B166" s="47">
        <v>45481</v>
      </c>
      <c r="C166" s="46">
        <v>328.29</v>
      </c>
      <c r="D166" s="49">
        <v>-6.4999999999999997E-3</v>
      </c>
      <c r="E166" s="13"/>
      <c r="F166" s="13"/>
      <c r="G166" s="13"/>
      <c r="H166" s="47">
        <v>45481</v>
      </c>
      <c r="I166" s="48">
        <v>24297.5</v>
      </c>
      <c r="J166" s="49">
        <v>1.2699999999999999E-2</v>
      </c>
      <c r="K166" s="13"/>
      <c r="L166" s="13"/>
      <c r="M166" s="13"/>
      <c r="N166" s="13"/>
      <c r="O166" s="13"/>
      <c r="P166" s="13"/>
      <c r="Q166" s="13"/>
      <c r="R166" s="13"/>
      <c r="S166" s="13"/>
      <c r="T166" s="13"/>
      <c r="U166" s="13"/>
    </row>
    <row r="167" spans="1:21">
      <c r="A167" s="13"/>
      <c r="B167" s="47">
        <v>45451</v>
      </c>
      <c r="C167" s="46">
        <v>330.44</v>
      </c>
      <c r="D167" s="49">
        <v>1.43E-2</v>
      </c>
      <c r="E167" s="13"/>
      <c r="F167" s="13"/>
      <c r="G167" s="13"/>
      <c r="H167" s="47">
        <v>45451</v>
      </c>
      <c r="I167" s="48">
        <v>23992.55</v>
      </c>
      <c r="J167" s="49">
        <v>-2.5999999999999999E-3</v>
      </c>
      <c r="K167" s="13"/>
      <c r="L167" s="13"/>
      <c r="M167" s="13"/>
      <c r="N167" s="13"/>
      <c r="O167" s="13"/>
      <c r="P167" s="13"/>
      <c r="Q167" s="13"/>
      <c r="R167" s="13"/>
      <c r="S167" s="13"/>
      <c r="T167" s="13"/>
      <c r="U167" s="13"/>
    </row>
    <row r="168" spans="1:21">
      <c r="A168" s="13"/>
      <c r="B168" s="47">
        <v>45420</v>
      </c>
      <c r="C168" s="46">
        <v>325.79000000000002</v>
      </c>
      <c r="D168" s="49">
        <v>-2.75E-2</v>
      </c>
      <c r="E168" s="13"/>
      <c r="F168" s="13"/>
      <c r="G168" s="13"/>
      <c r="H168" s="47">
        <v>45420</v>
      </c>
      <c r="I168" s="48">
        <v>24055.599999999999</v>
      </c>
      <c r="J168" s="49">
        <v>-2.6800000000000001E-2</v>
      </c>
      <c r="K168" s="13"/>
      <c r="L168" s="13"/>
      <c r="M168" s="13"/>
      <c r="N168" s="13"/>
      <c r="O168" s="13"/>
      <c r="P168" s="13"/>
      <c r="Q168" s="13"/>
      <c r="R168" s="13"/>
      <c r="S168" s="13"/>
      <c r="T168" s="13"/>
      <c r="U168" s="13"/>
    </row>
    <row r="169" spans="1:21">
      <c r="A169" s="13"/>
      <c r="B169" s="47">
        <v>45330</v>
      </c>
      <c r="C169" s="46">
        <v>335.01</v>
      </c>
      <c r="D169" s="49">
        <v>-1.2800000000000001E-2</v>
      </c>
      <c r="E169" s="13"/>
      <c r="F169" s="13"/>
      <c r="G169" s="13"/>
      <c r="H169" s="47">
        <v>45330</v>
      </c>
      <c r="I169" s="48">
        <v>24717.7</v>
      </c>
      <c r="J169" s="49">
        <v>-1.17E-2</v>
      </c>
      <c r="K169" s="13"/>
      <c r="L169" s="13"/>
      <c r="M169" s="13"/>
      <c r="N169" s="13"/>
      <c r="O169" s="13"/>
      <c r="P169" s="13"/>
      <c r="Q169" s="13"/>
      <c r="R169" s="13"/>
      <c r="S169" s="13"/>
      <c r="T169" s="13"/>
      <c r="U169" s="13"/>
    </row>
    <row r="170" spans="1:21">
      <c r="A170" s="13"/>
      <c r="B170" s="47">
        <v>45299</v>
      </c>
      <c r="C170" s="46">
        <v>339.35</v>
      </c>
      <c r="D170" s="49">
        <v>2.81E-2</v>
      </c>
      <c r="E170" s="13"/>
      <c r="F170" s="13"/>
      <c r="G170" s="13"/>
      <c r="H170" s="47">
        <v>45299</v>
      </c>
      <c r="I170" s="48">
        <v>25010.9</v>
      </c>
      <c r="J170" s="49">
        <v>2.3999999999999998E-3</v>
      </c>
      <c r="K170" s="13"/>
      <c r="L170" s="13"/>
      <c r="M170" s="13"/>
      <c r="N170" s="13"/>
      <c r="O170" s="13"/>
      <c r="P170" s="13"/>
      <c r="Q170" s="13"/>
      <c r="R170" s="13"/>
      <c r="S170" s="13"/>
      <c r="T170" s="13"/>
      <c r="U170" s="13"/>
    </row>
    <row r="171" spans="1:21">
      <c r="A171" s="13"/>
      <c r="B171" s="46" t="s">
        <v>295</v>
      </c>
      <c r="C171" s="46">
        <v>330.09</v>
      </c>
      <c r="D171" s="49">
        <v>2.5600000000000001E-2</v>
      </c>
      <c r="E171" s="13"/>
      <c r="F171" s="13"/>
      <c r="G171" s="13"/>
      <c r="H171" s="46" t="s">
        <v>295</v>
      </c>
      <c r="I171" s="48">
        <v>24951.15</v>
      </c>
      <c r="J171" s="49">
        <v>3.8E-3</v>
      </c>
      <c r="K171" s="13"/>
      <c r="L171" s="13"/>
      <c r="M171" s="13"/>
      <c r="N171" s="13"/>
      <c r="O171" s="13"/>
      <c r="P171" s="13"/>
      <c r="Q171" s="13"/>
      <c r="R171" s="13"/>
      <c r="S171" s="13"/>
      <c r="T171" s="13"/>
      <c r="U171" s="13"/>
    </row>
    <row r="172" spans="1:21">
      <c r="A172" s="13"/>
      <c r="B172" s="46" t="s">
        <v>296</v>
      </c>
      <c r="C172" s="46">
        <v>321.83999999999997</v>
      </c>
      <c r="D172" s="49">
        <v>1.7299999999999999E-2</v>
      </c>
      <c r="E172" s="13"/>
      <c r="F172" s="13"/>
      <c r="G172" s="13"/>
      <c r="H172" s="46" t="s">
        <v>296</v>
      </c>
      <c r="I172" s="48">
        <v>24857.3</v>
      </c>
      <c r="J172" s="49">
        <v>8.9999999999999998E-4</v>
      </c>
      <c r="K172" s="13"/>
      <c r="L172" s="13"/>
      <c r="M172" s="13"/>
      <c r="N172" s="13"/>
      <c r="O172" s="13"/>
      <c r="P172" s="13"/>
      <c r="Q172" s="13"/>
      <c r="R172" s="13"/>
      <c r="S172" s="13"/>
      <c r="T172" s="13"/>
      <c r="U172" s="13"/>
    </row>
    <row r="173" spans="1:21">
      <c r="A173" s="13"/>
      <c r="B173" s="46" t="s">
        <v>297</v>
      </c>
      <c r="C173" s="46">
        <v>316.37</v>
      </c>
      <c r="D173" s="49">
        <v>1.6199999999999999E-2</v>
      </c>
      <c r="E173" s="13"/>
      <c r="F173" s="13"/>
      <c r="G173" s="13"/>
      <c r="H173" s="46" t="s">
        <v>297</v>
      </c>
      <c r="I173" s="48">
        <v>24836.1</v>
      </c>
      <c r="J173" s="49">
        <v>1E-4</v>
      </c>
      <c r="K173" s="13"/>
      <c r="L173" s="13"/>
      <c r="M173" s="13"/>
      <c r="N173" s="13"/>
      <c r="O173" s="13"/>
      <c r="P173" s="13"/>
      <c r="Q173" s="13"/>
      <c r="R173" s="13"/>
      <c r="S173" s="13"/>
      <c r="T173" s="13"/>
      <c r="U173" s="13"/>
    </row>
    <row r="174" spans="1:21">
      <c r="A174" s="13"/>
      <c r="B174" s="46" t="s">
        <v>298</v>
      </c>
      <c r="C174" s="46">
        <v>311.32</v>
      </c>
      <c r="D174" s="49">
        <v>-1.14E-2</v>
      </c>
      <c r="E174" s="13"/>
      <c r="F174" s="13"/>
      <c r="G174" s="13"/>
      <c r="H174" s="46" t="s">
        <v>298</v>
      </c>
      <c r="I174" s="48">
        <v>24834.85</v>
      </c>
      <c r="J174" s="49">
        <v>1.7600000000000001E-2</v>
      </c>
      <c r="K174" s="13"/>
      <c r="L174" s="13"/>
      <c r="M174" s="13"/>
      <c r="N174" s="13"/>
      <c r="O174" s="13"/>
      <c r="P174" s="13"/>
      <c r="Q174" s="13"/>
      <c r="R174" s="13"/>
      <c r="S174" s="13"/>
      <c r="T174" s="13"/>
      <c r="U174" s="13"/>
    </row>
    <row r="175" spans="1:21">
      <c r="A175" s="13"/>
      <c r="B175" s="46" t="s">
        <v>299</v>
      </c>
      <c r="C175" s="46">
        <v>314.92</v>
      </c>
      <c r="D175" s="49">
        <v>-3.3000000000000002E-2</v>
      </c>
      <c r="E175" s="13"/>
      <c r="F175" s="13"/>
      <c r="G175" s="13"/>
      <c r="H175" s="46" t="s">
        <v>299</v>
      </c>
      <c r="I175" s="48">
        <v>24406.1</v>
      </c>
      <c r="J175" s="49">
        <v>-2.9999999999999997E-4</v>
      </c>
      <c r="K175" s="13"/>
      <c r="L175" s="13"/>
      <c r="M175" s="13"/>
      <c r="N175" s="13"/>
      <c r="O175" s="13"/>
      <c r="P175" s="13"/>
      <c r="Q175" s="13"/>
      <c r="R175" s="13"/>
      <c r="S175" s="13"/>
      <c r="T175" s="13"/>
      <c r="U175" s="13"/>
    </row>
    <row r="176" spans="1:21">
      <c r="A176" s="13"/>
      <c r="B176" s="46" t="s">
        <v>300</v>
      </c>
      <c r="C176" s="46">
        <v>325.67</v>
      </c>
      <c r="D176" s="49">
        <v>4.2599999999999999E-2</v>
      </c>
      <c r="E176" s="13"/>
      <c r="F176" s="13"/>
      <c r="G176" s="13"/>
      <c r="H176" s="46" t="s">
        <v>300</v>
      </c>
      <c r="I176" s="48">
        <v>24413.5</v>
      </c>
      <c r="J176" s="49">
        <v>-2.7000000000000001E-3</v>
      </c>
      <c r="K176" s="13"/>
      <c r="L176" s="13"/>
      <c r="M176" s="13"/>
      <c r="N176" s="13"/>
      <c r="O176" s="13"/>
      <c r="P176" s="13"/>
      <c r="Q176" s="13"/>
      <c r="R176" s="13"/>
      <c r="S176" s="13"/>
      <c r="T176" s="13"/>
      <c r="U176" s="13"/>
    </row>
    <row r="177" spans="1:21">
      <c r="A177" s="13"/>
      <c r="B177" s="46" t="s">
        <v>301</v>
      </c>
      <c r="C177" s="46">
        <v>312.36</v>
      </c>
      <c r="D177" s="49">
        <v>2.1000000000000001E-2</v>
      </c>
      <c r="E177" s="13"/>
      <c r="F177" s="13"/>
      <c r="G177" s="13"/>
      <c r="H177" s="46" t="s">
        <v>301</v>
      </c>
      <c r="I177" s="48">
        <v>24479.05</v>
      </c>
      <c r="J177" s="49">
        <v>-1.1999999999999999E-3</v>
      </c>
      <c r="K177" s="13"/>
      <c r="L177" s="13"/>
      <c r="M177" s="13"/>
      <c r="N177" s="13"/>
      <c r="O177" s="13"/>
      <c r="P177" s="13"/>
      <c r="Q177" s="13"/>
      <c r="R177" s="13"/>
      <c r="S177" s="13"/>
      <c r="T177" s="13"/>
      <c r="U177" s="13"/>
    </row>
    <row r="178" spans="1:21">
      <c r="A178" s="13"/>
      <c r="B178" s="46" t="s">
        <v>302</v>
      </c>
      <c r="C178" s="46">
        <v>305.93</v>
      </c>
      <c r="D178" s="49">
        <v>-8.9999999999999998E-4</v>
      </c>
      <c r="E178" s="13"/>
      <c r="F178" s="13"/>
      <c r="G178" s="13"/>
      <c r="H178" s="46" t="s">
        <v>302</v>
      </c>
      <c r="I178" s="48">
        <v>24509.25</v>
      </c>
      <c r="J178" s="49">
        <v>-8.9999999999999998E-4</v>
      </c>
      <c r="K178" s="13"/>
      <c r="L178" s="13"/>
      <c r="M178" s="13"/>
      <c r="N178" s="13"/>
      <c r="O178" s="13"/>
      <c r="P178" s="13"/>
      <c r="Q178" s="13"/>
      <c r="R178" s="13"/>
      <c r="S178" s="13"/>
      <c r="T178" s="13"/>
      <c r="U178" s="13"/>
    </row>
    <row r="179" spans="1:21">
      <c r="A179" s="13"/>
      <c r="B179" s="46" t="s">
        <v>303</v>
      </c>
      <c r="C179" s="46">
        <v>306.20999999999998</v>
      </c>
      <c r="D179" s="49">
        <v>-1.06E-2</v>
      </c>
      <c r="E179" s="13"/>
      <c r="F179" s="13"/>
      <c r="G179" s="13"/>
      <c r="H179" s="46" t="s">
        <v>303</v>
      </c>
      <c r="I179" s="48">
        <v>24530.9</v>
      </c>
      <c r="J179" s="49">
        <v>-1.09E-2</v>
      </c>
      <c r="K179" s="13"/>
      <c r="L179" s="13"/>
      <c r="M179" s="13"/>
      <c r="N179" s="13"/>
      <c r="O179" s="13"/>
      <c r="P179" s="13"/>
      <c r="Q179" s="13"/>
      <c r="R179" s="13"/>
      <c r="S179" s="13"/>
      <c r="T179" s="13"/>
      <c r="U179" s="13"/>
    </row>
    <row r="180" spans="1:21">
      <c r="A180" s="13"/>
      <c r="B180" s="46" t="s">
        <v>304</v>
      </c>
      <c r="C180" s="46">
        <v>309.5</v>
      </c>
      <c r="D180" s="49">
        <v>-1.8E-3</v>
      </c>
      <c r="E180" s="13"/>
      <c r="F180" s="13"/>
      <c r="G180" s="13"/>
      <c r="H180" s="46" t="s">
        <v>304</v>
      </c>
      <c r="I180" s="48">
        <v>24800.85</v>
      </c>
      <c r="J180" s="49">
        <v>7.6E-3</v>
      </c>
      <c r="K180" s="13"/>
      <c r="L180" s="13"/>
      <c r="M180" s="13"/>
      <c r="N180" s="13"/>
      <c r="O180" s="13"/>
      <c r="P180" s="13"/>
      <c r="Q180" s="13"/>
      <c r="R180" s="13"/>
      <c r="S180" s="13"/>
      <c r="T180" s="13"/>
      <c r="U180" s="13"/>
    </row>
    <row r="181" spans="1:21">
      <c r="A181" s="13"/>
      <c r="B181" s="46" t="s">
        <v>305</v>
      </c>
      <c r="C181" s="46">
        <v>310.07</v>
      </c>
      <c r="D181" s="49">
        <v>-4.1000000000000003E-3</v>
      </c>
      <c r="E181" s="13"/>
      <c r="F181" s="13"/>
      <c r="G181" s="13"/>
      <c r="H181" s="46" t="s">
        <v>305</v>
      </c>
      <c r="I181" s="48">
        <v>24613</v>
      </c>
      <c r="J181" s="49">
        <v>1.1000000000000001E-3</v>
      </c>
      <c r="K181" s="13"/>
      <c r="L181" s="13"/>
      <c r="M181" s="13"/>
      <c r="N181" s="13"/>
      <c r="O181" s="13"/>
      <c r="P181" s="13"/>
      <c r="Q181" s="13"/>
      <c r="R181" s="13"/>
      <c r="S181" s="13"/>
      <c r="T181" s="13"/>
      <c r="U181" s="13"/>
    </row>
    <row r="182" spans="1:21">
      <c r="A182" s="13"/>
      <c r="B182" s="46" t="s">
        <v>306</v>
      </c>
      <c r="C182" s="46">
        <v>311.33999999999997</v>
      </c>
      <c r="D182" s="49">
        <v>1.4E-3</v>
      </c>
      <c r="E182" s="13"/>
      <c r="F182" s="13"/>
      <c r="G182" s="13"/>
      <c r="H182" s="46" t="s">
        <v>306</v>
      </c>
      <c r="I182" s="48">
        <v>24586.7</v>
      </c>
      <c r="J182" s="49">
        <v>3.5000000000000001E-3</v>
      </c>
      <c r="K182" s="13"/>
      <c r="L182" s="13"/>
      <c r="M182" s="13"/>
      <c r="N182" s="13"/>
      <c r="O182" s="13"/>
      <c r="P182" s="13"/>
      <c r="Q182" s="13"/>
      <c r="R182" s="13"/>
      <c r="S182" s="13"/>
      <c r="T182" s="13"/>
      <c r="U182" s="13"/>
    </row>
    <row r="183" spans="1:21">
      <c r="A183" s="13"/>
      <c r="B183" s="47">
        <v>45633</v>
      </c>
      <c r="C183" s="46">
        <v>310.92</v>
      </c>
      <c r="D183" s="49">
        <v>4.1999999999999997E-3</v>
      </c>
      <c r="E183" s="13"/>
      <c r="F183" s="13"/>
      <c r="G183" s="13"/>
      <c r="H183" s="47">
        <v>45633</v>
      </c>
      <c r="I183" s="48">
        <v>24502.15</v>
      </c>
      <c r="J183" s="49">
        <v>7.7000000000000002E-3</v>
      </c>
      <c r="K183" s="13"/>
      <c r="L183" s="13"/>
      <c r="M183" s="13"/>
      <c r="N183" s="13"/>
      <c r="O183" s="13"/>
      <c r="P183" s="13"/>
      <c r="Q183" s="13"/>
      <c r="R183" s="13"/>
      <c r="S183" s="13"/>
      <c r="T183" s="13"/>
      <c r="U183" s="13"/>
    </row>
    <row r="184" spans="1:21">
      <c r="A184" s="13"/>
      <c r="B184" s="47">
        <v>45603</v>
      </c>
      <c r="C184" s="46">
        <v>309.62</v>
      </c>
      <c r="D184" s="49">
        <v>-5.5999999999999999E-3</v>
      </c>
      <c r="E184" s="13"/>
      <c r="F184" s="13"/>
      <c r="G184" s="13"/>
      <c r="H184" s="47">
        <v>45603</v>
      </c>
      <c r="I184" s="48">
        <v>24315.95</v>
      </c>
      <c r="J184" s="49">
        <v>-2.9999999999999997E-4</v>
      </c>
      <c r="K184" s="13"/>
      <c r="L184" s="13"/>
      <c r="M184" s="13"/>
      <c r="N184" s="13"/>
      <c r="O184" s="13"/>
      <c r="P184" s="13"/>
      <c r="Q184" s="13"/>
      <c r="R184" s="13"/>
      <c r="S184" s="13"/>
      <c r="T184" s="13"/>
      <c r="U184" s="13"/>
    </row>
    <row r="185" spans="1:21">
      <c r="A185" s="13"/>
      <c r="B185" s="47">
        <v>45572</v>
      </c>
      <c r="C185" s="46">
        <v>311.35000000000002</v>
      </c>
      <c r="D185" s="49">
        <v>-1.4E-3</v>
      </c>
      <c r="E185" s="13"/>
      <c r="F185" s="13"/>
      <c r="G185" s="13"/>
      <c r="H185" s="47">
        <v>45572</v>
      </c>
      <c r="I185" s="48">
        <v>24324.45</v>
      </c>
      <c r="J185" s="49">
        <v>-4.4999999999999997E-3</v>
      </c>
      <c r="K185" s="13"/>
      <c r="L185" s="13"/>
      <c r="M185" s="13"/>
      <c r="N185" s="13"/>
      <c r="O185" s="13"/>
      <c r="P185" s="13"/>
      <c r="Q185" s="13"/>
      <c r="R185" s="13"/>
      <c r="S185" s="13"/>
      <c r="T185" s="13"/>
      <c r="U185" s="13"/>
    </row>
    <row r="186" spans="1:21">
      <c r="A186" s="13"/>
      <c r="B186" s="47">
        <v>45542</v>
      </c>
      <c r="C186" s="46">
        <v>311.77999999999997</v>
      </c>
      <c r="D186" s="49">
        <v>-2.9999999999999997E-4</v>
      </c>
      <c r="E186" s="13"/>
      <c r="F186" s="13"/>
      <c r="G186" s="13"/>
      <c r="H186" s="47">
        <v>45542</v>
      </c>
      <c r="I186" s="48">
        <v>24433.200000000001</v>
      </c>
      <c r="J186" s="49">
        <v>4.5999999999999999E-3</v>
      </c>
      <c r="K186" s="13"/>
      <c r="L186" s="13"/>
      <c r="M186" s="13"/>
      <c r="N186" s="13"/>
      <c r="O186" s="13"/>
      <c r="P186" s="13"/>
      <c r="Q186" s="13"/>
      <c r="R186" s="13"/>
      <c r="S186" s="13"/>
      <c r="T186" s="13"/>
      <c r="U186" s="13"/>
    </row>
    <row r="187" spans="1:21">
      <c r="A187" s="13"/>
      <c r="B187" s="47">
        <v>45511</v>
      </c>
      <c r="C187" s="46">
        <v>311.86</v>
      </c>
      <c r="D187" s="49">
        <v>-1.4800000000000001E-2</v>
      </c>
      <c r="E187" s="13"/>
      <c r="F187" s="13"/>
      <c r="G187" s="13"/>
      <c r="H187" s="47">
        <v>45511</v>
      </c>
      <c r="I187" s="48">
        <v>24320.55</v>
      </c>
      <c r="J187" s="49">
        <v>-1E-4</v>
      </c>
      <c r="K187" s="13"/>
      <c r="L187" s="13"/>
      <c r="M187" s="13"/>
      <c r="N187" s="13"/>
      <c r="O187" s="13"/>
      <c r="P187" s="13"/>
      <c r="Q187" s="13"/>
      <c r="R187" s="13"/>
      <c r="S187" s="13"/>
      <c r="T187" s="13"/>
      <c r="U187" s="13"/>
    </row>
    <row r="188" spans="1:21">
      <c r="A188" s="13"/>
      <c r="B188" s="47">
        <v>45419</v>
      </c>
      <c r="C188" s="46">
        <v>316.56</v>
      </c>
      <c r="D188" s="49">
        <v>-6.6E-3</v>
      </c>
      <c r="E188" s="13"/>
      <c r="F188" s="13"/>
      <c r="G188" s="13"/>
      <c r="H188" s="47">
        <v>45419</v>
      </c>
      <c r="I188" s="48">
        <v>24323.85</v>
      </c>
      <c r="J188" s="49">
        <v>8.9999999999999998E-4</v>
      </c>
      <c r="K188" s="13"/>
      <c r="L188" s="13"/>
      <c r="M188" s="13"/>
      <c r="N188" s="13"/>
      <c r="O188" s="13"/>
      <c r="P188" s="13"/>
      <c r="Q188" s="13"/>
      <c r="R188" s="13"/>
      <c r="S188" s="13"/>
      <c r="T188" s="13"/>
      <c r="U188" s="13"/>
    </row>
    <row r="189" spans="1:21">
      <c r="A189" s="13"/>
      <c r="B189" s="47">
        <v>45389</v>
      </c>
      <c r="C189" s="46">
        <v>318.64999999999998</v>
      </c>
      <c r="D189" s="49">
        <v>3.0000000000000001E-3</v>
      </c>
      <c r="E189" s="13"/>
      <c r="F189" s="13"/>
      <c r="G189" s="13"/>
      <c r="H189" s="47">
        <v>45389</v>
      </c>
      <c r="I189" s="48">
        <v>24302.15</v>
      </c>
      <c r="J189" s="49">
        <v>5.9999999999999995E-4</v>
      </c>
      <c r="K189" s="13"/>
      <c r="L189" s="13"/>
      <c r="M189" s="13"/>
      <c r="N189" s="13"/>
      <c r="O189" s="13"/>
      <c r="P189" s="13"/>
      <c r="Q189" s="13"/>
      <c r="R189" s="13"/>
      <c r="S189" s="13"/>
      <c r="T189" s="13"/>
      <c r="U189" s="13"/>
    </row>
    <row r="190" spans="1:21">
      <c r="A190" s="13"/>
      <c r="B190" s="47">
        <v>45358</v>
      </c>
      <c r="C190" s="46">
        <v>317.70999999999998</v>
      </c>
      <c r="D190" s="49">
        <v>1.78E-2</v>
      </c>
      <c r="E190" s="13"/>
      <c r="F190" s="13"/>
      <c r="G190" s="13"/>
      <c r="H190" s="47">
        <v>45358</v>
      </c>
      <c r="I190" s="48">
        <v>24286.5</v>
      </c>
      <c r="J190" s="49">
        <v>6.7000000000000002E-3</v>
      </c>
      <c r="K190" s="13"/>
      <c r="L190" s="13"/>
      <c r="M190" s="13"/>
      <c r="N190" s="13"/>
      <c r="O190" s="13"/>
      <c r="P190" s="13"/>
      <c r="Q190" s="13"/>
      <c r="R190" s="13"/>
      <c r="S190" s="13"/>
      <c r="T190" s="13"/>
      <c r="U190" s="13"/>
    </row>
    <row r="191" spans="1:21">
      <c r="A191" s="13"/>
      <c r="B191" s="47">
        <v>45329</v>
      </c>
      <c r="C191" s="46">
        <v>312.16000000000003</v>
      </c>
      <c r="D191" s="49">
        <v>-6.3E-3</v>
      </c>
      <c r="E191" s="13"/>
      <c r="F191" s="13"/>
      <c r="G191" s="13"/>
      <c r="H191" s="47">
        <v>45329</v>
      </c>
      <c r="I191" s="48">
        <v>24123.85</v>
      </c>
      <c r="J191" s="49">
        <v>-6.9999999999999999E-4</v>
      </c>
      <c r="K191" s="13"/>
      <c r="L191" s="13"/>
      <c r="M191" s="13"/>
      <c r="N191" s="13"/>
      <c r="O191" s="13"/>
      <c r="P191" s="13"/>
      <c r="Q191" s="13"/>
      <c r="R191" s="13"/>
      <c r="S191" s="13"/>
      <c r="T191" s="13"/>
      <c r="U191" s="13"/>
    </row>
    <row r="192" spans="1:21">
      <c r="A192" s="13"/>
      <c r="B192" s="47">
        <v>45298</v>
      </c>
      <c r="C192" s="46">
        <v>314.14</v>
      </c>
      <c r="D192" s="49">
        <v>3.0999999999999999E-3</v>
      </c>
      <c r="E192" s="13"/>
      <c r="F192" s="13"/>
      <c r="G192" s="13"/>
      <c r="H192" s="47">
        <v>45298</v>
      </c>
      <c r="I192" s="48">
        <v>24141.95</v>
      </c>
      <c r="J192" s="49">
        <v>5.4999999999999997E-3</v>
      </c>
      <c r="K192" s="13"/>
      <c r="L192" s="13"/>
      <c r="M192" s="13"/>
      <c r="N192" s="13"/>
      <c r="O192" s="13"/>
      <c r="P192" s="13"/>
      <c r="Q192" s="13"/>
      <c r="R192" s="13"/>
      <c r="S192" s="13"/>
      <c r="T192" s="13"/>
      <c r="U192" s="13"/>
    </row>
    <row r="193" spans="1:21">
      <c r="A193" s="13"/>
      <c r="B193" s="46" t="s">
        <v>307</v>
      </c>
      <c r="C193" s="46">
        <v>313.16000000000003</v>
      </c>
      <c r="D193" s="49">
        <v>7.1000000000000004E-3</v>
      </c>
      <c r="E193" s="13"/>
      <c r="F193" s="13"/>
      <c r="G193" s="13"/>
      <c r="H193" s="46" t="s">
        <v>307</v>
      </c>
      <c r="I193" s="48">
        <v>24010.6</v>
      </c>
      <c r="J193" s="49">
        <v>-1.4E-3</v>
      </c>
      <c r="K193" s="13"/>
      <c r="L193" s="13"/>
      <c r="M193" s="13"/>
      <c r="N193" s="13"/>
      <c r="O193" s="13"/>
      <c r="P193" s="13"/>
      <c r="Q193" s="13"/>
      <c r="R193" s="13"/>
      <c r="S193" s="13"/>
      <c r="T193" s="13"/>
      <c r="U193" s="13"/>
    </row>
    <row r="194" spans="1:21">
      <c r="A194" s="13"/>
      <c r="B194" s="46" t="s">
        <v>308</v>
      </c>
      <c r="C194" s="46">
        <v>310.95</v>
      </c>
      <c r="D194" s="49">
        <v>2.0000000000000001E-4</v>
      </c>
      <c r="E194" s="13"/>
      <c r="F194" s="13"/>
      <c r="G194" s="13"/>
      <c r="H194" s="46" t="s">
        <v>308</v>
      </c>
      <c r="I194" s="48">
        <v>24044.5</v>
      </c>
      <c r="J194" s="49">
        <v>7.4000000000000003E-3</v>
      </c>
      <c r="K194" s="13"/>
      <c r="L194" s="13"/>
      <c r="M194" s="13"/>
      <c r="N194" s="13"/>
      <c r="O194" s="13"/>
      <c r="P194" s="13"/>
      <c r="Q194" s="13"/>
      <c r="R194" s="13"/>
      <c r="S194" s="13"/>
      <c r="T194" s="13"/>
      <c r="U194" s="13"/>
    </row>
    <row r="195" spans="1:21">
      <c r="A195" s="13"/>
      <c r="B195" s="46" t="s">
        <v>309</v>
      </c>
      <c r="C195" s="46">
        <v>310.89999999999998</v>
      </c>
      <c r="D195" s="49">
        <v>-1.47E-2</v>
      </c>
      <c r="E195" s="13"/>
      <c r="F195" s="13"/>
      <c r="G195" s="13"/>
      <c r="H195" s="46" t="s">
        <v>309</v>
      </c>
      <c r="I195" s="48">
        <v>23868.799999999999</v>
      </c>
      <c r="J195" s="49">
        <v>6.1999999999999998E-3</v>
      </c>
      <c r="K195" s="13"/>
      <c r="L195" s="13"/>
      <c r="M195" s="13"/>
      <c r="N195" s="13"/>
      <c r="O195" s="13"/>
      <c r="P195" s="13"/>
      <c r="Q195" s="13"/>
      <c r="R195" s="13"/>
      <c r="S195" s="13"/>
      <c r="T195" s="13"/>
      <c r="U195" s="13"/>
    </row>
    <row r="196" spans="1:21">
      <c r="A196" s="13"/>
      <c r="B196" s="46" t="s">
        <v>310</v>
      </c>
      <c r="C196" s="46">
        <v>315.52999999999997</v>
      </c>
      <c r="D196" s="49">
        <v>-3.5999999999999999E-3</v>
      </c>
      <c r="E196" s="13"/>
      <c r="F196" s="13"/>
      <c r="G196" s="13"/>
      <c r="H196" s="46" t="s">
        <v>310</v>
      </c>
      <c r="I196" s="48">
        <v>23721.3</v>
      </c>
      <c r="J196" s="49">
        <v>7.7999999999999996E-3</v>
      </c>
      <c r="K196" s="13"/>
      <c r="L196" s="13"/>
      <c r="M196" s="13"/>
      <c r="N196" s="13"/>
      <c r="O196" s="13"/>
      <c r="P196" s="13"/>
      <c r="Q196" s="13"/>
      <c r="R196" s="13"/>
      <c r="S196" s="13"/>
      <c r="T196" s="13"/>
      <c r="U196" s="13"/>
    </row>
    <row r="197" spans="1:21">
      <c r="A197" s="13"/>
      <c r="B197" s="46" t="s">
        <v>311</v>
      </c>
      <c r="C197" s="46">
        <v>316.67</v>
      </c>
      <c r="D197" s="49">
        <v>-4.1999999999999997E-3</v>
      </c>
      <c r="E197" s="13"/>
      <c r="F197" s="13"/>
      <c r="G197" s="13"/>
      <c r="H197" s="46" t="s">
        <v>311</v>
      </c>
      <c r="I197" s="48">
        <v>23537.85</v>
      </c>
      <c r="J197" s="49">
        <v>1.6000000000000001E-3</v>
      </c>
      <c r="K197" s="13"/>
      <c r="L197" s="13"/>
      <c r="M197" s="13"/>
      <c r="N197" s="13"/>
      <c r="O197" s="13"/>
      <c r="P197" s="13"/>
      <c r="Q197" s="13"/>
      <c r="R197" s="13"/>
      <c r="S197" s="13"/>
      <c r="T197" s="13"/>
      <c r="U197" s="13"/>
    </row>
    <row r="198" spans="1:21">
      <c r="A198" s="13"/>
      <c r="B198" s="46" t="s">
        <v>312</v>
      </c>
      <c r="C198" s="46">
        <v>317.99</v>
      </c>
      <c r="D198" s="49">
        <v>8.2000000000000007E-3</v>
      </c>
      <c r="E198" s="13"/>
      <c r="F198" s="13"/>
      <c r="G198" s="13"/>
      <c r="H198" s="46" t="s">
        <v>312</v>
      </c>
      <c r="I198" s="48">
        <v>23501.1</v>
      </c>
      <c r="J198" s="49">
        <v>-2.8E-3</v>
      </c>
      <c r="K198" s="13"/>
      <c r="L198" s="13"/>
      <c r="M198" s="13"/>
      <c r="N198" s="13"/>
      <c r="O198" s="13"/>
      <c r="P198" s="13"/>
      <c r="Q198" s="13"/>
      <c r="R198" s="13"/>
      <c r="S198" s="13"/>
      <c r="T198" s="13"/>
      <c r="U198" s="13"/>
    </row>
    <row r="199" spans="1:21">
      <c r="A199" s="13"/>
      <c r="B199" s="46" t="s">
        <v>313</v>
      </c>
      <c r="C199" s="46">
        <v>315.39999999999998</v>
      </c>
      <c r="D199" s="49">
        <v>1.2500000000000001E-2</v>
      </c>
      <c r="E199" s="13"/>
      <c r="F199" s="13"/>
      <c r="G199" s="13"/>
      <c r="H199" s="46" t="s">
        <v>313</v>
      </c>
      <c r="I199" s="48">
        <v>23567</v>
      </c>
      <c r="J199" s="49">
        <v>2.2000000000000001E-3</v>
      </c>
      <c r="K199" s="13"/>
      <c r="L199" s="13"/>
      <c r="M199" s="13"/>
      <c r="N199" s="13"/>
      <c r="O199" s="13"/>
      <c r="P199" s="13"/>
      <c r="Q199" s="13"/>
      <c r="R199" s="13"/>
      <c r="S199" s="13"/>
      <c r="T199" s="13"/>
      <c r="U199" s="13"/>
    </row>
    <row r="200" spans="1:21">
      <c r="A200" s="13"/>
      <c r="B200" s="46" t="s">
        <v>314</v>
      </c>
      <c r="C200" s="46">
        <v>311.5</v>
      </c>
      <c r="D200" s="49">
        <v>2.87E-2</v>
      </c>
      <c r="E200" s="13"/>
      <c r="F200" s="13"/>
      <c r="G200" s="13"/>
      <c r="H200" s="46" t="s">
        <v>314</v>
      </c>
      <c r="I200" s="48">
        <v>23516</v>
      </c>
      <c r="J200" s="49">
        <v>-1.8E-3</v>
      </c>
      <c r="K200" s="13"/>
      <c r="L200" s="13"/>
      <c r="M200" s="13"/>
      <c r="N200" s="13"/>
      <c r="O200" s="13"/>
      <c r="P200" s="13"/>
      <c r="Q200" s="13"/>
      <c r="R200" s="13"/>
      <c r="S200" s="13"/>
      <c r="T200" s="13"/>
      <c r="U200" s="13"/>
    </row>
    <row r="201" spans="1:21">
      <c r="A201" s="13"/>
      <c r="B201" s="46" t="s">
        <v>315</v>
      </c>
      <c r="C201" s="46">
        <v>302.8</v>
      </c>
      <c r="D201" s="49">
        <v>5.8999999999999999E-3</v>
      </c>
      <c r="E201" s="13"/>
      <c r="F201" s="13"/>
      <c r="G201" s="13"/>
      <c r="H201" s="46" t="s">
        <v>315</v>
      </c>
      <c r="I201" s="48">
        <v>23557.9</v>
      </c>
      <c r="J201" s="49">
        <v>3.8999999999999998E-3</v>
      </c>
      <c r="K201" s="13"/>
      <c r="L201" s="13"/>
      <c r="M201" s="13"/>
      <c r="N201" s="13"/>
      <c r="O201" s="13"/>
      <c r="P201" s="13"/>
      <c r="Q201" s="13"/>
      <c r="R201" s="13"/>
      <c r="S201" s="13"/>
      <c r="T201" s="13"/>
      <c r="U201" s="13"/>
    </row>
    <row r="202" spans="1:21">
      <c r="A202" s="13"/>
      <c r="B202" s="46" t="s">
        <v>316</v>
      </c>
      <c r="C202" s="46">
        <v>301.02</v>
      </c>
      <c r="D202" s="49">
        <v>-2.8E-3</v>
      </c>
      <c r="E202" s="13"/>
      <c r="F202" s="13"/>
      <c r="G202" s="13"/>
      <c r="H202" s="46" t="s">
        <v>316</v>
      </c>
      <c r="I202" s="48">
        <v>23465.599999999999</v>
      </c>
      <c r="J202" s="49">
        <v>2.8999999999999998E-3</v>
      </c>
      <c r="K202" s="13"/>
      <c r="L202" s="13"/>
      <c r="M202" s="13"/>
      <c r="N202" s="13"/>
      <c r="O202" s="13"/>
      <c r="P202" s="13"/>
      <c r="Q202" s="13"/>
      <c r="R202" s="13"/>
      <c r="S202" s="13"/>
      <c r="T202" s="13"/>
      <c r="U202" s="13"/>
    </row>
    <row r="203" spans="1:21">
      <c r="A203" s="13"/>
      <c r="B203" s="46" t="s">
        <v>317</v>
      </c>
      <c r="C203" s="46">
        <v>301.88</v>
      </c>
      <c r="D203" s="49">
        <v>9.4999999999999998E-3</v>
      </c>
      <c r="E203" s="13"/>
      <c r="F203" s="13"/>
      <c r="G203" s="13"/>
      <c r="H203" s="46" t="s">
        <v>317</v>
      </c>
      <c r="I203" s="48">
        <v>23398.9</v>
      </c>
      <c r="J203" s="49">
        <v>3.3E-3</v>
      </c>
      <c r="K203" s="13"/>
      <c r="L203" s="13"/>
      <c r="M203" s="13"/>
      <c r="N203" s="13"/>
      <c r="O203" s="13"/>
      <c r="P203" s="13"/>
      <c r="Q203" s="13"/>
      <c r="R203" s="13"/>
      <c r="S203" s="13"/>
      <c r="T203" s="13"/>
      <c r="U203" s="13"/>
    </row>
    <row r="204" spans="1:21">
      <c r="A204" s="13"/>
      <c r="B204" s="47">
        <v>45632</v>
      </c>
      <c r="C204" s="46">
        <v>299.02999999999997</v>
      </c>
      <c r="D204" s="49">
        <v>-6.0000000000000001E-3</v>
      </c>
      <c r="E204" s="13"/>
      <c r="F204" s="13"/>
      <c r="G204" s="13"/>
      <c r="H204" s="47">
        <v>45632</v>
      </c>
      <c r="I204" s="48">
        <v>23322.95</v>
      </c>
      <c r="J204" s="49">
        <v>2.5000000000000001E-3</v>
      </c>
      <c r="K204" s="13"/>
      <c r="L204" s="13"/>
      <c r="M204" s="13"/>
      <c r="N204" s="13"/>
      <c r="O204" s="13"/>
      <c r="P204" s="13"/>
      <c r="Q204" s="13"/>
      <c r="R204" s="13"/>
      <c r="S204" s="13"/>
      <c r="T204" s="13"/>
      <c r="U204" s="13"/>
    </row>
    <row r="205" spans="1:21">
      <c r="A205" s="13"/>
      <c r="B205" s="47">
        <v>45602</v>
      </c>
      <c r="C205" s="46">
        <v>300.82</v>
      </c>
      <c r="D205" s="49">
        <v>4.4999999999999997E-3</v>
      </c>
      <c r="E205" s="13"/>
      <c r="F205" s="13"/>
      <c r="G205" s="13"/>
      <c r="H205" s="47">
        <v>45602</v>
      </c>
      <c r="I205" s="48">
        <v>23264.85</v>
      </c>
      <c r="J205" s="49">
        <v>2.0000000000000001E-4</v>
      </c>
      <c r="K205" s="13"/>
      <c r="L205" s="13"/>
      <c r="M205" s="13"/>
      <c r="N205" s="13"/>
      <c r="O205" s="13"/>
      <c r="P205" s="13"/>
      <c r="Q205" s="13"/>
      <c r="R205" s="13"/>
      <c r="S205" s="13"/>
      <c r="T205" s="13"/>
      <c r="U205" s="13"/>
    </row>
    <row r="206" spans="1:21">
      <c r="A206" s="13"/>
      <c r="B206" s="47">
        <v>45571</v>
      </c>
      <c r="C206" s="46">
        <v>299.48</v>
      </c>
      <c r="D206" s="49">
        <v>1.04E-2</v>
      </c>
      <c r="E206" s="13"/>
      <c r="F206" s="13"/>
      <c r="G206" s="13"/>
      <c r="H206" s="47">
        <v>45571</v>
      </c>
      <c r="I206" s="48">
        <v>23259.200000000001</v>
      </c>
      <c r="J206" s="49">
        <v>-1.2999999999999999E-3</v>
      </c>
      <c r="K206" s="13"/>
      <c r="L206" s="13"/>
      <c r="M206" s="13"/>
      <c r="N206" s="13"/>
      <c r="O206" s="13"/>
      <c r="P206" s="13"/>
      <c r="Q206" s="13"/>
      <c r="R206" s="13"/>
      <c r="S206" s="13"/>
      <c r="T206" s="13"/>
      <c r="U206" s="13"/>
    </row>
    <row r="207" spans="1:21">
      <c r="A207" s="13"/>
      <c r="B207" s="47">
        <v>45479</v>
      </c>
      <c r="C207" s="46">
        <v>296.39</v>
      </c>
      <c r="D207" s="49">
        <v>1.47E-2</v>
      </c>
      <c r="E207" s="13"/>
      <c r="F207" s="13"/>
      <c r="G207" s="13"/>
      <c r="H207" s="47">
        <v>45479</v>
      </c>
      <c r="I207" s="48">
        <v>23290.15</v>
      </c>
      <c r="J207" s="49">
        <v>2.0500000000000001E-2</v>
      </c>
      <c r="K207" s="13"/>
      <c r="L207" s="13"/>
      <c r="M207" s="13"/>
      <c r="N207" s="13"/>
      <c r="O207" s="13"/>
      <c r="P207" s="13"/>
      <c r="Q207" s="13"/>
      <c r="R207" s="13"/>
      <c r="S207" s="13"/>
      <c r="T207" s="13"/>
      <c r="U207" s="13"/>
    </row>
    <row r="208" spans="1:21">
      <c r="A208" s="13"/>
      <c r="B208" s="47">
        <v>45449</v>
      </c>
      <c r="C208" s="46">
        <v>292.10000000000002</v>
      </c>
      <c r="D208" s="49">
        <v>8.6999999999999994E-3</v>
      </c>
      <c r="E208" s="13"/>
      <c r="F208" s="13"/>
      <c r="G208" s="13"/>
      <c r="H208" s="47">
        <v>45449</v>
      </c>
      <c r="I208" s="48">
        <v>22821.4</v>
      </c>
      <c r="J208" s="49">
        <v>8.8999999999999999E-3</v>
      </c>
      <c r="K208" s="13"/>
      <c r="L208" s="13"/>
      <c r="M208" s="13"/>
      <c r="N208" s="13"/>
      <c r="O208" s="13"/>
      <c r="P208" s="13"/>
      <c r="Q208" s="13"/>
      <c r="R208" s="13"/>
      <c r="S208" s="13"/>
      <c r="T208" s="13"/>
      <c r="U208" s="13"/>
    </row>
    <row r="209" spans="1:21">
      <c r="A209" s="13"/>
      <c r="B209" s="47">
        <v>45418</v>
      </c>
      <c r="C209" s="46">
        <v>289.58</v>
      </c>
      <c r="D209" s="49">
        <v>2.3800000000000002E-2</v>
      </c>
      <c r="E209" s="13"/>
      <c r="F209" s="13"/>
      <c r="G209" s="13"/>
      <c r="H209" s="47">
        <v>45418</v>
      </c>
      <c r="I209" s="48">
        <v>22620.35</v>
      </c>
      <c r="J209" s="49">
        <v>3.3599999999999998E-2</v>
      </c>
      <c r="K209" s="13"/>
      <c r="L209" s="13"/>
      <c r="M209" s="13"/>
      <c r="N209" s="13"/>
      <c r="O209" s="13"/>
      <c r="P209" s="13"/>
      <c r="Q209" s="13"/>
      <c r="R209" s="13"/>
      <c r="S209" s="13"/>
      <c r="T209" s="13"/>
      <c r="U209" s="13"/>
    </row>
    <row r="210" spans="1:21">
      <c r="A210" s="13"/>
      <c r="B210" s="47">
        <v>45388</v>
      </c>
      <c r="C210" s="46">
        <v>282.83999999999997</v>
      </c>
      <c r="D210" s="49">
        <v>-7.7999999999999996E-3</v>
      </c>
      <c r="E210" s="13"/>
      <c r="F210" s="13"/>
      <c r="G210" s="13"/>
      <c r="H210" s="47">
        <v>45388</v>
      </c>
      <c r="I210" s="48">
        <v>21884.5</v>
      </c>
      <c r="J210" s="49">
        <v>-5.9299999999999999E-2</v>
      </c>
      <c r="K210" s="13"/>
      <c r="L210" s="13"/>
      <c r="M210" s="13"/>
      <c r="N210" s="13"/>
      <c r="O210" s="13"/>
      <c r="P210" s="13"/>
      <c r="Q210" s="13"/>
      <c r="R210" s="13"/>
      <c r="S210" s="13"/>
      <c r="T210" s="13"/>
      <c r="U210" s="13"/>
    </row>
    <row r="211" spans="1:21">
      <c r="A211" s="13"/>
      <c r="B211" s="47">
        <v>45357</v>
      </c>
      <c r="C211" s="46">
        <v>285.06</v>
      </c>
      <c r="D211" s="49">
        <v>-1.9E-2</v>
      </c>
      <c r="E211" s="13"/>
      <c r="F211" s="13"/>
      <c r="G211" s="13"/>
      <c r="H211" s="47">
        <v>45357</v>
      </c>
      <c r="I211" s="48">
        <v>23263.9</v>
      </c>
      <c r="J211" s="49">
        <v>3.2500000000000001E-2</v>
      </c>
      <c r="K211" s="13"/>
      <c r="L211" s="13"/>
      <c r="M211" s="13"/>
      <c r="N211" s="13"/>
      <c r="O211" s="13"/>
      <c r="P211" s="13"/>
      <c r="Q211" s="13"/>
      <c r="R211" s="13"/>
      <c r="S211" s="13"/>
      <c r="T211" s="13"/>
      <c r="U211" s="13"/>
    </row>
    <row r="212" spans="1:21">
      <c r="A212" s="13"/>
      <c r="B212" s="46" t="s">
        <v>318</v>
      </c>
      <c r="C212" s="46">
        <v>290.58</v>
      </c>
      <c r="D212" s="49">
        <v>2.2499999999999999E-2</v>
      </c>
      <c r="E212" s="13"/>
      <c r="F212" s="13"/>
      <c r="G212" s="13"/>
      <c r="H212" s="46" t="s">
        <v>318</v>
      </c>
      <c r="I212" s="48">
        <v>22530.7</v>
      </c>
      <c r="J212" s="49">
        <v>1.9E-3</v>
      </c>
      <c r="K212" s="13"/>
      <c r="L212" s="13"/>
      <c r="M212" s="13"/>
      <c r="N212" s="13"/>
      <c r="O212" s="13"/>
      <c r="P212" s="13"/>
      <c r="Q212" s="13"/>
      <c r="R212" s="13"/>
      <c r="S212" s="13"/>
      <c r="T212" s="13"/>
      <c r="U212" s="13"/>
    </row>
    <row r="213" spans="1:21">
      <c r="A213" s="13"/>
      <c r="B213" s="46" t="s">
        <v>319</v>
      </c>
      <c r="C213" s="46">
        <v>284.18</v>
      </c>
      <c r="D213" s="49">
        <v>6.1000000000000004E-3</v>
      </c>
      <c r="E213" s="13"/>
      <c r="F213" s="13"/>
      <c r="G213" s="13"/>
      <c r="H213" s="46" t="s">
        <v>319</v>
      </c>
      <c r="I213" s="48">
        <v>22488.65</v>
      </c>
      <c r="J213" s="49">
        <v>-9.4999999999999998E-3</v>
      </c>
      <c r="K213" s="13"/>
      <c r="L213" s="13"/>
      <c r="M213" s="13"/>
      <c r="N213" s="13"/>
      <c r="O213" s="13"/>
      <c r="P213" s="13"/>
      <c r="Q213" s="13"/>
      <c r="R213" s="13"/>
      <c r="S213" s="13"/>
      <c r="T213" s="13"/>
      <c r="U213" s="13"/>
    </row>
    <row r="214" spans="1:21">
      <c r="A214" s="13"/>
      <c r="B214" s="46" t="s">
        <v>320</v>
      </c>
      <c r="C214" s="46">
        <v>282.45</v>
      </c>
      <c r="D214" s="49">
        <v>5.7999999999999996E-3</v>
      </c>
      <c r="E214" s="13"/>
      <c r="F214" s="13"/>
      <c r="G214" s="13"/>
      <c r="H214" s="46" t="s">
        <v>320</v>
      </c>
      <c r="I214" s="48">
        <v>22704.7</v>
      </c>
      <c r="J214" s="49">
        <v>-8.0000000000000002E-3</v>
      </c>
      <c r="K214" s="13"/>
      <c r="L214" s="13"/>
      <c r="M214" s="13"/>
      <c r="N214" s="13"/>
      <c r="O214" s="13"/>
      <c r="P214" s="13"/>
      <c r="Q214" s="13"/>
      <c r="R214" s="13"/>
      <c r="S214" s="13"/>
      <c r="T214" s="13"/>
      <c r="U214" s="13"/>
    </row>
    <row r="215" spans="1:21">
      <c r="A215" s="13"/>
      <c r="B215" s="46" t="s">
        <v>321</v>
      </c>
      <c r="C215" s="46">
        <v>280.82</v>
      </c>
      <c r="D215" s="49">
        <v>1.1000000000000001E-3</v>
      </c>
      <c r="E215" s="13"/>
      <c r="F215" s="13"/>
      <c r="G215" s="13"/>
      <c r="H215" s="46" t="s">
        <v>321</v>
      </c>
      <c r="I215" s="48">
        <v>22888.15</v>
      </c>
      <c r="J215" s="49">
        <v>-1.9E-3</v>
      </c>
      <c r="K215" s="13"/>
      <c r="L215" s="13"/>
      <c r="M215" s="13"/>
      <c r="N215" s="13"/>
      <c r="O215" s="13"/>
      <c r="P215" s="13"/>
      <c r="Q215" s="13"/>
      <c r="R215" s="13"/>
      <c r="S215" s="13"/>
      <c r="T215" s="13"/>
      <c r="U215" s="13"/>
    </row>
    <row r="216" spans="1:21">
      <c r="A216" s="13"/>
      <c r="B216" s="46" t="s">
        <v>322</v>
      </c>
      <c r="C216" s="46">
        <v>280.52</v>
      </c>
      <c r="D216" s="49">
        <v>7.7999999999999996E-3</v>
      </c>
      <c r="E216" s="13"/>
      <c r="F216" s="13"/>
      <c r="G216" s="13"/>
      <c r="H216" s="46" t="s">
        <v>322</v>
      </c>
      <c r="I216" s="48">
        <v>22932.45</v>
      </c>
      <c r="J216" s="49">
        <v>-1.1000000000000001E-3</v>
      </c>
      <c r="K216" s="13"/>
      <c r="L216" s="13"/>
      <c r="M216" s="13"/>
      <c r="N216" s="13"/>
      <c r="O216" s="13"/>
      <c r="P216" s="13"/>
      <c r="Q216" s="13"/>
      <c r="R216" s="13"/>
      <c r="S216" s="13"/>
      <c r="T216" s="13"/>
      <c r="U216" s="13"/>
    </row>
    <row r="217" spans="1:21">
      <c r="A217" s="13"/>
      <c r="B217" s="46" t="s">
        <v>323</v>
      </c>
      <c r="C217" s="46">
        <v>278.33999999999997</v>
      </c>
      <c r="D217" s="49">
        <v>-1.6400000000000001E-2</v>
      </c>
      <c r="E217" s="13"/>
      <c r="F217" s="13"/>
      <c r="G217" s="13"/>
      <c r="H217" s="46" t="s">
        <v>323</v>
      </c>
      <c r="I217" s="48">
        <v>22957.1</v>
      </c>
      <c r="J217" s="49">
        <v>-5.0000000000000001E-4</v>
      </c>
      <c r="K217" s="13"/>
      <c r="L217" s="13"/>
      <c r="M217" s="13"/>
      <c r="N217" s="13"/>
      <c r="O217" s="13"/>
      <c r="P217" s="13"/>
      <c r="Q217" s="13"/>
      <c r="R217" s="13"/>
      <c r="S217" s="13"/>
      <c r="T217" s="13"/>
      <c r="U217" s="13"/>
    </row>
    <row r="218" spans="1:21">
      <c r="A218" s="13"/>
      <c r="B218" s="46" t="s">
        <v>324</v>
      </c>
      <c r="C218" s="46">
        <v>282.97000000000003</v>
      </c>
      <c r="D218" s="49">
        <v>-4.1999999999999997E-3</v>
      </c>
      <c r="E218" s="13"/>
      <c r="F218" s="13"/>
      <c r="G218" s="13"/>
      <c r="H218" s="46" t="s">
        <v>324</v>
      </c>
      <c r="I218" s="48">
        <v>22967.65</v>
      </c>
      <c r="J218" s="49">
        <v>1.6400000000000001E-2</v>
      </c>
      <c r="K218" s="13"/>
      <c r="L218" s="13"/>
      <c r="M218" s="13"/>
      <c r="N218" s="13"/>
      <c r="O218" s="13"/>
      <c r="P218" s="13"/>
      <c r="Q218" s="13"/>
      <c r="R218" s="13"/>
      <c r="S218" s="13"/>
      <c r="T218" s="13"/>
      <c r="U218" s="13"/>
    </row>
    <row r="219" spans="1:21">
      <c r="A219" s="13"/>
      <c r="B219" s="46" t="s">
        <v>325</v>
      </c>
      <c r="C219" s="46">
        <v>284.16000000000003</v>
      </c>
      <c r="D219" s="49">
        <v>2E-3</v>
      </c>
      <c r="E219" s="13"/>
      <c r="F219" s="13"/>
      <c r="G219" s="13"/>
      <c r="H219" s="46" t="s">
        <v>325</v>
      </c>
      <c r="I219" s="48">
        <v>22597.8</v>
      </c>
      <c r="J219" s="49">
        <v>3.0999999999999999E-3</v>
      </c>
      <c r="K219" s="13"/>
      <c r="L219" s="13"/>
      <c r="M219" s="13"/>
      <c r="N219" s="13"/>
      <c r="O219" s="13"/>
      <c r="P219" s="13"/>
      <c r="Q219" s="13"/>
      <c r="R219" s="13"/>
      <c r="S219" s="13"/>
      <c r="T219" s="13"/>
      <c r="U219" s="13"/>
    </row>
    <row r="220" spans="1:21">
      <c r="A220" s="13"/>
      <c r="B220" s="46" t="s">
        <v>326</v>
      </c>
      <c r="C220" s="46">
        <v>283.58</v>
      </c>
      <c r="D220" s="49">
        <v>2.4400000000000002E-2</v>
      </c>
      <c r="E220" s="13"/>
      <c r="F220" s="13"/>
      <c r="G220" s="13"/>
      <c r="H220" s="46" t="s">
        <v>326</v>
      </c>
      <c r="I220" s="48">
        <v>22529.05</v>
      </c>
      <c r="J220" s="49">
        <v>1.1999999999999999E-3</v>
      </c>
      <c r="K220" s="13"/>
      <c r="L220" s="13"/>
      <c r="M220" s="13"/>
      <c r="N220" s="13"/>
      <c r="O220" s="13"/>
      <c r="P220" s="13"/>
      <c r="Q220" s="13"/>
      <c r="R220" s="13"/>
      <c r="S220" s="13"/>
      <c r="T220" s="13"/>
      <c r="U220" s="13"/>
    </row>
    <row r="221" spans="1:21">
      <c r="A221" s="13"/>
      <c r="B221" s="46" t="s">
        <v>327</v>
      </c>
      <c r="C221" s="46">
        <v>276.83</v>
      </c>
      <c r="D221" s="49">
        <v>-3.5000000000000001E-3</v>
      </c>
      <c r="E221" s="13"/>
      <c r="F221" s="13"/>
      <c r="G221" s="13"/>
      <c r="H221" s="46" t="s">
        <v>327</v>
      </c>
      <c r="I221" s="48">
        <v>22502</v>
      </c>
      <c r="J221" s="49">
        <v>1.6000000000000001E-3</v>
      </c>
      <c r="K221" s="13"/>
      <c r="L221" s="13"/>
      <c r="M221" s="13"/>
      <c r="N221" s="13"/>
      <c r="O221" s="13"/>
      <c r="P221" s="13"/>
      <c r="Q221" s="13"/>
      <c r="R221" s="13"/>
      <c r="S221" s="13"/>
      <c r="T221" s="13"/>
      <c r="U221" s="13"/>
    </row>
    <row r="222" spans="1:21">
      <c r="A222" s="13"/>
      <c r="B222" s="46" t="s">
        <v>328</v>
      </c>
      <c r="C222" s="46">
        <v>277.79000000000002</v>
      </c>
      <c r="D222" s="49">
        <v>5.9999999999999995E-4</v>
      </c>
      <c r="E222" s="13"/>
      <c r="F222" s="13"/>
      <c r="G222" s="13"/>
      <c r="H222" s="46" t="s">
        <v>328</v>
      </c>
      <c r="I222" s="48">
        <v>22466.1</v>
      </c>
      <c r="J222" s="49">
        <v>2.8E-3</v>
      </c>
      <c r="K222" s="13"/>
      <c r="L222" s="13"/>
      <c r="M222" s="13"/>
      <c r="N222" s="13"/>
      <c r="O222" s="13"/>
      <c r="P222" s="13"/>
      <c r="Q222" s="13"/>
      <c r="R222" s="13"/>
      <c r="S222" s="13"/>
      <c r="T222" s="13"/>
      <c r="U222" s="13"/>
    </row>
    <row r="223" spans="1:21">
      <c r="A223" s="13"/>
      <c r="B223" s="46" t="s">
        <v>329</v>
      </c>
      <c r="C223" s="46">
        <v>277.62</v>
      </c>
      <c r="D223" s="49">
        <v>1.5800000000000002E-2</v>
      </c>
      <c r="E223" s="13"/>
      <c r="F223" s="13"/>
      <c r="G223" s="13"/>
      <c r="H223" s="46" t="s">
        <v>329</v>
      </c>
      <c r="I223" s="48">
        <v>22403.85</v>
      </c>
      <c r="J223" s="49">
        <v>9.1999999999999998E-3</v>
      </c>
      <c r="K223" s="13"/>
      <c r="L223" s="13"/>
      <c r="M223" s="13"/>
      <c r="N223" s="13"/>
      <c r="O223" s="13"/>
      <c r="P223" s="13"/>
      <c r="Q223" s="13"/>
      <c r="R223" s="13"/>
      <c r="S223" s="13"/>
      <c r="T223" s="13"/>
      <c r="U223" s="13"/>
    </row>
    <row r="224" spans="1:21">
      <c r="A224" s="13"/>
      <c r="B224" s="46" t="s">
        <v>330</v>
      </c>
      <c r="C224" s="46">
        <v>273.31</v>
      </c>
      <c r="D224" s="49">
        <v>-1.3100000000000001E-2</v>
      </c>
      <c r="E224" s="13"/>
      <c r="F224" s="13"/>
      <c r="G224" s="13"/>
      <c r="H224" s="46" t="s">
        <v>330</v>
      </c>
      <c r="I224" s="48">
        <v>22200.55</v>
      </c>
      <c r="J224" s="49">
        <v>-8.0000000000000004E-4</v>
      </c>
      <c r="K224" s="13"/>
      <c r="L224" s="13"/>
      <c r="M224" s="13"/>
      <c r="N224" s="13"/>
      <c r="O224" s="13"/>
      <c r="P224" s="13"/>
      <c r="Q224" s="13"/>
      <c r="R224" s="13"/>
      <c r="S224" s="13"/>
      <c r="T224" s="13"/>
      <c r="U224" s="13"/>
    </row>
    <row r="225" spans="1:21">
      <c r="A225" s="13"/>
      <c r="B225" s="46" t="s">
        <v>331</v>
      </c>
      <c r="C225" s="46">
        <v>276.94</v>
      </c>
      <c r="D225" s="49">
        <v>7.7999999999999996E-3</v>
      </c>
      <c r="E225" s="13"/>
      <c r="F225" s="13"/>
      <c r="G225" s="13"/>
      <c r="H225" s="46" t="s">
        <v>331</v>
      </c>
      <c r="I225" s="48">
        <v>22217.85</v>
      </c>
      <c r="J225" s="49">
        <v>5.1000000000000004E-3</v>
      </c>
      <c r="K225" s="13"/>
      <c r="L225" s="13"/>
      <c r="M225" s="13"/>
      <c r="N225" s="13"/>
      <c r="O225" s="13"/>
      <c r="P225" s="13"/>
      <c r="Q225" s="13"/>
      <c r="R225" s="13"/>
      <c r="S225" s="13"/>
      <c r="T225" s="13"/>
      <c r="U225" s="13"/>
    </row>
    <row r="226" spans="1:21">
      <c r="A226" s="13"/>
      <c r="B226" s="46" t="s">
        <v>332</v>
      </c>
      <c r="C226" s="46">
        <v>274.81</v>
      </c>
      <c r="D226" s="49">
        <v>-3.1699999999999999E-2</v>
      </c>
      <c r="E226" s="13"/>
      <c r="F226" s="13"/>
      <c r="G226" s="13"/>
      <c r="H226" s="46" t="s">
        <v>332</v>
      </c>
      <c r="I226" s="48">
        <v>22104.05</v>
      </c>
      <c r="J226" s="49">
        <v>2.2000000000000001E-3</v>
      </c>
      <c r="K226" s="13"/>
      <c r="L226" s="13"/>
      <c r="M226" s="13"/>
      <c r="N226" s="13"/>
      <c r="O226" s="13"/>
      <c r="P226" s="13"/>
      <c r="Q226" s="13"/>
      <c r="R226" s="13"/>
      <c r="S226" s="13"/>
      <c r="T226" s="13"/>
      <c r="U226" s="13"/>
    </row>
    <row r="227" spans="1:21">
      <c r="A227" s="13"/>
      <c r="B227" s="47">
        <v>45570</v>
      </c>
      <c r="C227" s="46">
        <v>283.81</v>
      </c>
      <c r="D227" s="49">
        <v>3.49E-2</v>
      </c>
      <c r="E227" s="13"/>
      <c r="F227" s="13"/>
      <c r="G227" s="13"/>
      <c r="H227" s="47">
        <v>45570</v>
      </c>
      <c r="I227" s="48">
        <v>22055.200000000001</v>
      </c>
      <c r="J227" s="49">
        <v>4.4000000000000003E-3</v>
      </c>
      <c r="K227" s="13"/>
      <c r="L227" s="13"/>
      <c r="M227" s="13"/>
      <c r="N227" s="13"/>
      <c r="O227" s="13"/>
      <c r="P227" s="13"/>
      <c r="Q227" s="13"/>
      <c r="R227" s="13"/>
      <c r="S227" s="13"/>
      <c r="T227" s="13"/>
      <c r="U227" s="13"/>
    </row>
    <row r="228" spans="1:21">
      <c r="A228" s="13"/>
      <c r="B228" s="47">
        <v>45540</v>
      </c>
      <c r="C228" s="46">
        <v>274.23</v>
      </c>
      <c r="D228" s="49">
        <v>-2.4799999999999999E-2</v>
      </c>
      <c r="E228" s="13"/>
      <c r="F228" s="13"/>
      <c r="G228" s="13"/>
      <c r="H228" s="47">
        <v>45540</v>
      </c>
      <c r="I228" s="48">
        <v>21957.5</v>
      </c>
      <c r="J228" s="49">
        <v>-1.55E-2</v>
      </c>
      <c r="K228" s="13"/>
      <c r="L228" s="13"/>
      <c r="M228" s="13"/>
      <c r="N228" s="13"/>
      <c r="O228" s="13"/>
      <c r="P228" s="13"/>
      <c r="Q228" s="13"/>
      <c r="R228" s="13"/>
      <c r="S228" s="13"/>
      <c r="T228" s="13"/>
      <c r="U228" s="13"/>
    </row>
    <row r="229" spans="1:21">
      <c r="A229" s="13"/>
      <c r="B229" s="47">
        <v>45509</v>
      </c>
      <c r="C229" s="46">
        <v>281.19</v>
      </c>
      <c r="D229" s="49">
        <v>-5.5999999999999999E-3</v>
      </c>
      <c r="E229" s="13"/>
      <c r="F229" s="13"/>
      <c r="G229" s="13"/>
      <c r="H229" s="47">
        <v>45509</v>
      </c>
      <c r="I229" s="48">
        <v>22302.5</v>
      </c>
      <c r="J229" s="49">
        <v>0</v>
      </c>
      <c r="K229" s="13"/>
      <c r="L229" s="13"/>
      <c r="M229" s="13"/>
      <c r="N229" s="13"/>
      <c r="O229" s="13"/>
      <c r="P229" s="13"/>
      <c r="Q229" s="13"/>
      <c r="R229" s="13"/>
      <c r="S229" s="13"/>
      <c r="T229" s="13"/>
      <c r="U229" s="13"/>
    </row>
    <row r="230" spans="1:21">
      <c r="A230" s="13"/>
      <c r="B230" s="47">
        <v>45478</v>
      </c>
      <c r="C230" s="46">
        <v>282.77999999999997</v>
      </c>
      <c r="D230" s="49">
        <v>1.5900000000000001E-2</v>
      </c>
      <c r="E230" s="13"/>
      <c r="F230" s="13"/>
      <c r="G230" s="13"/>
      <c r="H230" s="47">
        <v>45478</v>
      </c>
      <c r="I230" s="48">
        <v>22302.5</v>
      </c>
      <c r="J230" s="49">
        <v>-6.1999999999999998E-3</v>
      </c>
      <c r="K230" s="13"/>
      <c r="L230" s="13"/>
      <c r="M230" s="13"/>
      <c r="N230" s="13"/>
      <c r="O230" s="13"/>
      <c r="P230" s="13"/>
      <c r="Q230" s="13"/>
      <c r="R230" s="13"/>
      <c r="S230" s="13"/>
      <c r="T230" s="13"/>
      <c r="U230" s="13"/>
    </row>
    <row r="231" spans="1:21">
      <c r="A231" s="13"/>
      <c r="B231" s="47">
        <v>45448</v>
      </c>
      <c r="C231" s="46">
        <v>278.35000000000002</v>
      </c>
      <c r="D231" s="49">
        <v>-1.4800000000000001E-2</v>
      </c>
      <c r="E231" s="13"/>
      <c r="F231" s="13"/>
      <c r="G231" s="13"/>
      <c r="H231" s="47">
        <v>45448</v>
      </c>
      <c r="I231" s="48">
        <v>22442.7</v>
      </c>
      <c r="J231" s="49">
        <v>-1.5E-3</v>
      </c>
      <c r="K231" s="13"/>
      <c r="L231" s="13"/>
      <c r="M231" s="13"/>
      <c r="N231" s="13"/>
      <c r="O231" s="13"/>
      <c r="P231" s="13"/>
      <c r="Q231" s="13"/>
      <c r="R231" s="13"/>
      <c r="S231" s="13"/>
      <c r="T231" s="13"/>
      <c r="U231" s="13"/>
    </row>
    <row r="232" spans="1:21">
      <c r="A232" s="13"/>
      <c r="B232" s="47">
        <v>45356</v>
      </c>
      <c r="C232" s="46">
        <v>282.52</v>
      </c>
      <c r="D232" s="49">
        <v>4.1000000000000003E-3</v>
      </c>
      <c r="E232" s="13"/>
      <c r="F232" s="13"/>
      <c r="G232" s="13"/>
      <c r="H232" s="47">
        <v>45356</v>
      </c>
      <c r="I232" s="48">
        <v>22475.85</v>
      </c>
      <c r="J232" s="49">
        <v>-7.6E-3</v>
      </c>
      <c r="K232" s="13"/>
      <c r="L232" s="13"/>
      <c r="M232" s="13"/>
      <c r="N232" s="13"/>
      <c r="O232" s="13"/>
      <c r="P232" s="13"/>
      <c r="Q232" s="13"/>
      <c r="R232" s="13"/>
      <c r="S232" s="13"/>
      <c r="T232" s="13"/>
      <c r="U232" s="13"/>
    </row>
    <row r="233" spans="1:21">
      <c r="A233" s="13"/>
      <c r="B233" s="47">
        <v>45327</v>
      </c>
      <c r="C233" s="46">
        <v>281.38</v>
      </c>
      <c r="D233" s="49">
        <v>-1.21E-2</v>
      </c>
      <c r="E233" s="13"/>
      <c r="F233" s="13"/>
      <c r="G233" s="13"/>
      <c r="H233" s="47">
        <v>45327</v>
      </c>
      <c r="I233" s="48">
        <v>22648.2</v>
      </c>
      <c r="J233" s="49">
        <v>1.9E-3</v>
      </c>
      <c r="K233" s="13"/>
      <c r="L233" s="13"/>
      <c r="M233" s="13"/>
      <c r="N233" s="13"/>
      <c r="O233" s="13"/>
      <c r="P233" s="13"/>
      <c r="Q233" s="13"/>
      <c r="R233" s="13"/>
      <c r="S233" s="13"/>
      <c r="T233" s="13"/>
      <c r="U233" s="13"/>
    </row>
    <row r="234" spans="1:21">
      <c r="A234" s="13"/>
      <c r="B234" s="46" t="s">
        <v>333</v>
      </c>
      <c r="C234" s="46">
        <v>284.83</v>
      </c>
      <c r="D234" s="49">
        <v>5.1799999999999999E-2</v>
      </c>
      <c r="E234" s="13"/>
      <c r="F234" s="13"/>
      <c r="G234" s="13"/>
      <c r="H234" s="46" t="s">
        <v>333</v>
      </c>
      <c r="I234" s="48">
        <v>22604.85</v>
      </c>
      <c r="J234" s="49">
        <v>-1.6999999999999999E-3</v>
      </c>
      <c r="K234" s="13"/>
      <c r="L234" s="13"/>
      <c r="M234" s="13"/>
      <c r="N234" s="13"/>
      <c r="O234" s="13"/>
      <c r="P234" s="13"/>
      <c r="Q234" s="13"/>
      <c r="R234" s="13"/>
      <c r="S234" s="13"/>
      <c r="T234" s="13"/>
      <c r="U234" s="13"/>
    </row>
    <row r="235" spans="1:21">
      <c r="A235" s="13"/>
      <c r="B235" s="46" t="s">
        <v>334</v>
      </c>
      <c r="C235" s="46">
        <v>270.8</v>
      </c>
      <c r="D235" s="49">
        <v>-2.0999999999999999E-3</v>
      </c>
      <c r="E235" s="13"/>
      <c r="F235" s="13"/>
      <c r="G235" s="13"/>
      <c r="H235" s="46" t="s">
        <v>334</v>
      </c>
      <c r="I235" s="48">
        <v>22643.4</v>
      </c>
      <c r="J235" s="49">
        <v>0.01</v>
      </c>
      <c r="K235" s="13"/>
      <c r="L235" s="13"/>
      <c r="M235" s="13"/>
      <c r="N235" s="13"/>
      <c r="O235" s="13"/>
      <c r="P235" s="13"/>
      <c r="Q235" s="13"/>
      <c r="R235" s="13"/>
      <c r="S235" s="13"/>
      <c r="T235" s="13"/>
      <c r="U235" s="13"/>
    </row>
    <row r="236" spans="1:21">
      <c r="A236" s="13"/>
      <c r="B236" s="46" t="s">
        <v>335</v>
      </c>
      <c r="C236" s="46">
        <v>271.38</v>
      </c>
      <c r="D236" s="49">
        <v>-1.6299999999999999E-2</v>
      </c>
      <c r="E236" s="13"/>
      <c r="F236" s="13"/>
      <c r="G236" s="13"/>
      <c r="H236" s="46" t="s">
        <v>335</v>
      </c>
      <c r="I236" s="48">
        <v>22419.95</v>
      </c>
      <c r="J236" s="49">
        <v>-6.7000000000000002E-3</v>
      </c>
      <c r="K236" s="13"/>
      <c r="L236" s="13"/>
      <c r="M236" s="13"/>
      <c r="N236" s="13"/>
      <c r="O236" s="13"/>
      <c r="P236" s="13"/>
      <c r="Q236" s="13"/>
      <c r="R236" s="13"/>
      <c r="S236" s="13"/>
      <c r="T236" s="13"/>
      <c r="U236" s="13"/>
    </row>
    <row r="237" spans="1:21">
      <c r="A237" s="13"/>
      <c r="B237" s="46" t="s">
        <v>336</v>
      </c>
      <c r="C237" s="46">
        <v>275.88</v>
      </c>
      <c r="D237" s="49">
        <v>-1.37E-2</v>
      </c>
      <c r="E237" s="13"/>
      <c r="F237" s="13"/>
      <c r="G237" s="13"/>
      <c r="H237" s="46" t="s">
        <v>336</v>
      </c>
      <c r="I237" s="48">
        <v>22570.35</v>
      </c>
      <c r="J237" s="49">
        <v>7.4999999999999997E-3</v>
      </c>
      <c r="K237" s="13"/>
      <c r="L237" s="13"/>
      <c r="M237" s="13"/>
      <c r="N237" s="13"/>
      <c r="O237" s="13"/>
      <c r="P237" s="13"/>
      <c r="Q237" s="13"/>
      <c r="R237" s="13"/>
      <c r="S237" s="13"/>
      <c r="T237" s="13"/>
      <c r="U237" s="13"/>
    </row>
    <row r="238" spans="1:21">
      <c r="A238" s="13"/>
      <c r="B238" s="46" t="s">
        <v>337</v>
      </c>
      <c r="C238" s="46">
        <v>279.72000000000003</v>
      </c>
      <c r="D238" s="49">
        <v>-1.0200000000000001E-2</v>
      </c>
      <c r="E238" s="13"/>
      <c r="F238" s="13"/>
      <c r="G238" s="13"/>
      <c r="H238" s="46" t="s">
        <v>337</v>
      </c>
      <c r="I238" s="48">
        <v>22402.400000000001</v>
      </c>
      <c r="J238" s="49">
        <v>1.5E-3</v>
      </c>
      <c r="K238" s="13"/>
      <c r="L238" s="13"/>
      <c r="M238" s="13"/>
      <c r="N238" s="13"/>
      <c r="O238" s="13"/>
      <c r="P238" s="13"/>
      <c r="Q238" s="13"/>
      <c r="R238" s="13"/>
      <c r="S238" s="13"/>
      <c r="T238" s="13"/>
      <c r="U238" s="13"/>
    </row>
    <row r="239" spans="1:21">
      <c r="A239" s="13"/>
      <c r="B239" s="46" t="s">
        <v>338</v>
      </c>
      <c r="C239" s="46">
        <v>282.61</v>
      </c>
      <c r="D239" s="49">
        <v>-4.5199999999999997E-2</v>
      </c>
      <c r="E239" s="13"/>
      <c r="F239" s="13"/>
      <c r="G239" s="13"/>
      <c r="H239" s="46" t="s">
        <v>338</v>
      </c>
      <c r="I239" s="48">
        <v>22368</v>
      </c>
      <c r="J239" s="49">
        <v>1.4E-3</v>
      </c>
      <c r="K239" s="13"/>
      <c r="L239" s="13"/>
      <c r="M239" s="13"/>
      <c r="N239" s="13"/>
      <c r="O239" s="13"/>
      <c r="P239" s="13"/>
      <c r="Q239" s="13"/>
      <c r="R239" s="13"/>
      <c r="S239" s="13"/>
      <c r="T239" s="13"/>
      <c r="U239" s="13"/>
    </row>
    <row r="240" spans="1:21">
      <c r="A240" s="13"/>
      <c r="B240" s="46" t="s">
        <v>339</v>
      </c>
      <c r="C240" s="46">
        <v>296</v>
      </c>
      <c r="D240" s="49">
        <v>1.4E-3</v>
      </c>
      <c r="E240" s="13"/>
      <c r="F240" s="13"/>
      <c r="G240" s="13"/>
      <c r="H240" s="46" t="s">
        <v>339</v>
      </c>
      <c r="I240" s="48">
        <v>22336.400000000001</v>
      </c>
      <c r="J240" s="49">
        <v>8.6E-3</v>
      </c>
      <c r="K240" s="13"/>
      <c r="L240" s="13"/>
      <c r="M240" s="13"/>
      <c r="N240" s="13"/>
      <c r="O240" s="13"/>
      <c r="P240" s="13"/>
      <c r="Q240" s="13"/>
      <c r="R240" s="13"/>
      <c r="S240" s="13"/>
      <c r="T240" s="13"/>
      <c r="U240" s="13"/>
    </row>
    <row r="241" spans="1:21">
      <c r="A241" s="13"/>
      <c r="B241" s="46" t="s">
        <v>340</v>
      </c>
      <c r="C241" s="46">
        <v>295.58999999999997</v>
      </c>
      <c r="D241" s="49">
        <v>-1.3899999999999999E-2</v>
      </c>
      <c r="E241" s="13"/>
      <c r="F241" s="13"/>
      <c r="G241" s="13"/>
      <c r="H241" s="46" t="s">
        <v>340</v>
      </c>
      <c r="I241" s="48">
        <v>22147</v>
      </c>
      <c r="J241" s="49">
        <v>6.8999999999999999E-3</v>
      </c>
      <c r="K241" s="13"/>
      <c r="L241" s="13"/>
      <c r="M241" s="13"/>
      <c r="N241" s="13"/>
      <c r="O241" s="13"/>
      <c r="P241" s="13"/>
      <c r="Q241" s="13"/>
      <c r="R241" s="13"/>
      <c r="S241" s="13"/>
      <c r="T241" s="13"/>
      <c r="U241" s="13"/>
    </row>
    <row r="242" spans="1:21">
      <c r="A242" s="13"/>
      <c r="B242" s="46" t="s">
        <v>341</v>
      </c>
      <c r="C242" s="46">
        <v>299.77</v>
      </c>
      <c r="D242" s="49">
        <v>0</v>
      </c>
      <c r="E242" s="13"/>
      <c r="F242" s="13"/>
      <c r="G242" s="13"/>
      <c r="H242" s="46" t="s">
        <v>341</v>
      </c>
      <c r="I242" s="48">
        <v>21995.85</v>
      </c>
      <c r="J242" s="49">
        <v>-6.8999999999999999E-3</v>
      </c>
      <c r="K242" s="13"/>
      <c r="L242" s="13"/>
      <c r="M242" s="13"/>
      <c r="N242" s="13"/>
      <c r="O242" s="13"/>
      <c r="P242" s="13"/>
      <c r="Q242" s="13"/>
      <c r="R242" s="13"/>
      <c r="S242" s="13"/>
      <c r="T242" s="13"/>
      <c r="U242" s="13"/>
    </row>
    <row r="243" spans="1:21">
      <c r="A243" s="13"/>
      <c r="B243" s="46" t="s">
        <v>342</v>
      </c>
      <c r="C243" s="46">
        <v>299.77</v>
      </c>
      <c r="D243" s="49">
        <v>1.8E-3</v>
      </c>
      <c r="E243" s="13"/>
      <c r="F243" s="13"/>
      <c r="G243" s="13"/>
      <c r="H243" s="46" t="s">
        <v>342</v>
      </c>
      <c r="I243" s="48">
        <v>22147.9</v>
      </c>
      <c r="J243" s="49">
        <v>-5.5999999999999999E-3</v>
      </c>
      <c r="K243" s="13"/>
      <c r="L243" s="13"/>
      <c r="M243" s="13"/>
      <c r="N243" s="13"/>
      <c r="O243" s="13"/>
      <c r="P243" s="13"/>
      <c r="Q243" s="13"/>
      <c r="R243" s="13"/>
      <c r="S243" s="13"/>
      <c r="T243" s="13"/>
      <c r="U243" s="13"/>
    </row>
    <row r="244" spans="1:21">
      <c r="A244" s="13"/>
      <c r="B244" s="46" t="s">
        <v>343</v>
      </c>
      <c r="C244" s="46">
        <v>299.23</v>
      </c>
      <c r="D244" s="49">
        <v>-4.4499999999999998E-2</v>
      </c>
      <c r="E244" s="13"/>
      <c r="F244" s="13"/>
      <c r="G244" s="13"/>
      <c r="H244" s="46" t="s">
        <v>343</v>
      </c>
      <c r="I244" s="48">
        <v>22272.5</v>
      </c>
      <c r="J244" s="49">
        <v>-1.0999999999999999E-2</v>
      </c>
      <c r="K244" s="13"/>
      <c r="L244" s="13"/>
      <c r="M244" s="13"/>
      <c r="N244" s="13"/>
      <c r="O244" s="13"/>
      <c r="P244" s="13"/>
      <c r="Q244" s="13"/>
      <c r="R244" s="13"/>
      <c r="S244" s="13"/>
      <c r="T244" s="13"/>
      <c r="U244" s="13"/>
    </row>
    <row r="245" spans="1:21">
      <c r="A245" s="13"/>
      <c r="B245" s="47">
        <v>45630</v>
      </c>
      <c r="C245" s="46">
        <v>313.14999999999998</v>
      </c>
      <c r="D245" s="49">
        <v>3.32E-2</v>
      </c>
      <c r="E245" s="13"/>
      <c r="F245" s="13"/>
      <c r="G245" s="13"/>
      <c r="H245" s="47">
        <v>45630</v>
      </c>
      <c r="I245" s="48">
        <v>22519.4</v>
      </c>
      <c r="J245" s="49">
        <v>-1.03E-2</v>
      </c>
      <c r="K245" s="13"/>
      <c r="L245" s="13"/>
      <c r="M245" s="13"/>
      <c r="N245" s="13"/>
      <c r="O245" s="13"/>
      <c r="P245" s="13"/>
      <c r="Q245" s="13"/>
      <c r="R245" s="13"/>
      <c r="S245" s="13"/>
      <c r="T245" s="13"/>
      <c r="U245" s="13"/>
    </row>
    <row r="246" spans="1:21">
      <c r="A246" s="13"/>
      <c r="B246" s="47">
        <v>45569</v>
      </c>
      <c r="C246" s="46">
        <v>303.08</v>
      </c>
      <c r="D246" s="49">
        <v>-6.4999999999999997E-3</v>
      </c>
      <c r="E246" s="13"/>
      <c r="F246" s="13"/>
      <c r="G246" s="13"/>
      <c r="H246" s="47">
        <v>45569</v>
      </c>
      <c r="I246" s="48">
        <v>22753.8</v>
      </c>
      <c r="J246" s="49">
        <v>4.8999999999999998E-3</v>
      </c>
      <c r="K246" s="13"/>
      <c r="L246" s="13"/>
      <c r="M246" s="13"/>
      <c r="N246" s="13"/>
      <c r="O246" s="13"/>
      <c r="P246" s="13"/>
      <c r="Q246" s="13"/>
      <c r="R246" s="13"/>
      <c r="S246" s="13"/>
      <c r="T246" s="13"/>
      <c r="U246" s="13"/>
    </row>
    <row r="247" spans="1:21">
      <c r="A247" s="13"/>
      <c r="B247" s="47">
        <v>45539</v>
      </c>
      <c r="C247" s="46">
        <v>305.07</v>
      </c>
      <c r="D247" s="49">
        <v>6.4999999999999997E-3</v>
      </c>
      <c r="E247" s="13"/>
      <c r="F247" s="13"/>
      <c r="G247" s="13"/>
      <c r="H247" s="47">
        <v>45539</v>
      </c>
      <c r="I247" s="48">
        <v>22642.75</v>
      </c>
      <c r="J247" s="49">
        <v>-1E-3</v>
      </c>
      <c r="K247" s="13"/>
      <c r="L247" s="13"/>
      <c r="M247" s="13"/>
      <c r="N247" s="13"/>
      <c r="O247" s="13"/>
      <c r="P247" s="13"/>
      <c r="Q247" s="13"/>
      <c r="R247" s="13"/>
      <c r="S247" s="13"/>
      <c r="T247" s="13"/>
      <c r="U247" s="13"/>
    </row>
    <row r="248" spans="1:21">
      <c r="A248" s="13"/>
      <c r="B248" s="47">
        <v>45508</v>
      </c>
      <c r="C248" s="46">
        <v>303.10000000000002</v>
      </c>
      <c r="D248" s="49">
        <v>-4.1999999999999997E-3</v>
      </c>
      <c r="E248" s="13"/>
      <c r="F248" s="13"/>
      <c r="G248" s="13"/>
      <c r="H248" s="47">
        <v>45508</v>
      </c>
      <c r="I248" s="48">
        <v>22666.3</v>
      </c>
      <c r="J248" s="49">
        <v>6.7999999999999996E-3</v>
      </c>
      <c r="K248" s="13"/>
      <c r="L248" s="13"/>
      <c r="M248" s="13"/>
      <c r="N248" s="13"/>
      <c r="O248" s="13"/>
      <c r="P248" s="13"/>
      <c r="Q248" s="13"/>
      <c r="R248" s="13"/>
      <c r="S248" s="13"/>
      <c r="T248" s="13"/>
      <c r="U248" s="13"/>
    </row>
    <row r="249" spans="1:21">
      <c r="A249" s="13"/>
      <c r="B249" s="47">
        <v>45416</v>
      </c>
      <c r="C249" s="46">
        <v>304.37</v>
      </c>
      <c r="D249" s="49">
        <v>2.0799999999999999E-2</v>
      </c>
      <c r="E249" s="13"/>
      <c r="F249" s="13"/>
      <c r="G249" s="13"/>
      <c r="H249" s="47">
        <v>45416</v>
      </c>
      <c r="I249" s="48">
        <v>22513.7</v>
      </c>
      <c r="J249" s="49">
        <v>0</v>
      </c>
      <c r="K249" s="13"/>
      <c r="L249" s="13"/>
      <c r="M249" s="13"/>
      <c r="N249" s="13"/>
      <c r="O249" s="13"/>
      <c r="P249" s="13"/>
      <c r="Q249" s="13"/>
      <c r="R249" s="13"/>
      <c r="S249" s="13"/>
      <c r="T249" s="13"/>
      <c r="U249" s="13"/>
    </row>
    <row r="250" spans="1:21">
      <c r="A250" s="13"/>
      <c r="B250" s="47">
        <v>45386</v>
      </c>
      <c r="C250" s="46">
        <v>298.17</v>
      </c>
      <c r="D250" s="49">
        <v>-1.2200000000000001E-2</v>
      </c>
      <c r="E250" s="13"/>
      <c r="F250" s="13"/>
      <c r="G250" s="13"/>
      <c r="H250" s="47">
        <v>45386</v>
      </c>
      <c r="I250" s="48">
        <v>22514.65</v>
      </c>
      <c r="J250" s="49">
        <v>3.5999999999999999E-3</v>
      </c>
      <c r="K250" s="13"/>
      <c r="L250" s="13"/>
      <c r="M250" s="13"/>
      <c r="N250" s="13"/>
      <c r="O250" s="13"/>
      <c r="P250" s="13"/>
      <c r="Q250" s="13"/>
      <c r="R250" s="13"/>
      <c r="S250" s="13"/>
      <c r="T250" s="13"/>
      <c r="U250" s="13"/>
    </row>
    <row r="251" spans="1:21">
      <c r="A251" s="13"/>
      <c r="B251" s="47">
        <v>45355</v>
      </c>
      <c r="C251" s="46">
        <v>301.85000000000002</v>
      </c>
      <c r="D251" s="49">
        <v>-3.09E-2</v>
      </c>
      <c r="E251" s="13"/>
      <c r="F251" s="13"/>
      <c r="G251" s="13"/>
      <c r="H251" s="47">
        <v>45355</v>
      </c>
      <c r="I251" s="48">
        <v>22434.65</v>
      </c>
      <c r="J251" s="49">
        <v>-8.0000000000000004E-4</v>
      </c>
      <c r="K251" s="13"/>
      <c r="L251" s="13"/>
      <c r="M251" s="13"/>
      <c r="N251" s="13"/>
      <c r="O251" s="13"/>
      <c r="P251" s="13"/>
      <c r="Q251" s="13"/>
      <c r="R251" s="13"/>
      <c r="S251" s="13"/>
      <c r="T251" s="13"/>
      <c r="U251" s="13"/>
    </row>
    <row r="252" spans="1:21">
      <c r="A252" s="13"/>
      <c r="B252" s="47">
        <v>45326</v>
      </c>
      <c r="C252" s="46">
        <v>311.47000000000003</v>
      </c>
      <c r="D252" s="49">
        <v>-2.5700000000000001E-2</v>
      </c>
      <c r="E252" s="13"/>
      <c r="F252" s="13"/>
      <c r="G252" s="13"/>
      <c r="H252" s="47">
        <v>45326</v>
      </c>
      <c r="I252" s="48">
        <v>22453.3</v>
      </c>
      <c r="J252" s="49">
        <v>-4.0000000000000002E-4</v>
      </c>
      <c r="K252" s="13"/>
      <c r="L252" s="13"/>
      <c r="M252" s="13"/>
      <c r="N252" s="13"/>
      <c r="O252" s="13"/>
      <c r="P252" s="13"/>
      <c r="Q252" s="13"/>
      <c r="R252" s="13"/>
      <c r="S252" s="13"/>
      <c r="T252" s="13"/>
      <c r="U252" s="13"/>
    </row>
    <row r="253" spans="1:21">
      <c r="A253" s="13"/>
      <c r="B253" s="47">
        <v>45295</v>
      </c>
      <c r="C253" s="46">
        <v>319.67</v>
      </c>
      <c r="D253" s="49">
        <v>1.83E-2</v>
      </c>
      <c r="E253" s="13"/>
      <c r="F253" s="13"/>
      <c r="G253" s="13"/>
      <c r="H253" s="47">
        <v>45295</v>
      </c>
      <c r="I253" s="48">
        <v>22462</v>
      </c>
      <c r="J253" s="49">
        <v>6.1000000000000004E-3</v>
      </c>
      <c r="K253" s="13"/>
      <c r="L253" s="13"/>
      <c r="M253" s="13"/>
      <c r="N253" s="13"/>
      <c r="O253" s="13"/>
      <c r="P253" s="13"/>
      <c r="Q253" s="13"/>
      <c r="R253" s="13"/>
      <c r="S253" s="13"/>
      <c r="T253" s="13"/>
      <c r="U253" s="13"/>
    </row>
    <row r="254" spans="1:21">
      <c r="A254" s="13"/>
      <c r="B254" s="46" t="s">
        <v>346</v>
      </c>
      <c r="C254" s="46">
        <v>313.91000000000003</v>
      </c>
      <c r="D254" s="49">
        <v>-2.1600000000000001E-2</v>
      </c>
      <c r="E254" s="13"/>
      <c r="F254" s="13"/>
      <c r="G254" s="13"/>
      <c r="H254" s="46" t="s">
        <v>346</v>
      </c>
      <c r="I254" s="48">
        <v>22326.9</v>
      </c>
      <c r="J254" s="49">
        <v>9.1999999999999998E-3</v>
      </c>
      <c r="K254" s="13"/>
      <c r="L254" s="13"/>
      <c r="M254" s="13"/>
      <c r="N254" s="13"/>
      <c r="O254" s="13"/>
      <c r="P254" s="13"/>
      <c r="Q254" s="13"/>
      <c r="R254" s="13"/>
      <c r="S254" s="13"/>
      <c r="T254" s="13"/>
      <c r="U254" s="13"/>
    </row>
    <row r="255" spans="1:21">
      <c r="A255" s="13"/>
      <c r="B255" s="46" t="s">
        <v>348</v>
      </c>
      <c r="C255" s="46">
        <v>320.83999999999997</v>
      </c>
      <c r="D255" s="49">
        <v>9.9000000000000008E-3</v>
      </c>
      <c r="E255" s="13"/>
      <c r="F255" s="13"/>
      <c r="G255" s="13"/>
      <c r="H255" s="46" t="s">
        <v>348</v>
      </c>
      <c r="I255" s="48">
        <v>22123.65</v>
      </c>
      <c r="J255" s="49">
        <v>5.4000000000000003E-3</v>
      </c>
      <c r="K255" s="13"/>
      <c r="L255" s="13"/>
      <c r="M255" s="13"/>
      <c r="N255" s="13"/>
      <c r="O255" s="13"/>
      <c r="P255" s="13"/>
      <c r="Q255" s="13"/>
      <c r="R255" s="13"/>
      <c r="S255" s="13"/>
      <c r="T255" s="13"/>
      <c r="U255" s="13"/>
    </row>
    <row r="256" spans="1:21">
      <c r="A256" s="13"/>
      <c r="B256" s="46" t="s">
        <v>350</v>
      </c>
      <c r="C256" s="46">
        <v>317.68</v>
      </c>
      <c r="D256" s="49">
        <v>5.0000000000000001E-4</v>
      </c>
      <c r="E256" s="13"/>
      <c r="F256" s="13"/>
      <c r="G256" s="13"/>
      <c r="H256" s="46" t="s">
        <v>350</v>
      </c>
      <c r="I256" s="48">
        <v>22004.7</v>
      </c>
      <c r="J256" s="49">
        <v>-4.1999999999999997E-3</v>
      </c>
      <c r="K256" s="13"/>
      <c r="L256" s="13"/>
      <c r="M256" s="13"/>
      <c r="N256" s="13"/>
      <c r="O256" s="13"/>
      <c r="P256" s="13"/>
      <c r="Q256" s="13"/>
      <c r="R256" s="13"/>
      <c r="S256" s="13"/>
      <c r="T256" s="13"/>
      <c r="U256" s="13"/>
    </row>
    <row r="257" spans="1:21">
      <c r="A257" s="13"/>
      <c r="B257" s="46" t="s">
        <v>352</v>
      </c>
      <c r="C257" s="46">
        <v>317.51</v>
      </c>
      <c r="D257" s="49">
        <v>2.5000000000000001E-3</v>
      </c>
      <c r="E257" s="13"/>
      <c r="F257" s="13"/>
      <c r="G257" s="13"/>
      <c r="H257" s="46" t="s">
        <v>352</v>
      </c>
      <c r="I257" s="48">
        <v>22096.75</v>
      </c>
      <c r="J257" s="49">
        <v>3.8999999999999998E-3</v>
      </c>
      <c r="K257" s="13"/>
      <c r="L257" s="13"/>
      <c r="M257" s="13"/>
      <c r="N257" s="13"/>
      <c r="O257" s="13"/>
      <c r="P257" s="13"/>
      <c r="Q257" s="13"/>
      <c r="R257" s="13"/>
      <c r="S257" s="13"/>
      <c r="T257" s="13"/>
      <c r="U257" s="13"/>
    </row>
    <row r="258" spans="1:21">
      <c r="A258" s="13"/>
      <c r="B258" s="46" t="s">
        <v>353</v>
      </c>
      <c r="C258" s="46">
        <v>316.73</v>
      </c>
      <c r="D258" s="49">
        <v>2.07E-2</v>
      </c>
      <c r="E258" s="13"/>
      <c r="F258" s="13"/>
      <c r="G258" s="13"/>
      <c r="H258" s="46" t="s">
        <v>353</v>
      </c>
      <c r="I258" s="48">
        <v>22011.95</v>
      </c>
      <c r="J258" s="49">
        <v>7.9000000000000008E-3</v>
      </c>
      <c r="K258" s="13"/>
      <c r="L258" s="13"/>
      <c r="M258" s="13"/>
      <c r="N258" s="13"/>
      <c r="O258" s="13"/>
      <c r="P258" s="13"/>
      <c r="Q258" s="13"/>
      <c r="R258" s="13"/>
      <c r="S258" s="13"/>
      <c r="T258" s="13"/>
      <c r="U258" s="13"/>
    </row>
    <row r="259" spans="1:21">
      <c r="A259" s="13"/>
      <c r="B259" s="46" t="s">
        <v>354</v>
      </c>
      <c r="C259" s="46">
        <v>310.31</v>
      </c>
      <c r="D259" s="49">
        <v>2.0899999999999998E-2</v>
      </c>
      <c r="E259" s="13"/>
      <c r="F259" s="13"/>
      <c r="G259" s="13"/>
      <c r="H259" s="46" t="s">
        <v>354</v>
      </c>
      <c r="I259" s="48">
        <v>21839.1</v>
      </c>
      <c r="J259" s="49">
        <v>1E-3</v>
      </c>
      <c r="K259" s="13"/>
      <c r="L259" s="13"/>
      <c r="M259" s="13"/>
      <c r="N259" s="13"/>
      <c r="O259" s="13"/>
      <c r="P259" s="13"/>
      <c r="Q259" s="13"/>
      <c r="R259" s="13"/>
      <c r="S259" s="13"/>
      <c r="T259" s="13"/>
      <c r="U259" s="13"/>
    </row>
    <row r="260" spans="1:21">
      <c r="A260" s="13"/>
      <c r="B260" s="46" t="s">
        <v>356</v>
      </c>
      <c r="C260" s="46">
        <v>303.95</v>
      </c>
      <c r="D260" s="49">
        <v>3.7900000000000003E-2</v>
      </c>
      <c r="E260" s="13"/>
      <c r="F260" s="13"/>
      <c r="G260" s="13"/>
      <c r="H260" s="46" t="s">
        <v>356</v>
      </c>
      <c r="I260" s="48">
        <v>21817.45</v>
      </c>
      <c r="J260" s="49">
        <v>-1.0800000000000001E-2</v>
      </c>
      <c r="K260" s="13"/>
      <c r="L260" s="13"/>
      <c r="M260" s="13"/>
      <c r="N260" s="13"/>
      <c r="O260" s="13"/>
      <c r="P260" s="13"/>
      <c r="Q260" s="13"/>
      <c r="R260" s="13"/>
      <c r="S260" s="13"/>
      <c r="T260" s="13"/>
      <c r="U260" s="13"/>
    </row>
    <row r="261" spans="1:21">
      <c r="A261" s="13"/>
      <c r="B261" s="46" t="s">
        <v>358</v>
      </c>
      <c r="C261" s="46">
        <v>292.85000000000002</v>
      </c>
      <c r="D261" s="49">
        <v>1.5599999999999999E-2</v>
      </c>
      <c r="E261" s="13"/>
      <c r="F261" s="13"/>
      <c r="G261" s="13"/>
      <c r="H261" s="46" t="s">
        <v>358</v>
      </c>
      <c r="I261" s="48">
        <v>22055.7</v>
      </c>
      <c r="J261" s="49">
        <v>1.5E-3</v>
      </c>
      <c r="K261" s="13"/>
      <c r="L261" s="13"/>
      <c r="M261" s="13"/>
      <c r="N261" s="13"/>
      <c r="O261" s="13"/>
      <c r="P261" s="13"/>
      <c r="Q261" s="13"/>
      <c r="R261" s="13"/>
      <c r="S261" s="13"/>
      <c r="T261" s="13"/>
      <c r="U261" s="13"/>
    </row>
    <row r="262" spans="1:21">
      <c r="A262" s="13"/>
      <c r="B262" s="46" t="s">
        <v>359</v>
      </c>
      <c r="C262" s="46">
        <v>288.36</v>
      </c>
      <c r="D262" s="49">
        <v>5.3199999999999997E-2</v>
      </c>
      <c r="E262" s="13"/>
      <c r="F262" s="13"/>
      <c r="G262" s="13"/>
      <c r="H262" s="46" t="s">
        <v>359</v>
      </c>
      <c r="I262" s="48">
        <v>22023.35</v>
      </c>
      <c r="J262" s="49">
        <v>-5.5999999999999999E-3</v>
      </c>
      <c r="K262" s="13"/>
      <c r="L262" s="13"/>
      <c r="M262" s="13"/>
      <c r="N262" s="13"/>
      <c r="O262" s="13"/>
      <c r="P262" s="13"/>
      <c r="Q262" s="13"/>
      <c r="R262" s="13"/>
      <c r="S262" s="13"/>
      <c r="T262" s="13"/>
      <c r="U262" s="13"/>
    </row>
    <row r="263" spans="1:21">
      <c r="A263" s="13"/>
      <c r="B263" s="46" t="s">
        <v>360</v>
      </c>
      <c r="C263" s="46">
        <v>273.8</v>
      </c>
      <c r="D263" s="49">
        <v>-1.6500000000000001E-2</v>
      </c>
      <c r="E263" s="13"/>
      <c r="F263" s="13"/>
      <c r="G263" s="13"/>
      <c r="H263" s="46" t="s">
        <v>360</v>
      </c>
      <c r="I263" s="48">
        <v>22146.65</v>
      </c>
      <c r="J263" s="49">
        <v>6.7999999999999996E-3</v>
      </c>
      <c r="K263" s="13"/>
      <c r="L263" s="13"/>
      <c r="M263" s="13"/>
      <c r="N263" s="13"/>
      <c r="O263" s="13"/>
      <c r="P263" s="13"/>
      <c r="Q263" s="13"/>
      <c r="R263" s="13"/>
      <c r="S263" s="13"/>
      <c r="T263" s="13"/>
      <c r="U263" s="13"/>
    </row>
    <row r="264" spans="1:21">
      <c r="A264" s="13"/>
      <c r="B264" s="46" t="s">
        <v>362</v>
      </c>
      <c r="C264" s="46">
        <v>278.39999999999998</v>
      </c>
      <c r="D264" s="49">
        <v>-3.2199999999999999E-2</v>
      </c>
      <c r="E264" s="13"/>
      <c r="F264" s="13"/>
      <c r="G264" s="13"/>
      <c r="H264" s="46" t="s">
        <v>362</v>
      </c>
      <c r="I264" s="48">
        <v>21997.7</v>
      </c>
      <c r="J264" s="49">
        <v>-1.5100000000000001E-2</v>
      </c>
      <c r="K264" s="13"/>
      <c r="L264" s="13"/>
      <c r="M264" s="13"/>
      <c r="N264" s="13"/>
      <c r="O264" s="13"/>
      <c r="P264" s="13"/>
      <c r="Q264" s="13"/>
      <c r="R264" s="13"/>
      <c r="S264" s="13"/>
      <c r="T264" s="13"/>
      <c r="U264" s="13"/>
    </row>
    <row r="265" spans="1:21">
      <c r="A265" s="13"/>
      <c r="B265" s="47">
        <v>45629</v>
      </c>
      <c r="C265" s="46">
        <v>287.67</v>
      </c>
      <c r="D265" s="49">
        <v>-2.7799999999999998E-2</v>
      </c>
      <c r="E265" s="13"/>
      <c r="F265" s="13"/>
      <c r="G265" s="13"/>
      <c r="H265" s="47">
        <v>45629</v>
      </c>
      <c r="I265" s="48">
        <v>22335.7</v>
      </c>
      <c r="J265" s="49">
        <v>1E-4</v>
      </c>
      <c r="K265" s="13"/>
      <c r="L265" s="13"/>
      <c r="M265" s="13"/>
      <c r="N265" s="13"/>
      <c r="O265" s="13"/>
      <c r="P265" s="13"/>
      <c r="Q265" s="13"/>
      <c r="R265" s="13"/>
      <c r="S265" s="13"/>
      <c r="T265" s="13"/>
      <c r="U265" s="13"/>
    </row>
    <row r="266" spans="1:21">
      <c r="A266" s="13"/>
      <c r="B266" s="47">
        <v>45599</v>
      </c>
      <c r="C266" s="46">
        <v>295.89999999999998</v>
      </c>
      <c r="D266" s="49">
        <v>-1.49E-2</v>
      </c>
      <c r="E266" s="13"/>
      <c r="F266" s="13"/>
      <c r="G266" s="13"/>
      <c r="H266" s="47">
        <v>45599</v>
      </c>
      <c r="I266" s="48">
        <v>22332.65</v>
      </c>
      <c r="J266" s="49">
        <v>-7.1999999999999998E-3</v>
      </c>
      <c r="K266" s="13"/>
      <c r="L266" s="13"/>
      <c r="M266" s="13"/>
      <c r="N266" s="13"/>
      <c r="O266" s="13"/>
      <c r="P266" s="13"/>
      <c r="Q266" s="13"/>
      <c r="R266" s="13"/>
      <c r="S266" s="13"/>
      <c r="T266" s="13"/>
      <c r="U266" s="13"/>
    </row>
    <row r="267" spans="1:21">
      <c r="A267" s="13"/>
      <c r="B267" s="47">
        <v>45476</v>
      </c>
      <c r="C267" s="46">
        <v>300.38</v>
      </c>
      <c r="D267" s="49">
        <v>1.1000000000000001E-3</v>
      </c>
      <c r="E267" s="13"/>
      <c r="F267" s="13"/>
      <c r="G267" s="13"/>
      <c r="H267" s="47">
        <v>45476</v>
      </c>
      <c r="I267" s="48">
        <v>22493.55</v>
      </c>
      <c r="J267" s="49">
        <v>8.9999999999999998E-4</v>
      </c>
      <c r="K267" s="13"/>
      <c r="L267" s="13"/>
      <c r="M267" s="13"/>
      <c r="N267" s="13"/>
      <c r="O267" s="13"/>
      <c r="P267" s="13"/>
      <c r="Q267" s="13"/>
      <c r="R267" s="13"/>
      <c r="S267" s="13"/>
      <c r="T267" s="13"/>
      <c r="U267" s="13"/>
    </row>
    <row r="268" spans="1:21">
      <c r="A268" s="13"/>
      <c r="B268" s="47">
        <v>45446</v>
      </c>
      <c r="C268" s="46">
        <v>300.05</v>
      </c>
      <c r="D268" s="49">
        <v>2.3999999999999998E-3</v>
      </c>
      <c r="E268" s="13"/>
      <c r="F268" s="13"/>
      <c r="G268" s="13"/>
      <c r="H268" s="47">
        <v>45446</v>
      </c>
      <c r="I268" s="48">
        <v>22474.05</v>
      </c>
      <c r="J268" s="49">
        <v>5.3E-3</v>
      </c>
      <c r="K268" s="13"/>
      <c r="L268" s="13"/>
      <c r="M268" s="13"/>
      <c r="N268" s="13"/>
      <c r="O268" s="13"/>
      <c r="P268" s="13"/>
      <c r="Q268" s="13"/>
      <c r="R268" s="13"/>
      <c r="S268" s="13"/>
      <c r="T268" s="13"/>
      <c r="U268" s="13"/>
    </row>
    <row r="269" spans="1:21">
      <c r="A269" s="13"/>
      <c r="B269" s="47">
        <v>45415</v>
      </c>
      <c r="C269" s="46">
        <v>299.33</v>
      </c>
      <c r="D269" s="49">
        <v>-0.01</v>
      </c>
      <c r="E269" s="13"/>
      <c r="F269" s="13"/>
      <c r="G269" s="13"/>
      <c r="H269" s="47">
        <v>45415</v>
      </c>
      <c r="I269" s="48">
        <v>22356.3</v>
      </c>
      <c r="J269" s="49">
        <v>-2.2000000000000001E-3</v>
      </c>
      <c r="K269" s="13"/>
      <c r="L269" s="13"/>
      <c r="M269" s="13"/>
      <c r="N269" s="13"/>
      <c r="O269" s="13"/>
      <c r="P269" s="13"/>
      <c r="Q269" s="13"/>
      <c r="R269" s="13"/>
      <c r="S269" s="13"/>
      <c r="T269" s="13"/>
      <c r="U269" s="13"/>
    </row>
    <row r="270" spans="1:21">
      <c r="A270" s="13"/>
      <c r="B270" s="47">
        <v>45385</v>
      </c>
      <c r="C270" s="46">
        <v>302.36</v>
      </c>
      <c r="D270" s="49">
        <v>-4.4000000000000003E-3</v>
      </c>
      <c r="E270" s="13"/>
      <c r="F270" s="13"/>
      <c r="G270" s="13"/>
      <c r="H270" s="47">
        <v>45385</v>
      </c>
      <c r="I270" s="48">
        <v>22405.599999999999</v>
      </c>
      <c r="J270" s="49">
        <v>1.1999999999999999E-3</v>
      </c>
      <c r="K270" s="13"/>
      <c r="L270" s="13"/>
      <c r="M270" s="13"/>
      <c r="N270" s="13"/>
      <c r="O270" s="13"/>
      <c r="P270" s="13"/>
      <c r="Q270" s="13"/>
      <c r="R270" s="13"/>
      <c r="S270" s="13"/>
      <c r="T270" s="13"/>
      <c r="U270" s="13"/>
    </row>
    <row r="271" spans="1:21">
      <c r="A271" s="13"/>
      <c r="B271" s="47">
        <v>45325</v>
      </c>
      <c r="C271" s="46">
        <v>303.69</v>
      </c>
      <c r="D271" s="49">
        <v>1.14E-2</v>
      </c>
      <c r="E271" s="13"/>
      <c r="F271" s="13"/>
      <c r="G271" s="13"/>
      <c r="H271" s="47">
        <v>45325</v>
      </c>
      <c r="I271" s="48">
        <v>22378.400000000001</v>
      </c>
      <c r="J271" s="49">
        <v>1.8E-3</v>
      </c>
      <c r="K271" s="13"/>
      <c r="L271" s="13"/>
      <c r="M271" s="13"/>
      <c r="N271" s="13"/>
      <c r="O271" s="13"/>
      <c r="P271" s="13"/>
      <c r="Q271" s="13"/>
      <c r="R271" s="13"/>
      <c r="S271" s="13"/>
      <c r="T271" s="13"/>
      <c r="U271" s="13"/>
    </row>
    <row r="272" spans="1:21">
      <c r="A272" s="13"/>
      <c r="B272" s="47">
        <v>45294</v>
      </c>
      <c r="C272" s="46">
        <v>300.27</v>
      </c>
      <c r="D272" s="49">
        <v>-4.0000000000000002E-4</v>
      </c>
      <c r="E272" s="13"/>
      <c r="F272" s="13"/>
      <c r="G272" s="13"/>
      <c r="H272" s="47">
        <v>45294</v>
      </c>
      <c r="I272" s="48">
        <v>22338.75</v>
      </c>
      <c r="J272" s="49">
        <v>1.6199999999999999E-2</v>
      </c>
      <c r="K272" s="13"/>
      <c r="L272" s="13"/>
      <c r="M272" s="13"/>
      <c r="N272" s="13"/>
      <c r="O272" s="13"/>
      <c r="P272" s="13"/>
      <c r="Q272" s="13"/>
      <c r="R272" s="13"/>
      <c r="S272" s="13"/>
      <c r="T272" s="13"/>
      <c r="U272" s="13"/>
    </row>
    <row r="273" spans="1:21">
      <c r="A273" s="13"/>
      <c r="B273" s="46" t="s">
        <v>369</v>
      </c>
      <c r="C273" s="46">
        <v>300.39999999999998</v>
      </c>
      <c r="D273" s="49">
        <v>3.7000000000000002E-3</v>
      </c>
      <c r="E273" s="13"/>
      <c r="F273" s="13"/>
      <c r="G273" s="13"/>
      <c r="H273" s="46" t="s">
        <v>369</v>
      </c>
      <c r="I273" s="48">
        <v>21982.799999999999</v>
      </c>
      <c r="J273" s="49">
        <v>1.4E-3</v>
      </c>
      <c r="K273" s="13"/>
      <c r="L273" s="13"/>
      <c r="M273" s="13"/>
      <c r="N273" s="13"/>
      <c r="O273" s="13"/>
      <c r="P273" s="13"/>
      <c r="Q273" s="13"/>
      <c r="R273" s="13"/>
      <c r="S273" s="13"/>
      <c r="T273" s="13"/>
      <c r="U273" s="13"/>
    </row>
    <row r="274" spans="1:21">
      <c r="A274" s="13"/>
      <c r="B274" s="46" t="s">
        <v>371</v>
      </c>
      <c r="C274" s="46">
        <v>299.3</v>
      </c>
      <c r="D274" s="49">
        <v>-1.6999999999999999E-3</v>
      </c>
      <c r="E274" s="13"/>
      <c r="F274" s="13"/>
      <c r="G274" s="13"/>
      <c r="H274" s="46" t="s">
        <v>371</v>
      </c>
      <c r="I274" s="48">
        <v>21951.15</v>
      </c>
      <c r="J274" s="49">
        <v>-1.11E-2</v>
      </c>
      <c r="K274" s="13"/>
      <c r="L274" s="13"/>
      <c r="M274" s="13"/>
      <c r="N274" s="13"/>
      <c r="O274" s="13"/>
      <c r="P274" s="13"/>
      <c r="Q274" s="13"/>
      <c r="R274" s="13"/>
      <c r="S274" s="13"/>
      <c r="T274" s="13"/>
      <c r="U274" s="13"/>
    </row>
    <row r="275" spans="1:21">
      <c r="A275" s="13"/>
      <c r="B275" s="46" t="s">
        <v>372</v>
      </c>
      <c r="C275" s="46">
        <v>299.81</v>
      </c>
      <c r="D275" s="49">
        <v>1.0800000000000001E-2</v>
      </c>
      <c r="E275" s="13"/>
      <c r="F275" s="13"/>
      <c r="G275" s="13"/>
      <c r="H275" s="46" t="s">
        <v>372</v>
      </c>
      <c r="I275" s="48">
        <v>22198.35</v>
      </c>
      <c r="J275" s="49">
        <v>3.3999999999999998E-3</v>
      </c>
      <c r="K275" s="13"/>
      <c r="L275" s="13"/>
      <c r="M275" s="13"/>
      <c r="N275" s="13"/>
      <c r="O275" s="13"/>
      <c r="P275" s="13"/>
      <c r="Q275" s="13"/>
      <c r="R275" s="13"/>
      <c r="S275" s="13"/>
      <c r="T275" s="13"/>
      <c r="U275" s="13"/>
    </row>
    <row r="276" spans="1:21">
      <c r="A276" s="13"/>
      <c r="B276" s="46" t="s">
        <v>373</v>
      </c>
      <c r="C276" s="46">
        <v>296.62</v>
      </c>
      <c r="D276" s="49">
        <v>-1.4500000000000001E-2</v>
      </c>
      <c r="E276" s="13"/>
      <c r="F276" s="13"/>
      <c r="G276" s="13"/>
      <c r="H276" s="46" t="s">
        <v>373</v>
      </c>
      <c r="I276" s="48">
        <v>22122.05</v>
      </c>
      <c r="J276" s="49">
        <v>-4.1000000000000003E-3</v>
      </c>
      <c r="K276" s="13"/>
      <c r="L276" s="13"/>
      <c r="M276" s="13"/>
      <c r="N276" s="13"/>
      <c r="O276" s="13"/>
      <c r="P276" s="13"/>
      <c r="Q276" s="13"/>
      <c r="R276" s="13"/>
      <c r="S276" s="13"/>
      <c r="T276" s="13"/>
      <c r="U276" s="13"/>
    </row>
    <row r="277" spans="1:21">
      <c r="A277" s="13"/>
      <c r="B277" s="46" t="s">
        <v>375</v>
      </c>
      <c r="C277" s="46">
        <v>300.97000000000003</v>
      </c>
      <c r="D277" s="49">
        <v>3.4599999999999999E-2</v>
      </c>
      <c r="E277" s="13"/>
      <c r="F277" s="13"/>
      <c r="G277" s="13"/>
      <c r="H277" s="46" t="s">
        <v>375</v>
      </c>
      <c r="I277" s="48">
        <v>22212.7</v>
      </c>
      <c r="J277" s="49">
        <v>-2.0000000000000001E-4</v>
      </c>
      <c r="K277" s="13"/>
      <c r="L277" s="13"/>
      <c r="M277" s="13"/>
      <c r="N277" s="13"/>
      <c r="O277" s="13"/>
      <c r="P277" s="13"/>
      <c r="Q277" s="13"/>
      <c r="R277" s="13"/>
      <c r="S277" s="13"/>
      <c r="T277" s="13"/>
      <c r="U277" s="13"/>
    </row>
    <row r="278" spans="1:21">
      <c r="A278" s="13"/>
      <c r="B278" s="46" t="s">
        <v>377</v>
      </c>
      <c r="C278" s="46">
        <v>290.89999999999998</v>
      </c>
      <c r="D278" s="49">
        <v>2E-3</v>
      </c>
      <c r="E278" s="13"/>
      <c r="F278" s="13"/>
      <c r="G278" s="13"/>
      <c r="H278" s="46" t="s">
        <v>377</v>
      </c>
      <c r="I278" s="48">
        <v>22217.45</v>
      </c>
      <c r="J278" s="49">
        <v>7.4000000000000003E-3</v>
      </c>
      <c r="K278" s="13"/>
      <c r="L278" s="13"/>
      <c r="M278" s="13"/>
      <c r="N278" s="13"/>
      <c r="O278" s="13"/>
      <c r="P278" s="13"/>
      <c r="Q278" s="13"/>
      <c r="R278" s="13"/>
      <c r="S278" s="13"/>
      <c r="T278" s="13"/>
      <c r="U278" s="13"/>
    </row>
    <row r="279" spans="1:21">
      <c r="A279" s="13"/>
      <c r="B279" s="46" t="s">
        <v>379</v>
      </c>
      <c r="C279" s="46">
        <v>290.33</v>
      </c>
      <c r="D279" s="49">
        <v>3.2000000000000001E-2</v>
      </c>
      <c r="E279" s="13"/>
      <c r="F279" s="13"/>
      <c r="G279" s="13"/>
      <c r="H279" s="46" t="s">
        <v>379</v>
      </c>
      <c r="I279" s="48">
        <v>22055.05</v>
      </c>
      <c r="J279" s="49">
        <v>-6.4000000000000003E-3</v>
      </c>
      <c r="K279" s="13"/>
      <c r="L279" s="13"/>
      <c r="M279" s="13"/>
      <c r="N279" s="13"/>
      <c r="O279" s="13"/>
      <c r="P279" s="13"/>
      <c r="Q279" s="13"/>
      <c r="R279" s="13"/>
      <c r="S279" s="13"/>
      <c r="T279" s="13"/>
      <c r="U279" s="13"/>
    </row>
    <row r="280" spans="1:21">
      <c r="A280" s="13"/>
      <c r="B280" s="46" t="s">
        <v>380</v>
      </c>
      <c r="C280" s="46">
        <v>281.33999999999997</v>
      </c>
      <c r="D280" s="49">
        <v>3.44E-2</v>
      </c>
      <c r="E280" s="13"/>
      <c r="F280" s="13"/>
      <c r="G280" s="13"/>
      <c r="H280" s="46" t="s">
        <v>380</v>
      </c>
      <c r="I280" s="48">
        <v>22196.95</v>
      </c>
      <c r="J280" s="49">
        <v>3.3999999999999998E-3</v>
      </c>
      <c r="K280" s="13"/>
      <c r="L280" s="13"/>
      <c r="M280" s="13"/>
      <c r="N280" s="13"/>
      <c r="O280" s="13"/>
      <c r="P280" s="13"/>
      <c r="Q280" s="13"/>
      <c r="R280" s="13"/>
      <c r="S280" s="13"/>
      <c r="T280" s="13"/>
      <c r="U280" s="13"/>
    </row>
    <row r="281" spans="1:21">
      <c r="A281" s="13"/>
      <c r="B281" s="46" t="s">
        <v>381</v>
      </c>
      <c r="C281" s="46">
        <v>271.98</v>
      </c>
      <c r="D281" s="49">
        <v>-7.3000000000000001E-3</v>
      </c>
      <c r="E281" s="13"/>
      <c r="F281" s="13"/>
      <c r="G281" s="13"/>
      <c r="H281" s="46" t="s">
        <v>381</v>
      </c>
      <c r="I281" s="48">
        <v>22122.25</v>
      </c>
      <c r="J281" s="49">
        <v>3.7000000000000002E-3</v>
      </c>
      <c r="K281" s="13"/>
      <c r="L281" s="13"/>
      <c r="M281" s="13"/>
      <c r="N281" s="13"/>
      <c r="O281" s="13"/>
      <c r="P281" s="13"/>
      <c r="Q281" s="13"/>
      <c r="R281" s="13"/>
      <c r="S281" s="13"/>
      <c r="T281" s="13"/>
      <c r="U281" s="13"/>
    </row>
    <row r="282" spans="1:21">
      <c r="A282" s="13"/>
      <c r="B282" s="46" t="s">
        <v>383</v>
      </c>
      <c r="C282" s="46">
        <v>273.97000000000003</v>
      </c>
      <c r="D282" s="49">
        <v>2.23E-2</v>
      </c>
      <c r="E282" s="13"/>
      <c r="F282" s="13"/>
      <c r="G282" s="13"/>
      <c r="H282" s="46" t="s">
        <v>383</v>
      </c>
      <c r="I282" s="48">
        <v>22040.7</v>
      </c>
      <c r="J282" s="49">
        <v>5.8999999999999999E-3</v>
      </c>
      <c r="K282" s="13"/>
      <c r="L282" s="13"/>
      <c r="M282" s="13"/>
      <c r="N282" s="13"/>
      <c r="O282" s="13"/>
      <c r="P282" s="13"/>
      <c r="Q282" s="13"/>
      <c r="R282" s="13"/>
      <c r="S282" s="13"/>
      <c r="T282" s="13"/>
      <c r="U282" s="13"/>
    </row>
    <row r="283" spans="1:21">
      <c r="A283" s="13"/>
      <c r="B283" s="46" t="s">
        <v>385</v>
      </c>
      <c r="C283" s="46">
        <v>267.99</v>
      </c>
      <c r="D283" s="49">
        <v>-1.8700000000000001E-2</v>
      </c>
      <c r="E283" s="13"/>
      <c r="F283" s="13"/>
      <c r="G283" s="13"/>
      <c r="H283" s="46" t="s">
        <v>385</v>
      </c>
      <c r="I283" s="48">
        <v>21910.75</v>
      </c>
      <c r="J283" s="49">
        <v>3.2000000000000002E-3</v>
      </c>
      <c r="K283" s="13"/>
      <c r="L283" s="13"/>
      <c r="M283" s="13"/>
      <c r="N283" s="13"/>
      <c r="O283" s="13"/>
      <c r="P283" s="13"/>
      <c r="Q283" s="13"/>
      <c r="R283" s="13"/>
      <c r="S283" s="13"/>
      <c r="T283" s="13"/>
      <c r="U283" s="13"/>
    </row>
    <row r="284" spans="1:21">
      <c r="A284" s="13"/>
      <c r="B284" s="46" t="s">
        <v>386</v>
      </c>
      <c r="C284" s="46">
        <v>273.11</v>
      </c>
      <c r="D284" s="49">
        <v>1.9E-3</v>
      </c>
      <c r="E284" s="13"/>
      <c r="F284" s="13"/>
      <c r="G284" s="13"/>
      <c r="H284" s="46" t="s">
        <v>386</v>
      </c>
      <c r="I284" s="48">
        <v>21840.05</v>
      </c>
      <c r="J284" s="49">
        <v>4.4999999999999997E-3</v>
      </c>
      <c r="K284" s="13"/>
      <c r="L284" s="13"/>
      <c r="M284" s="13"/>
      <c r="N284" s="13"/>
      <c r="O284" s="13"/>
      <c r="P284" s="13"/>
      <c r="Q284" s="13"/>
      <c r="R284" s="13"/>
      <c r="S284" s="13"/>
      <c r="T284" s="13"/>
      <c r="U284" s="13"/>
    </row>
    <row r="285" spans="1:21">
      <c r="A285" s="13"/>
      <c r="B285" s="46" t="s">
        <v>387</v>
      </c>
      <c r="C285" s="46">
        <v>272.60000000000002</v>
      </c>
      <c r="D285" s="49">
        <v>-9.1000000000000004E-3</v>
      </c>
      <c r="E285" s="13"/>
      <c r="F285" s="13"/>
      <c r="G285" s="13"/>
      <c r="H285" s="46" t="s">
        <v>387</v>
      </c>
      <c r="I285" s="48">
        <v>21743.25</v>
      </c>
      <c r="J285" s="49">
        <v>5.8999999999999999E-3</v>
      </c>
      <c r="K285" s="13"/>
      <c r="L285" s="13"/>
      <c r="M285" s="13"/>
      <c r="N285" s="13"/>
      <c r="O285" s="13"/>
      <c r="P285" s="13"/>
      <c r="Q285" s="13"/>
      <c r="R285" s="13"/>
      <c r="S285" s="13"/>
      <c r="T285" s="13"/>
      <c r="U285" s="13"/>
    </row>
    <row r="286" spans="1:21">
      <c r="A286" s="13"/>
      <c r="B286" s="47">
        <v>45628</v>
      </c>
      <c r="C286" s="46">
        <v>275.08999999999997</v>
      </c>
      <c r="D286" s="49">
        <v>-1.8E-3</v>
      </c>
      <c r="E286" s="13"/>
      <c r="F286" s="13"/>
      <c r="G286" s="13"/>
      <c r="H286" s="47">
        <v>45628</v>
      </c>
      <c r="I286" s="48">
        <v>21616.05</v>
      </c>
      <c r="J286" s="49">
        <v>-7.6E-3</v>
      </c>
      <c r="K286" s="13"/>
      <c r="L286" s="13"/>
      <c r="M286" s="13"/>
      <c r="N286" s="13"/>
      <c r="O286" s="13"/>
      <c r="P286" s="13"/>
      <c r="Q286" s="13"/>
      <c r="R286" s="13"/>
      <c r="S286" s="13"/>
      <c r="T286" s="13"/>
      <c r="U286" s="13"/>
    </row>
    <row r="287" spans="1:21">
      <c r="A287" s="13"/>
      <c r="B287" s="47">
        <v>45537</v>
      </c>
      <c r="C287" s="46">
        <v>275.58999999999997</v>
      </c>
      <c r="D287" s="49">
        <v>1.47E-2</v>
      </c>
      <c r="E287" s="13"/>
      <c r="F287" s="13"/>
      <c r="G287" s="13"/>
      <c r="H287" s="47">
        <v>45537</v>
      </c>
      <c r="I287" s="48">
        <v>21782.5</v>
      </c>
      <c r="J287" s="49">
        <v>3.0000000000000001E-3</v>
      </c>
      <c r="K287" s="13"/>
      <c r="L287" s="13"/>
      <c r="M287" s="13"/>
      <c r="N287" s="13"/>
      <c r="O287" s="13"/>
      <c r="P287" s="13"/>
      <c r="Q287" s="13"/>
      <c r="R287" s="13"/>
      <c r="S287" s="13"/>
      <c r="T287" s="13"/>
      <c r="U287" s="13"/>
    </row>
    <row r="288" spans="1:21">
      <c r="A288" s="13"/>
      <c r="B288" s="47">
        <v>45506</v>
      </c>
      <c r="C288" s="46">
        <v>271.58999999999997</v>
      </c>
      <c r="D288" s="49">
        <v>-1.34E-2</v>
      </c>
      <c r="E288" s="13"/>
      <c r="F288" s="13"/>
      <c r="G288" s="13"/>
      <c r="H288" s="47">
        <v>45506</v>
      </c>
      <c r="I288" s="48">
        <v>21717.95</v>
      </c>
      <c r="J288" s="49">
        <v>-9.7000000000000003E-3</v>
      </c>
      <c r="K288" s="13"/>
      <c r="L288" s="13"/>
      <c r="M288" s="13"/>
      <c r="N288" s="13"/>
      <c r="O288" s="13"/>
      <c r="P288" s="13"/>
      <c r="Q288" s="13"/>
      <c r="R288" s="13"/>
      <c r="S288" s="13"/>
      <c r="T288" s="13"/>
      <c r="U288" s="13"/>
    </row>
    <row r="289" spans="1:21">
      <c r="A289" s="13"/>
      <c r="B289" s="47">
        <v>45475</v>
      </c>
      <c r="C289" s="46">
        <v>275.29000000000002</v>
      </c>
      <c r="D289" s="49">
        <v>-2.1899999999999999E-2</v>
      </c>
      <c r="E289" s="13"/>
      <c r="F289" s="13"/>
      <c r="G289" s="13"/>
      <c r="H289" s="47">
        <v>45475</v>
      </c>
      <c r="I289" s="48">
        <v>21930.5</v>
      </c>
      <c r="J289" s="49">
        <v>1E-4</v>
      </c>
      <c r="K289" s="13"/>
      <c r="L289" s="13"/>
      <c r="M289" s="13"/>
      <c r="N289" s="13"/>
      <c r="O289" s="13"/>
      <c r="P289" s="13"/>
      <c r="Q289" s="13"/>
      <c r="R289" s="13"/>
      <c r="S289" s="13"/>
      <c r="T289" s="13"/>
      <c r="U289" s="13"/>
    </row>
    <row r="290" spans="1:21">
      <c r="A290" s="13"/>
      <c r="B290" s="47">
        <v>45445</v>
      </c>
      <c r="C290" s="46">
        <v>281.45</v>
      </c>
      <c r="D290" s="49">
        <v>8.8999999999999999E-3</v>
      </c>
      <c r="E290" s="13"/>
      <c r="F290" s="13"/>
      <c r="G290" s="13"/>
      <c r="H290" s="47">
        <v>45445</v>
      </c>
      <c r="I290" s="48">
        <v>21929.4</v>
      </c>
      <c r="J290" s="49">
        <v>7.1999999999999998E-3</v>
      </c>
      <c r="K290" s="13"/>
      <c r="L290" s="13"/>
      <c r="M290" s="13"/>
      <c r="N290" s="13"/>
      <c r="O290" s="13"/>
      <c r="P290" s="13"/>
      <c r="Q290" s="13"/>
      <c r="R290" s="13"/>
      <c r="S290" s="13"/>
      <c r="T290" s="13"/>
      <c r="U290" s="13"/>
    </row>
    <row r="291" spans="1:21">
      <c r="A291" s="13"/>
      <c r="B291" s="47">
        <v>45414</v>
      </c>
      <c r="C291" s="46">
        <v>278.95999999999998</v>
      </c>
      <c r="D291" s="49">
        <v>-1.24E-2</v>
      </c>
      <c r="E291" s="13"/>
      <c r="F291" s="13"/>
      <c r="G291" s="13"/>
      <c r="H291" s="47">
        <v>45414</v>
      </c>
      <c r="I291" s="48">
        <v>21771.7</v>
      </c>
      <c r="J291" s="49">
        <v>-3.8E-3</v>
      </c>
      <c r="K291" s="13"/>
      <c r="L291" s="13"/>
      <c r="M291" s="13"/>
      <c r="N291" s="13"/>
      <c r="O291" s="13"/>
      <c r="P291" s="13"/>
      <c r="Q291" s="13"/>
      <c r="R291" s="13"/>
      <c r="S291" s="13"/>
      <c r="T291" s="13"/>
      <c r="U291" s="13"/>
    </row>
    <row r="292" spans="1:21">
      <c r="A292" s="13"/>
      <c r="B292" s="47">
        <v>45324</v>
      </c>
      <c r="C292" s="46">
        <v>282.45</v>
      </c>
      <c r="D292" s="49">
        <v>-2.3400000000000001E-2</v>
      </c>
      <c r="E292" s="13"/>
      <c r="F292" s="13"/>
      <c r="G292" s="13"/>
      <c r="H292" s="47">
        <v>45324</v>
      </c>
      <c r="I292" s="48">
        <v>21853.8</v>
      </c>
      <c r="J292" s="49">
        <v>7.1999999999999998E-3</v>
      </c>
      <c r="K292" s="13"/>
      <c r="L292" s="13"/>
      <c r="M292" s="13"/>
      <c r="N292" s="13"/>
      <c r="O292" s="13"/>
      <c r="P292" s="13"/>
      <c r="Q292" s="13"/>
      <c r="R292" s="13"/>
      <c r="S292" s="13"/>
      <c r="T292" s="13"/>
      <c r="U292" s="13"/>
    </row>
    <row r="293" spans="1:21">
      <c r="A293" s="13"/>
      <c r="B293" s="47">
        <v>45293</v>
      </c>
      <c r="C293" s="46">
        <v>289.23</v>
      </c>
      <c r="D293" s="49">
        <v>-3.0000000000000001E-3</v>
      </c>
      <c r="E293" s="13"/>
      <c r="F293" s="13"/>
      <c r="G293" s="13"/>
      <c r="H293" s="47">
        <v>45293</v>
      </c>
      <c r="I293" s="48">
        <v>21697.45</v>
      </c>
      <c r="J293" s="49">
        <v>-1.2999999999999999E-3</v>
      </c>
      <c r="K293" s="13"/>
      <c r="L293" s="13"/>
      <c r="M293" s="13"/>
      <c r="N293" s="13"/>
      <c r="O293" s="13"/>
      <c r="P293" s="13"/>
      <c r="Q293" s="13"/>
      <c r="R293" s="13"/>
      <c r="S293" s="13"/>
      <c r="T293" s="13"/>
      <c r="U293" s="13"/>
    </row>
    <row r="294" spans="1:21">
      <c r="A294" s="13"/>
      <c r="B294" s="46" t="s">
        <v>394</v>
      </c>
      <c r="C294" s="46">
        <v>290.11</v>
      </c>
      <c r="D294" s="49">
        <v>1.12E-2</v>
      </c>
      <c r="E294" s="13"/>
      <c r="F294" s="13"/>
      <c r="G294" s="13"/>
      <c r="H294" s="46" t="s">
        <v>394</v>
      </c>
      <c r="I294" s="48">
        <v>21725.7</v>
      </c>
      <c r="J294" s="49">
        <v>9.4999999999999998E-3</v>
      </c>
      <c r="K294" s="13"/>
      <c r="L294" s="13"/>
      <c r="M294" s="13"/>
      <c r="N294" s="13"/>
      <c r="O294" s="13"/>
      <c r="P294" s="13"/>
      <c r="Q294" s="13"/>
      <c r="R294" s="13"/>
      <c r="S294" s="13"/>
      <c r="T294" s="13"/>
      <c r="U294" s="13"/>
    </row>
    <row r="295" spans="1:21">
      <c r="A295" s="13"/>
      <c r="B295" s="46" t="s">
        <v>396</v>
      </c>
      <c r="C295" s="46">
        <v>286.89999999999998</v>
      </c>
      <c r="D295" s="49">
        <v>6.3E-3</v>
      </c>
      <c r="E295" s="13"/>
      <c r="F295" s="13"/>
      <c r="G295" s="13"/>
      <c r="H295" s="46" t="s">
        <v>396</v>
      </c>
      <c r="I295" s="48">
        <v>21522.1</v>
      </c>
      <c r="J295" s="49">
        <v>-9.9000000000000008E-3</v>
      </c>
      <c r="K295" s="13"/>
      <c r="L295" s="13"/>
      <c r="M295" s="13"/>
      <c r="N295" s="13"/>
      <c r="O295" s="13"/>
      <c r="P295" s="13"/>
      <c r="Q295" s="13"/>
      <c r="R295" s="13"/>
      <c r="S295" s="13"/>
      <c r="T295" s="13"/>
      <c r="U295" s="13"/>
    </row>
    <row r="296" spans="1:21">
      <c r="A296" s="13"/>
      <c r="B296" s="46" t="s">
        <v>398</v>
      </c>
      <c r="C296" s="46">
        <v>285.11</v>
      </c>
      <c r="D296" s="49">
        <v>1.1999999999999999E-3</v>
      </c>
      <c r="E296" s="13"/>
      <c r="F296" s="13"/>
      <c r="G296" s="13"/>
      <c r="H296" s="46" t="s">
        <v>398</v>
      </c>
      <c r="I296" s="48">
        <v>21737.599999999999</v>
      </c>
      <c r="J296" s="49">
        <v>1.7999999999999999E-2</v>
      </c>
      <c r="K296" s="13"/>
      <c r="L296" s="13"/>
      <c r="M296" s="13"/>
      <c r="N296" s="13"/>
      <c r="O296" s="13"/>
      <c r="P296" s="13"/>
      <c r="Q296" s="13"/>
      <c r="R296" s="13"/>
      <c r="S296" s="13"/>
      <c r="T296" s="13"/>
      <c r="U296" s="13"/>
    </row>
    <row r="297" spans="1:21">
      <c r="A297" s="13"/>
      <c r="B297" s="46" t="s">
        <v>399</v>
      </c>
      <c r="C297" s="46">
        <v>284.76</v>
      </c>
      <c r="D297" s="49">
        <v>-1.06E-2</v>
      </c>
      <c r="E297" s="13"/>
      <c r="F297" s="13"/>
      <c r="G297" s="13"/>
      <c r="H297" s="46" t="s">
        <v>399</v>
      </c>
      <c r="I297" s="48">
        <v>21352.6</v>
      </c>
      <c r="J297" s="49">
        <v>-4.7000000000000002E-3</v>
      </c>
      <c r="K297" s="13"/>
      <c r="L297" s="13"/>
      <c r="M297" s="13"/>
      <c r="N297" s="13"/>
      <c r="O297" s="13"/>
      <c r="P297" s="13"/>
      <c r="Q297" s="13"/>
      <c r="R297" s="13"/>
      <c r="S297" s="13"/>
      <c r="T297" s="13"/>
      <c r="U297" s="13"/>
    </row>
    <row r="298" spans="1:21">
      <c r="A298" s="13"/>
      <c r="B298" s="46" t="s">
        <v>400</v>
      </c>
      <c r="C298" s="46">
        <v>287.82</v>
      </c>
      <c r="D298" s="49">
        <v>8.8000000000000005E-3</v>
      </c>
      <c r="E298" s="13"/>
      <c r="F298" s="13"/>
      <c r="G298" s="13"/>
      <c r="H298" s="46" t="s">
        <v>400</v>
      </c>
      <c r="I298" s="48">
        <v>21453.95</v>
      </c>
      <c r="J298" s="49">
        <v>1.01E-2</v>
      </c>
      <c r="K298" s="13"/>
      <c r="L298" s="13"/>
      <c r="M298" s="13"/>
      <c r="N298" s="13"/>
      <c r="O298" s="13"/>
      <c r="P298" s="13"/>
      <c r="Q298" s="13"/>
      <c r="R298" s="13"/>
      <c r="S298" s="13"/>
      <c r="T298" s="13"/>
      <c r="U298" s="13"/>
    </row>
    <row r="299" spans="1:21">
      <c r="A299" s="13"/>
      <c r="B299" s="46" t="s">
        <v>402</v>
      </c>
      <c r="C299" s="46">
        <v>285.3</v>
      </c>
      <c r="D299" s="49">
        <v>-3.4200000000000001E-2</v>
      </c>
      <c r="E299" s="13"/>
      <c r="F299" s="13"/>
      <c r="G299" s="13"/>
      <c r="H299" s="46" t="s">
        <v>402</v>
      </c>
      <c r="I299" s="48">
        <v>21238.799999999999</v>
      </c>
      <c r="J299" s="49">
        <v>-1.54E-2</v>
      </c>
      <c r="K299" s="13"/>
      <c r="L299" s="13"/>
      <c r="M299" s="13"/>
      <c r="N299" s="13"/>
      <c r="O299" s="13"/>
      <c r="P299" s="13"/>
      <c r="Q299" s="13"/>
      <c r="R299" s="13"/>
      <c r="S299" s="13"/>
      <c r="T299" s="13"/>
      <c r="U299" s="13"/>
    </row>
    <row r="300" spans="1:21">
      <c r="A300" s="13"/>
      <c r="B300" s="46" t="s">
        <v>404</v>
      </c>
      <c r="C300" s="46">
        <v>295.41000000000003</v>
      </c>
      <c r="D300" s="49">
        <v>3.7600000000000001E-2</v>
      </c>
      <c r="E300" s="13"/>
      <c r="F300" s="13"/>
      <c r="G300" s="13"/>
      <c r="H300" s="46" t="s">
        <v>404</v>
      </c>
      <c r="I300" s="48">
        <v>21571.8</v>
      </c>
      <c r="J300" s="49">
        <v>-2.3E-3</v>
      </c>
      <c r="K300" s="13"/>
      <c r="L300" s="13"/>
      <c r="M300" s="13"/>
      <c r="N300" s="13"/>
      <c r="O300" s="13"/>
      <c r="P300" s="13"/>
      <c r="Q300" s="13"/>
      <c r="R300" s="13"/>
      <c r="S300" s="13"/>
      <c r="T300" s="13"/>
      <c r="U300" s="13"/>
    </row>
    <row r="301" spans="1:21">
      <c r="A301" s="13"/>
      <c r="B301" s="46" t="s">
        <v>406</v>
      </c>
      <c r="C301" s="46">
        <v>284.70999999999998</v>
      </c>
      <c r="D301" s="49">
        <v>1.1900000000000001E-2</v>
      </c>
      <c r="E301" s="13"/>
      <c r="F301" s="13"/>
      <c r="G301" s="13"/>
      <c r="H301" s="46" t="s">
        <v>406</v>
      </c>
      <c r="I301" s="48">
        <v>21622.400000000001</v>
      </c>
      <c r="J301" s="49">
        <v>7.4999999999999997E-3</v>
      </c>
      <c r="K301" s="13"/>
      <c r="L301" s="13"/>
      <c r="M301" s="13"/>
      <c r="N301" s="13"/>
      <c r="O301" s="13"/>
      <c r="P301" s="13"/>
      <c r="Q301" s="13"/>
      <c r="R301" s="13"/>
      <c r="S301" s="13"/>
      <c r="T301" s="13"/>
      <c r="U301" s="13"/>
    </row>
    <row r="302" spans="1:21">
      <c r="A302" s="13"/>
      <c r="B302" s="46" t="s">
        <v>407</v>
      </c>
      <c r="C302" s="46">
        <v>281.35000000000002</v>
      </c>
      <c r="D302" s="49">
        <v>-3.8999999999999998E-3</v>
      </c>
      <c r="E302" s="13"/>
      <c r="F302" s="13"/>
      <c r="G302" s="13"/>
      <c r="H302" s="46" t="s">
        <v>407</v>
      </c>
      <c r="I302" s="48">
        <v>21462.25</v>
      </c>
      <c r="J302" s="49">
        <v>-5.1000000000000004E-3</v>
      </c>
      <c r="K302" s="13"/>
      <c r="L302" s="13"/>
      <c r="M302" s="13"/>
      <c r="N302" s="13"/>
      <c r="O302" s="13"/>
      <c r="P302" s="13"/>
      <c r="Q302" s="13"/>
      <c r="R302" s="13"/>
      <c r="S302" s="13"/>
      <c r="T302" s="13"/>
      <c r="U302" s="13"/>
    </row>
    <row r="303" spans="1:21">
      <c r="A303" s="13"/>
      <c r="B303" s="46" t="s">
        <v>409</v>
      </c>
      <c r="C303" s="46">
        <v>282.45999999999998</v>
      </c>
      <c r="D303" s="49">
        <v>-6.8999999999999999E-3</v>
      </c>
      <c r="E303" s="13"/>
      <c r="F303" s="13"/>
      <c r="G303" s="13"/>
      <c r="H303" s="46" t="s">
        <v>409</v>
      </c>
      <c r="I303" s="48">
        <v>21571.95</v>
      </c>
      <c r="J303" s="49">
        <v>-2.0899999999999998E-2</v>
      </c>
      <c r="K303" s="13"/>
      <c r="L303" s="13"/>
      <c r="M303" s="13"/>
      <c r="N303" s="13"/>
      <c r="O303" s="13"/>
      <c r="P303" s="13"/>
      <c r="Q303" s="13"/>
      <c r="R303" s="13"/>
      <c r="S303" s="13"/>
      <c r="T303" s="13"/>
      <c r="U303" s="13"/>
    </row>
    <row r="304" spans="1:21">
      <c r="A304" s="13"/>
      <c r="B304" s="46" t="s">
        <v>411</v>
      </c>
      <c r="C304" s="46">
        <v>284.41000000000003</v>
      </c>
      <c r="D304" s="49">
        <v>5.3E-3</v>
      </c>
      <c r="E304" s="13"/>
      <c r="F304" s="13"/>
      <c r="G304" s="13"/>
      <c r="H304" s="46" t="s">
        <v>411</v>
      </c>
      <c r="I304" s="48">
        <v>22032.3</v>
      </c>
      <c r="J304" s="49">
        <v>-2.8999999999999998E-3</v>
      </c>
      <c r="K304" s="13"/>
      <c r="L304" s="13"/>
      <c r="M304" s="13"/>
      <c r="N304" s="13"/>
      <c r="O304" s="13"/>
      <c r="P304" s="13"/>
      <c r="Q304" s="13"/>
      <c r="R304" s="13"/>
      <c r="S304" s="13"/>
      <c r="T304" s="13"/>
      <c r="U304" s="13"/>
    </row>
    <row r="305" spans="1:21">
      <c r="A305" s="13"/>
      <c r="B305" s="46" t="s">
        <v>413</v>
      </c>
      <c r="C305" s="46">
        <v>282.89999999999998</v>
      </c>
      <c r="D305" s="49">
        <v>-2.1100000000000001E-2</v>
      </c>
      <c r="E305" s="13"/>
      <c r="F305" s="13"/>
      <c r="G305" s="13"/>
      <c r="H305" s="46" t="s">
        <v>413</v>
      </c>
      <c r="I305" s="48">
        <v>22097.45</v>
      </c>
      <c r="J305" s="49">
        <v>9.2999999999999992E-3</v>
      </c>
      <c r="K305" s="13"/>
      <c r="L305" s="13"/>
      <c r="M305" s="13"/>
      <c r="N305" s="13"/>
      <c r="O305" s="13"/>
      <c r="P305" s="13"/>
      <c r="Q305" s="13"/>
      <c r="R305" s="13"/>
      <c r="S305" s="13"/>
      <c r="T305" s="13"/>
      <c r="U305" s="13"/>
    </row>
    <row r="306" spans="1:21">
      <c r="A306" s="13"/>
      <c r="B306" s="47">
        <v>45627</v>
      </c>
      <c r="C306" s="46">
        <v>289.01</v>
      </c>
      <c r="D306" s="49">
        <v>2.06E-2</v>
      </c>
      <c r="E306" s="13"/>
      <c r="F306" s="13"/>
      <c r="G306" s="13"/>
      <c r="H306" s="47">
        <v>45627</v>
      </c>
      <c r="I306" s="48">
        <v>21894.55</v>
      </c>
      <c r="J306" s="49">
        <v>1.14E-2</v>
      </c>
      <c r="K306" s="13"/>
      <c r="L306" s="13"/>
      <c r="M306" s="13"/>
      <c r="N306" s="13"/>
      <c r="O306" s="13"/>
      <c r="P306" s="13"/>
      <c r="Q306" s="13"/>
      <c r="R306" s="13"/>
      <c r="S306" s="13"/>
      <c r="T306" s="13"/>
      <c r="U306" s="13"/>
    </row>
    <row r="307" spans="1:21">
      <c r="A307" s="13"/>
      <c r="B307" s="47">
        <v>45597</v>
      </c>
      <c r="C307" s="46">
        <v>283.18</v>
      </c>
      <c r="D307" s="49">
        <v>-1.7000000000000001E-2</v>
      </c>
      <c r="E307" s="13"/>
      <c r="F307" s="13"/>
      <c r="G307" s="13"/>
      <c r="H307" s="47">
        <v>45597</v>
      </c>
      <c r="I307" s="48">
        <v>21647.200000000001</v>
      </c>
      <c r="J307" s="49">
        <v>1.2999999999999999E-3</v>
      </c>
      <c r="K307" s="13"/>
      <c r="L307" s="13"/>
      <c r="M307" s="13"/>
      <c r="N307" s="13"/>
      <c r="O307" s="13"/>
      <c r="P307" s="13"/>
      <c r="Q307" s="13"/>
      <c r="R307" s="13"/>
      <c r="S307" s="13"/>
      <c r="T307" s="13"/>
      <c r="U307" s="13"/>
    </row>
    <row r="308" spans="1:21">
      <c r="A308" s="13"/>
      <c r="B308" s="47">
        <v>45566</v>
      </c>
      <c r="C308" s="46">
        <v>288.07</v>
      </c>
      <c r="D308" s="49">
        <v>4.1399999999999999E-2</v>
      </c>
      <c r="E308" s="13"/>
      <c r="F308" s="13"/>
      <c r="G308" s="13"/>
      <c r="H308" s="47">
        <v>45566</v>
      </c>
      <c r="I308" s="48">
        <v>21618.7</v>
      </c>
      <c r="J308" s="49">
        <v>3.3999999999999998E-3</v>
      </c>
      <c r="K308" s="13"/>
      <c r="L308" s="13"/>
      <c r="M308" s="13"/>
      <c r="N308" s="13"/>
      <c r="O308" s="13"/>
      <c r="P308" s="13"/>
      <c r="Q308" s="13"/>
      <c r="R308" s="13"/>
      <c r="S308" s="13"/>
      <c r="T308" s="13"/>
      <c r="U308" s="13"/>
    </row>
    <row r="309" spans="1:21">
      <c r="A309" s="13"/>
      <c r="B309" s="47">
        <v>45536</v>
      </c>
      <c r="C309" s="46">
        <v>276.62</v>
      </c>
      <c r="D309" s="49">
        <v>-1.09E-2</v>
      </c>
      <c r="E309" s="13"/>
      <c r="F309" s="13"/>
      <c r="G309" s="13"/>
      <c r="H309" s="47">
        <v>45536</v>
      </c>
      <c r="I309" s="48">
        <v>21544.85</v>
      </c>
      <c r="J309" s="49">
        <v>1.5E-3</v>
      </c>
      <c r="K309" s="13"/>
      <c r="L309" s="13"/>
      <c r="M309" s="13"/>
      <c r="N309" s="13"/>
      <c r="O309" s="13"/>
      <c r="P309" s="13"/>
      <c r="Q309" s="13"/>
      <c r="R309" s="13"/>
      <c r="S309" s="13"/>
      <c r="T309" s="13"/>
      <c r="U309" s="13"/>
    </row>
    <row r="310" spans="1:21">
      <c r="A310" s="13"/>
      <c r="B310" s="47">
        <v>45505</v>
      </c>
      <c r="C310" s="46">
        <v>279.67</v>
      </c>
      <c r="D310" s="49">
        <v>-1.9E-2</v>
      </c>
      <c r="E310" s="13"/>
      <c r="F310" s="13"/>
      <c r="G310" s="13"/>
      <c r="H310" s="47">
        <v>45505</v>
      </c>
      <c r="I310" s="48">
        <v>21513</v>
      </c>
      <c r="J310" s="49">
        <v>-9.1000000000000004E-3</v>
      </c>
      <c r="K310" s="13"/>
      <c r="L310" s="13"/>
      <c r="M310" s="13"/>
      <c r="N310" s="13"/>
      <c r="O310" s="13"/>
      <c r="P310" s="13"/>
      <c r="Q310" s="13"/>
      <c r="R310" s="13"/>
      <c r="S310" s="13"/>
      <c r="T310" s="13"/>
      <c r="U310" s="13"/>
    </row>
    <row r="311" spans="1:21">
      <c r="A311" s="13"/>
      <c r="B311" s="47">
        <v>45413</v>
      </c>
      <c r="C311" s="46">
        <v>285.08</v>
      </c>
      <c r="D311" s="49">
        <v>-4.7999999999999996E-3</v>
      </c>
      <c r="E311" s="13"/>
      <c r="F311" s="13"/>
      <c r="G311" s="13"/>
      <c r="H311" s="47">
        <v>45413</v>
      </c>
      <c r="I311" s="48">
        <v>21710.799999999999</v>
      </c>
      <c r="J311" s="49">
        <v>2.3999999999999998E-3</v>
      </c>
      <c r="K311" s="13"/>
      <c r="L311" s="13"/>
      <c r="M311" s="13"/>
      <c r="N311" s="13"/>
      <c r="O311" s="13"/>
      <c r="P311" s="13"/>
      <c r="Q311" s="13"/>
      <c r="R311" s="13"/>
      <c r="S311" s="13"/>
      <c r="T311" s="13"/>
      <c r="U311" s="13"/>
    </row>
    <row r="312" spans="1:21">
      <c r="A312" s="13"/>
      <c r="B312" s="47">
        <v>45383</v>
      </c>
      <c r="C312" s="46">
        <v>286.45</v>
      </c>
      <c r="D312" s="49">
        <v>1.8200000000000001E-2</v>
      </c>
      <c r="E312" s="13"/>
      <c r="F312" s="13"/>
      <c r="G312" s="13"/>
      <c r="H312" s="47">
        <v>45383</v>
      </c>
      <c r="I312" s="48">
        <v>21658.6</v>
      </c>
      <c r="J312" s="49">
        <v>6.6E-3</v>
      </c>
      <c r="K312" s="13"/>
      <c r="L312" s="13"/>
      <c r="M312" s="13"/>
      <c r="N312" s="13"/>
      <c r="O312" s="13"/>
      <c r="P312" s="13"/>
      <c r="Q312" s="13"/>
      <c r="R312" s="13"/>
      <c r="S312" s="13"/>
      <c r="T312" s="13"/>
      <c r="U312" s="13"/>
    </row>
    <row r="313" spans="1:21">
      <c r="A313" s="13"/>
      <c r="B313" s="47">
        <v>45352</v>
      </c>
      <c r="C313" s="46">
        <v>281.33999999999997</v>
      </c>
      <c r="D313" s="49">
        <v>-1E-3</v>
      </c>
      <c r="E313" s="13"/>
      <c r="F313" s="13"/>
      <c r="G313" s="13"/>
      <c r="H313" s="47">
        <v>45352</v>
      </c>
      <c r="I313" s="48">
        <v>21517.35</v>
      </c>
      <c r="J313" s="49">
        <v>-6.8999999999999999E-3</v>
      </c>
      <c r="K313" s="13"/>
      <c r="L313" s="13"/>
      <c r="M313" s="13"/>
      <c r="N313" s="13"/>
      <c r="O313" s="13"/>
      <c r="P313" s="13"/>
      <c r="Q313" s="13"/>
      <c r="R313" s="13"/>
      <c r="S313" s="13"/>
      <c r="T313" s="13"/>
      <c r="U313" s="13"/>
    </row>
    <row r="314" spans="1:21">
      <c r="A314" s="13"/>
      <c r="B314" s="47">
        <v>45323</v>
      </c>
      <c r="C314" s="46">
        <v>281.62</v>
      </c>
      <c r="D314" s="49">
        <v>-5.0000000000000001E-4</v>
      </c>
      <c r="E314" s="13"/>
      <c r="F314" s="13"/>
      <c r="G314" s="13"/>
      <c r="H314" s="47">
        <v>45323</v>
      </c>
      <c r="I314" s="48">
        <v>21665.8</v>
      </c>
      <c r="J314" s="49">
        <v>-3.5000000000000001E-3</v>
      </c>
      <c r="K314" s="13"/>
      <c r="L314" s="13"/>
      <c r="M314" s="13"/>
      <c r="N314" s="13"/>
      <c r="O314" s="13"/>
      <c r="P314" s="13"/>
      <c r="Q314" s="13"/>
      <c r="R314" s="13"/>
      <c r="S314" s="13"/>
      <c r="T314" s="13"/>
      <c r="U314" s="13"/>
    </row>
    <row r="315" spans="1:21">
      <c r="A315" s="13"/>
      <c r="B315" s="47">
        <v>45292</v>
      </c>
      <c r="C315" s="46">
        <v>281.76</v>
      </c>
      <c r="D315" s="49">
        <v>-8.3999999999999995E-3</v>
      </c>
      <c r="E315" s="13"/>
      <c r="F315" s="13"/>
      <c r="G315" s="13"/>
      <c r="H315" s="47">
        <v>45292</v>
      </c>
      <c r="I315" s="48">
        <v>21741.9</v>
      </c>
      <c r="J315" s="49">
        <v>5.0000000000000001E-4</v>
      </c>
      <c r="K315" s="13"/>
      <c r="L315" s="13"/>
      <c r="M315" s="13"/>
      <c r="N315" s="13"/>
      <c r="O315" s="13"/>
      <c r="P315" s="13"/>
      <c r="Q315" s="13"/>
      <c r="R315" s="13"/>
      <c r="S315" s="13"/>
      <c r="T315" s="13"/>
      <c r="U315" s="13"/>
    </row>
    <row r="316" spans="1:21">
      <c r="A316" s="13"/>
      <c r="B316" s="46" t="s">
        <v>414</v>
      </c>
      <c r="C316" s="46">
        <v>284.14</v>
      </c>
      <c r="D316" s="49">
        <v>7.7000000000000002E-3</v>
      </c>
      <c r="E316" s="13"/>
      <c r="F316" s="13"/>
      <c r="G316" s="13"/>
      <c r="H316" s="46" t="s">
        <v>414</v>
      </c>
      <c r="I316" s="48">
        <v>21731.4</v>
      </c>
      <c r="J316" s="49">
        <v>-2.2000000000000001E-3</v>
      </c>
      <c r="K316" s="13"/>
      <c r="L316" s="13"/>
      <c r="M316" s="13"/>
      <c r="N316" s="13"/>
      <c r="O316" s="13"/>
      <c r="P316" s="13"/>
      <c r="Q316" s="13"/>
      <c r="R316" s="13"/>
      <c r="S316" s="13"/>
      <c r="T316" s="13"/>
      <c r="U316" s="13"/>
    </row>
    <row r="317" spans="1:21">
      <c r="A317" s="13"/>
      <c r="B317" s="46" t="s">
        <v>415</v>
      </c>
      <c r="C317" s="46">
        <v>281.95999999999998</v>
      </c>
      <c r="D317" s="49">
        <v>5.9999999999999995E-4</v>
      </c>
      <c r="E317" s="13"/>
      <c r="F317" s="13"/>
      <c r="G317" s="13"/>
      <c r="H317" s="46" t="s">
        <v>415</v>
      </c>
      <c r="I317" s="48">
        <v>21778.7</v>
      </c>
      <c r="J317" s="49">
        <v>5.7000000000000002E-3</v>
      </c>
      <c r="K317" s="13"/>
      <c r="L317" s="13"/>
      <c r="M317" s="13"/>
      <c r="N317" s="13"/>
      <c r="O317" s="13"/>
      <c r="P317" s="13"/>
      <c r="Q317" s="13"/>
      <c r="R317" s="13"/>
      <c r="S317" s="13"/>
      <c r="T317" s="13"/>
      <c r="U317" s="13"/>
    </row>
    <row r="318" spans="1:21">
      <c r="A318" s="13"/>
      <c r="B318" s="46" t="s">
        <v>416</v>
      </c>
      <c r="C318" s="46">
        <v>281.79000000000002</v>
      </c>
      <c r="D318" s="49">
        <v>-1.8499999999999999E-2</v>
      </c>
      <c r="E318" s="13"/>
      <c r="F318" s="13"/>
      <c r="G318" s="13"/>
      <c r="H318" s="46" t="s">
        <v>416</v>
      </c>
      <c r="I318" s="48">
        <v>21654.75</v>
      </c>
      <c r="J318" s="49">
        <v>0.01</v>
      </c>
      <c r="K318" s="13"/>
      <c r="L318" s="13"/>
      <c r="M318" s="13"/>
      <c r="N318" s="13"/>
      <c r="O318" s="13"/>
      <c r="P318" s="13"/>
      <c r="Q318" s="13"/>
      <c r="R318" s="13"/>
      <c r="S318" s="13"/>
      <c r="T318" s="13"/>
      <c r="U318" s="13"/>
    </row>
    <row r="319" spans="1:21">
      <c r="A319" s="13"/>
      <c r="B319" s="46" t="s">
        <v>417</v>
      </c>
      <c r="C319" s="46">
        <v>287.11</v>
      </c>
      <c r="D319" s="49">
        <v>1.4999999999999999E-2</v>
      </c>
      <c r="E319" s="13"/>
      <c r="F319" s="13"/>
      <c r="G319" s="13"/>
      <c r="H319" s="46" t="s">
        <v>417</v>
      </c>
      <c r="I319" s="48">
        <v>21441.35</v>
      </c>
      <c r="J319" s="49">
        <v>4.3E-3</v>
      </c>
      <c r="K319" s="13"/>
      <c r="L319" s="13"/>
      <c r="M319" s="13"/>
      <c r="N319" s="13"/>
      <c r="O319" s="13"/>
      <c r="P319" s="13"/>
      <c r="Q319" s="13"/>
      <c r="R319" s="13"/>
      <c r="S319" s="13"/>
      <c r="T319" s="13"/>
      <c r="U319" s="13"/>
    </row>
    <row r="320" spans="1:21">
      <c r="A320" s="13"/>
      <c r="B320" s="46" t="s">
        <v>418</v>
      </c>
      <c r="C320" s="46">
        <v>282.86</v>
      </c>
      <c r="D320" s="49">
        <v>8.3000000000000001E-3</v>
      </c>
      <c r="E320" s="13"/>
      <c r="F320" s="13"/>
      <c r="G320" s="13"/>
      <c r="H320" s="46" t="s">
        <v>418</v>
      </c>
      <c r="I320" s="48">
        <v>21349.4</v>
      </c>
      <c r="J320" s="49">
        <v>4.4000000000000003E-3</v>
      </c>
      <c r="K320" s="13"/>
      <c r="L320" s="13"/>
      <c r="M320" s="13"/>
      <c r="N320" s="13"/>
      <c r="O320" s="13"/>
      <c r="P320" s="13"/>
      <c r="Q320" s="13"/>
      <c r="R320" s="13"/>
      <c r="S320" s="13"/>
      <c r="T320" s="13"/>
      <c r="U320" s="13"/>
    </row>
    <row r="321" spans="1:21">
      <c r="A321" s="13"/>
      <c r="B321" s="46" t="s">
        <v>419</v>
      </c>
      <c r="C321" s="46">
        <v>280.52999999999997</v>
      </c>
      <c r="D321" s="49">
        <v>-5.7999999999999996E-3</v>
      </c>
      <c r="E321" s="13"/>
      <c r="F321" s="13"/>
      <c r="G321" s="13"/>
      <c r="H321" s="46" t="s">
        <v>419</v>
      </c>
      <c r="I321" s="48">
        <v>21255.05</v>
      </c>
      <c r="J321" s="49">
        <v>5.0000000000000001E-3</v>
      </c>
      <c r="K321" s="13"/>
      <c r="L321" s="13"/>
      <c r="M321" s="13"/>
      <c r="N321" s="13"/>
      <c r="O321" s="13"/>
      <c r="P321" s="13"/>
      <c r="Q321" s="13"/>
      <c r="R321" s="13"/>
      <c r="S321" s="13"/>
      <c r="T321" s="13"/>
      <c r="U321" s="13"/>
    </row>
    <row r="322" spans="1:21">
      <c r="A322" s="13"/>
      <c r="B322" s="46" t="s">
        <v>420</v>
      </c>
      <c r="C322" s="46">
        <v>282.18</v>
      </c>
      <c r="D322" s="49">
        <v>2.5999999999999999E-3</v>
      </c>
      <c r="E322" s="13"/>
      <c r="F322" s="13"/>
      <c r="G322" s="13"/>
      <c r="H322" s="46" t="s">
        <v>420</v>
      </c>
      <c r="I322" s="48">
        <v>21150.15</v>
      </c>
      <c r="J322" s="49">
        <v>-1.41E-2</v>
      </c>
      <c r="K322" s="13"/>
      <c r="L322" s="13"/>
      <c r="M322" s="13"/>
      <c r="N322" s="13"/>
      <c r="O322" s="13"/>
      <c r="P322" s="13"/>
      <c r="Q322" s="13"/>
      <c r="R322" s="13"/>
      <c r="S322" s="13"/>
      <c r="T322" s="13"/>
      <c r="U322" s="13"/>
    </row>
    <row r="323" spans="1:21">
      <c r="A323" s="13"/>
      <c r="B323" s="46" t="s">
        <v>421</v>
      </c>
      <c r="C323" s="46">
        <v>281.45</v>
      </c>
      <c r="D323" s="49">
        <v>3.0999999999999999E-3</v>
      </c>
      <c r="E323" s="13"/>
      <c r="F323" s="13"/>
      <c r="G323" s="13"/>
      <c r="H323" s="46" t="s">
        <v>421</v>
      </c>
      <c r="I323" s="48">
        <v>21453.1</v>
      </c>
      <c r="J323" s="49">
        <v>1.6000000000000001E-3</v>
      </c>
      <c r="K323" s="13"/>
      <c r="L323" s="13"/>
      <c r="M323" s="13"/>
      <c r="N323" s="13"/>
      <c r="O323" s="13"/>
      <c r="P323" s="13"/>
      <c r="Q323" s="13"/>
      <c r="R323" s="13"/>
      <c r="S323" s="13"/>
      <c r="T323" s="13"/>
      <c r="U323" s="13"/>
    </row>
    <row r="324" spans="1:21">
      <c r="A324" s="13"/>
      <c r="B324" s="46" t="s">
        <v>422</v>
      </c>
      <c r="C324" s="46">
        <v>280.58999999999997</v>
      </c>
      <c r="D324" s="49">
        <v>-2.5999999999999999E-3</v>
      </c>
      <c r="E324" s="13"/>
      <c r="F324" s="13"/>
      <c r="G324" s="13"/>
      <c r="H324" s="46" t="s">
        <v>422</v>
      </c>
      <c r="I324" s="48">
        <v>21418.65</v>
      </c>
      <c r="J324" s="49">
        <v>-1.8E-3</v>
      </c>
      <c r="K324" s="13"/>
      <c r="L324" s="13"/>
      <c r="M324" s="13"/>
      <c r="N324" s="13"/>
      <c r="O324" s="13"/>
      <c r="P324" s="13"/>
      <c r="Q324" s="13"/>
      <c r="R324" s="13"/>
      <c r="S324" s="13"/>
      <c r="T324" s="13"/>
      <c r="U324" s="13"/>
    </row>
    <row r="325" spans="1:21">
      <c r="A325" s="13"/>
      <c r="B325" s="46" t="s">
        <v>423</v>
      </c>
      <c r="C325" s="46">
        <v>281.32</v>
      </c>
      <c r="D325" s="49">
        <v>-6.7999999999999996E-3</v>
      </c>
      <c r="E325" s="13"/>
      <c r="F325" s="13"/>
      <c r="G325" s="13"/>
      <c r="H325" s="46" t="s">
        <v>423</v>
      </c>
      <c r="I325" s="48">
        <v>21456.65</v>
      </c>
      <c r="J325" s="49">
        <v>1.29E-2</v>
      </c>
      <c r="K325" s="13"/>
      <c r="L325" s="13"/>
      <c r="M325" s="13"/>
      <c r="N325" s="13"/>
      <c r="O325" s="13"/>
      <c r="P325" s="13"/>
      <c r="Q325" s="13"/>
      <c r="R325" s="13"/>
      <c r="S325" s="13"/>
      <c r="T325" s="13"/>
      <c r="U325" s="13"/>
    </row>
    <row r="326" spans="1:21">
      <c r="A326" s="13"/>
      <c r="B326" s="46" t="s">
        <v>424</v>
      </c>
      <c r="C326" s="46">
        <v>283.24</v>
      </c>
      <c r="D326" s="49">
        <v>1.2999999999999999E-3</v>
      </c>
      <c r="E326" s="13"/>
      <c r="F326" s="13"/>
      <c r="G326" s="13"/>
      <c r="H326" s="46" t="s">
        <v>424</v>
      </c>
      <c r="I326" s="48">
        <v>21182.7</v>
      </c>
      <c r="J326" s="49">
        <v>1.23E-2</v>
      </c>
      <c r="K326" s="13"/>
      <c r="L326" s="13"/>
      <c r="M326" s="13"/>
      <c r="N326" s="13"/>
      <c r="O326" s="13"/>
      <c r="P326" s="13"/>
      <c r="Q326" s="13"/>
      <c r="R326" s="13"/>
      <c r="S326" s="13"/>
      <c r="T326" s="13"/>
      <c r="U326" s="13"/>
    </row>
    <row r="327" spans="1:21">
      <c r="A327" s="13"/>
      <c r="B327" s="46" t="s">
        <v>425</v>
      </c>
      <c r="C327" s="46">
        <v>282.87</v>
      </c>
      <c r="D327" s="49">
        <v>3.8E-3</v>
      </c>
      <c r="E327" s="13"/>
      <c r="F327" s="13"/>
      <c r="G327" s="13"/>
      <c r="H327" s="46" t="s">
        <v>425</v>
      </c>
      <c r="I327" s="48">
        <v>20926.349999999999</v>
      </c>
      <c r="J327" s="49">
        <v>1E-3</v>
      </c>
      <c r="K327" s="13"/>
      <c r="L327" s="13"/>
      <c r="M327" s="13"/>
      <c r="N327" s="13"/>
      <c r="O327" s="13"/>
      <c r="P327" s="13"/>
      <c r="Q327" s="13"/>
      <c r="R327" s="13"/>
      <c r="S327" s="13"/>
      <c r="T327" s="13"/>
      <c r="U327" s="13"/>
    </row>
    <row r="328" spans="1:21">
      <c r="A328" s="13"/>
      <c r="B328" s="47">
        <v>45272</v>
      </c>
      <c r="C328" s="46">
        <v>281.8</v>
      </c>
      <c r="D328" s="49">
        <v>-8.3999999999999995E-3</v>
      </c>
      <c r="E328" s="13"/>
      <c r="F328" s="13"/>
      <c r="G328" s="13"/>
      <c r="H328" s="47">
        <v>45272</v>
      </c>
      <c r="I328" s="48">
        <v>20906.400000000001</v>
      </c>
      <c r="J328" s="49">
        <v>-4.3E-3</v>
      </c>
      <c r="K328" s="13"/>
      <c r="L328" s="13"/>
      <c r="M328" s="13"/>
      <c r="N328" s="13"/>
      <c r="O328" s="13"/>
      <c r="P328" s="13"/>
      <c r="Q328" s="13"/>
      <c r="R328" s="13"/>
      <c r="S328" s="13"/>
      <c r="T328" s="13"/>
      <c r="U328" s="13"/>
    </row>
    <row r="329" spans="1:21">
      <c r="A329" s="13"/>
      <c r="B329" s="47">
        <v>45242</v>
      </c>
      <c r="C329" s="46">
        <v>284.18</v>
      </c>
      <c r="D329" s="49">
        <v>-7.9000000000000008E-3</v>
      </c>
      <c r="E329" s="13"/>
      <c r="F329" s="13"/>
      <c r="G329" s="13"/>
      <c r="H329" s="47">
        <v>45242</v>
      </c>
      <c r="I329" s="48">
        <v>20997.1</v>
      </c>
      <c r="J329" s="49">
        <v>1.2999999999999999E-3</v>
      </c>
      <c r="K329" s="13"/>
      <c r="L329" s="13"/>
      <c r="M329" s="13"/>
      <c r="N329" s="13"/>
      <c r="O329" s="13"/>
      <c r="P329" s="13"/>
      <c r="Q329" s="13"/>
      <c r="R329" s="13"/>
      <c r="S329" s="13"/>
      <c r="T329" s="13"/>
      <c r="U329" s="13"/>
    </row>
    <row r="330" spans="1:21">
      <c r="A330" s="13"/>
      <c r="B330" s="47">
        <v>45150</v>
      </c>
      <c r="C330" s="46">
        <v>286.43</v>
      </c>
      <c r="D330" s="49">
        <v>-3.0000000000000001E-3</v>
      </c>
      <c r="E330" s="13"/>
      <c r="F330" s="13"/>
      <c r="G330" s="13"/>
      <c r="H330" s="47">
        <v>45150</v>
      </c>
      <c r="I330" s="48">
        <v>20969.400000000001</v>
      </c>
      <c r="J330" s="49">
        <v>3.3E-3</v>
      </c>
      <c r="K330" s="13"/>
      <c r="L330" s="13"/>
      <c r="M330" s="13"/>
      <c r="N330" s="13"/>
      <c r="O330" s="13"/>
      <c r="P330" s="13"/>
      <c r="Q330" s="13"/>
      <c r="R330" s="13"/>
      <c r="S330" s="13"/>
      <c r="T330" s="13"/>
      <c r="U330" s="13"/>
    </row>
    <row r="331" spans="1:21">
      <c r="A331" s="13"/>
      <c r="B331" s="47">
        <v>45119</v>
      </c>
      <c r="C331" s="46">
        <v>287.27999999999997</v>
      </c>
      <c r="D331" s="49">
        <v>1.67E-2</v>
      </c>
      <c r="E331" s="13"/>
      <c r="F331" s="13"/>
      <c r="G331" s="13"/>
      <c r="H331" s="47">
        <v>45119</v>
      </c>
      <c r="I331" s="48">
        <v>20901.150000000001</v>
      </c>
      <c r="J331" s="49">
        <v>-1.6999999999999999E-3</v>
      </c>
      <c r="K331" s="13"/>
      <c r="L331" s="13"/>
      <c r="M331" s="13"/>
      <c r="N331" s="13"/>
      <c r="O331" s="13"/>
      <c r="P331" s="13"/>
      <c r="Q331" s="13"/>
      <c r="R331" s="13"/>
      <c r="S331" s="13"/>
      <c r="T331" s="13"/>
      <c r="U331" s="13"/>
    </row>
    <row r="332" spans="1:21">
      <c r="A332" s="13"/>
      <c r="B332" s="47">
        <v>45089</v>
      </c>
      <c r="C332" s="46">
        <v>282.57</v>
      </c>
      <c r="D332" s="49">
        <v>-6.7999999999999996E-3</v>
      </c>
      <c r="E332" s="13"/>
      <c r="F332" s="13"/>
      <c r="G332" s="13"/>
      <c r="H332" s="47">
        <v>45089</v>
      </c>
      <c r="I332" s="48">
        <v>20937.7</v>
      </c>
      <c r="J332" s="49">
        <v>4.0000000000000001E-3</v>
      </c>
      <c r="K332" s="13"/>
      <c r="L332" s="13"/>
      <c r="M332" s="13"/>
      <c r="N332" s="13"/>
      <c r="O332" s="13"/>
      <c r="P332" s="13"/>
      <c r="Q332" s="13"/>
      <c r="R332" s="13"/>
      <c r="S332" s="13"/>
      <c r="T332" s="13"/>
      <c r="U332" s="13"/>
    </row>
    <row r="333" spans="1:21">
      <c r="A333" s="13"/>
      <c r="B333" s="47">
        <v>45058</v>
      </c>
      <c r="C333" s="46">
        <v>284.5</v>
      </c>
      <c r="D333" s="49">
        <v>-1.67E-2</v>
      </c>
      <c r="E333" s="13"/>
      <c r="F333" s="13"/>
      <c r="G333" s="13"/>
      <c r="H333" s="47">
        <v>45058</v>
      </c>
      <c r="I333" s="48">
        <v>20855.099999999999</v>
      </c>
      <c r="J333" s="49">
        <v>8.0999999999999996E-3</v>
      </c>
      <c r="K333" s="13"/>
      <c r="L333" s="13"/>
      <c r="M333" s="13"/>
      <c r="N333" s="13"/>
      <c r="O333" s="13"/>
      <c r="P333" s="13"/>
      <c r="Q333" s="13"/>
      <c r="R333" s="13"/>
      <c r="S333" s="13"/>
      <c r="T333" s="13"/>
      <c r="U333" s="13"/>
    </row>
    <row r="334" spans="1:21">
      <c r="A334" s="13"/>
      <c r="B334" s="47">
        <v>45028</v>
      </c>
      <c r="C334" s="46">
        <v>289.33</v>
      </c>
      <c r="D334" s="49">
        <v>2.2700000000000001E-2</v>
      </c>
      <c r="E334" s="13"/>
      <c r="F334" s="13"/>
      <c r="G334" s="13"/>
      <c r="H334" s="47">
        <v>45028</v>
      </c>
      <c r="I334" s="48">
        <v>20686.8</v>
      </c>
      <c r="J334" s="49">
        <v>2.07E-2</v>
      </c>
      <c r="K334" s="13"/>
      <c r="L334" s="13"/>
      <c r="M334" s="13"/>
      <c r="N334" s="13"/>
      <c r="O334" s="13"/>
      <c r="P334" s="13"/>
      <c r="Q334" s="13"/>
      <c r="R334" s="13"/>
      <c r="S334" s="13"/>
      <c r="T334" s="13"/>
      <c r="U334" s="13"/>
    </row>
    <row r="335" spans="1:21">
      <c r="A335" s="13"/>
      <c r="B335" s="47">
        <v>44938</v>
      </c>
      <c r="C335" s="46">
        <v>282.91000000000003</v>
      </c>
      <c r="D335" s="49">
        <v>1.89E-2</v>
      </c>
      <c r="E335" s="13"/>
      <c r="F335" s="13"/>
      <c r="G335" s="13"/>
      <c r="H335" s="47">
        <v>44938</v>
      </c>
      <c r="I335" s="48">
        <v>20267.900000000001</v>
      </c>
      <c r="J335" s="49">
        <v>6.7000000000000002E-3</v>
      </c>
      <c r="K335" s="13"/>
      <c r="L335" s="13"/>
      <c r="M335" s="13"/>
      <c r="N335" s="13"/>
      <c r="O335" s="13"/>
      <c r="P335" s="13"/>
      <c r="Q335" s="13"/>
      <c r="R335" s="13"/>
      <c r="S335" s="13"/>
      <c r="T335" s="13"/>
      <c r="U335" s="13"/>
    </row>
    <row r="336" spans="1:21">
      <c r="A336" s="13"/>
      <c r="B336" s="46" t="s">
        <v>426</v>
      </c>
      <c r="C336" s="46">
        <v>277.64999999999998</v>
      </c>
      <c r="D336" s="49">
        <v>-8.5000000000000006E-3</v>
      </c>
      <c r="E336" s="13"/>
      <c r="F336" s="13"/>
      <c r="G336" s="13"/>
      <c r="H336" s="46" t="s">
        <v>426</v>
      </c>
      <c r="I336" s="48">
        <v>20133.150000000001</v>
      </c>
      <c r="J336" s="49">
        <v>1.8E-3</v>
      </c>
      <c r="K336" s="13"/>
      <c r="L336" s="13"/>
      <c r="M336" s="13"/>
      <c r="N336" s="13"/>
      <c r="O336" s="13"/>
      <c r="P336" s="13"/>
      <c r="Q336" s="13"/>
      <c r="R336" s="13"/>
      <c r="S336" s="13"/>
      <c r="T336" s="13"/>
      <c r="U336" s="13"/>
    </row>
    <row r="337" spans="1:21">
      <c r="A337" s="13"/>
      <c r="B337" s="46" t="s">
        <v>427</v>
      </c>
      <c r="C337" s="46">
        <v>280.04000000000002</v>
      </c>
      <c r="D337" s="49">
        <v>1.8E-3</v>
      </c>
      <c r="E337" s="13"/>
      <c r="F337" s="13"/>
      <c r="G337" s="13"/>
      <c r="H337" s="46" t="s">
        <v>427</v>
      </c>
      <c r="I337" s="48">
        <v>20096.599999999999</v>
      </c>
      <c r="J337" s="49">
        <v>1.04E-2</v>
      </c>
      <c r="K337" s="13"/>
      <c r="L337" s="13"/>
      <c r="M337" s="13"/>
      <c r="N337" s="13"/>
      <c r="O337" s="13"/>
      <c r="P337" s="13"/>
      <c r="Q337" s="13"/>
      <c r="R337" s="13"/>
      <c r="S337" s="13"/>
      <c r="T337" s="13"/>
      <c r="U337" s="13"/>
    </row>
    <row r="338" spans="1:21">
      <c r="A338" s="13"/>
      <c r="B338" s="46" t="s">
        <v>428</v>
      </c>
      <c r="C338" s="46">
        <v>279.54000000000002</v>
      </c>
      <c r="D338" s="49">
        <v>-6.7000000000000002E-3</v>
      </c>
      <c r="E338" s="13"/>
      <c r="F338" s="13"/>
      <c r="G338" s="13"/>
      <c r="H338" s="46" t="s">
        <v>428</v>
      </c>
      <c r="I338" s="48">
        <v>19889.7</v>
      </c>
      <c r="J338" s="49">
        <v>4.7999999999999996E-3</v>
      </c>
      <c r="K338" s="13"/>
      <c r="L338" s="13"/>
      <c r="M338" s="13"/>
      <c r="N338" s="13"/>
      <c r="O338" s="13"/>
      <c r="P338" s="13"/>
      <c r="Q338" s="13"/>
      <c r="R338" s="13"/>
      <c r="S338" s="13"/>
      <c r="T338" s="13"/>
      <c r="U338" s="13"/>
    </row>
    <row r="339" spans="1:21">
      <c r="A339" s="13"/>
      <c r="B339" s="46" t="s">
        <v>429</v>
      </c>
      <c r="C339" s="46">
        <v>281.42</v>
      </c>
      <c r="D339" s="49">
        <v>3.8999999999999998E-3</v>
      </c>
      <c r="E339" s="13"/>
      <c r="F339" s="13"/>
      <c r="G339" s="13"/>
      <c r="H339" s="46" t="s">
        <v>429</v>
      </c>
      <c r="I339" s="48">
        <v>19794.7</v>
      </c>
      <c r="J339" s="49">
        <v>-4.0000000000000002E-4</v>
      </c>
      <c r="K339" s="13"/>
      <c r="L339" s="13"/>
      <c r="M339" s="13"/>
      <c r="N339" s="13"/>
      <c r="O339" s="13"/>
      <c r="P339" s="13"/>
      <c r="Q339" s="13"/>
      <c r="R339" s="13"/>
      <c r="S339" s="13"/>
      <c r="T339" s="13"/>
      <c r="U339" s="13"/>
    </row>
    <row r="340" spans="1:21">
      <c r="A340" s="13"/>
      <c r="B340" s="46" t="s">
        <v>430</v>
      </c>
      <c r="C340" s="46">
        <v>280.32</v>
      </c>
      <c r="D340" s="49">
        <v>7.3000000000000001E-3</v>
      </c>
      <c r="E340" s="13"/>
      <c r="F340" s="13"/>
      <c r="G340" s="13"/>
      <c r="H340" s="46" t="s">
        <v>430</v>
      </c>
      <c r="I340" s="48">
        <v>19802</v>
      </c>
      <c r="J340" s="49">
        <v>-5.0000000000000001E-4</v>
      </c>
      <c r="K340" s="13"/>
      <c r="L340" s="13"/>
      <c r="M340" s="13"/>
      <c r="N340" s="13"/>
      <c r="O340" s="13"/>
      <c r="P340" s="13"/>
      <c r="Q340" s="13"/>
      <c r="R340" s="13"/>
      <c r="S340" s="13"/>
      <c r="T340" s="13"/>
      <c r="U340" s="13"/>
    </row>
    <row r="341" spans="1:21">
      <c r="A341" s="13"/>
      <c r="B341" s="46" t="s">
        <v>431</v>
      </c>
      <c r="C341" s="46">
        <v>278.27999999999997</v>
      </c>
      <c r="D341" s="49">
        <v>5.5999999999999999E-3</v>
      </c>
      <c r="E341" s="13"/>
      <c r="F341" s="13"/>
      <c r="G341" s="13"/>
      <c r="H341" s="46" t="s">
        <v>431</v>
      </c>
      <c r="I341" s="48">
        <v>19811.849999999999</v>
      </c>
      <c r="J341" s="49">
        <v>1.4E-3</v>
      </c>
      <c r="K341" s="13"/>
      <c r="L341" s="13"/>
      <c r="M341" s="13"/>
      <c r="N341" s="13"/>
      <c r="O341" s="13"/>
      <c r="P341" s="13"/>
      <c r="Q341" s="13"/>
      <c r="R341" s="13"/>
      <c r="S341" s="13"/>
      <c r="T341" s="13"/>
      <c r="U341" s="13"/>
    </row>
    <row r="342" spans="1:21">
      <c r="A342" s="13"/>
      <c r="B342" s="46" t="s">
        <v>432</v>
      </c>
      <c r="C342" s="46">
        <v>276.73</v>
      </c>
      <c r="D342" s="49">
        <v>-8.2000000000000007E-3</v>
      </c>
      <c r="E342" s="13"/>
      <c r="F342" s="13"/>
      <c r="G342" s="13"/>
      <c r="H342" s="46" t="s">
        <v>432</v>
      </c>
      <c r="I342" s="48">
        <v>19783.400000000001</v>
      </c>
      <c r="J342" s="49">
        <v>4.4999999999999997E-3</v>
      </c>
      <c r="K342" s="13"/>
      <c r="L342" s="13"/>
      <c r="M342" s="13"/>
      <c r="N342" s="13"/>
      <c r="O342" s="13"/>
      <c r="P342" s="13"/>
      <c r="Q342" s="13"/>
      <c r="R342" s="13"/>
      <c r="S342" s="13"/>
      <c r="T342" s="13"/>
      <c r="U342" s="13"/>
    </row>
    <row r="343" spans="1:21">
      <c r="A343" s="13"/>
      <c r="B343" s="46" t="s">
        <v>433</v>
      </c>
      <c r="C343" s="46">
        <v>279.01</v>
      </c>
      <c r="D343" s="49">
        <v>2.3E-3</v>
      </c>
      <c r="E343" s="13"/>
      <c r="F343" s="13"/>
      <c r="G343" s="13"/>
      <c r="H343" s="46" t="s">
        <v>433</v>
      </c>
      <c r="I343" s="48">
        <v>19694</v>
      </c>
      <c r="J343" s="49">
        <v>-1.9E-3</v>
      </c>
      <c r="K343" s="13"/>
      <c r="L343" s="13"/>
      <c r="M343" s="13"/>
      <c r="N343" s="13"/>
      <c r="O343" s="13"/>
      <c r="P343" s="13"/>
      <c r="Q343" s="13"/>
      <c r="R343" s="13"/>
      <c r="S343" s="13"/>
      <c r="T343" s="13"/>
      <c r="U343" s="13"/>
    </row>
    <row r="344" spans="1:21">
      <c r="A344" s="13"/>
      <c r="B344" s="46" t="s">
        <v>434</v>
      </c>
      <c r="C344" s="46">
        <v>278.38</v>
      </c>
      <c r="D344" s="49">
        <v>1.49E-2</v>
      </c>
      <c r="E344" s="13"/>
      <c r="F344" s="13"/>
      <c r="G344" s="13"/>
      <c r="H344" s="46" t="s">
        <v>434</v>
      </c>
      <c r="I344" s="48">
        <v>19731.8</v>
      </c>
      <c r="J344" s="49">
        <v>-1.6999999999999999E-3</v>
      </c>
      <c r="K344" s="13"/>
      <c r="L344" s="13"/>
      <c r="M344" s="13"/>
      <c r="N344" s="13"/>
      <c r="O344" s="13"/>
      <c r="P344" s="13"/>
      <c r="Q344" s="13"/>
      <c r="R344" s="13"/>
      <c r="S344" s="13"/>
      <c r="T344" s="13"/>
      <c r="U344" s="13"/>
    </row>
    <row r="345" spans="1:21">
      <c r="A345" s="13"/>
      <c r="B345" s="46" t="s">
        <v>435</v>
      </c>
      <c r="C345" s="46">
        <v>274.3</v>
      </c>
      <c r="D345" s="49">
        <v>9.1999999999999998E-3</v>
      </c>
      <c r="E345" s="13"/>
      <c r="F345" s="13"/>
      <c r="G345" s="13"/>
      <c r="H345" s="46" t="s">
        <v>435</v>
      </c>
      <c r="I345" s="48">
        <v>19765.2</v>
      </c>
      <c r="J345" s="49">
        <v>4.5999999999999999E-3</v>
      </c>
      <c r="K345" s="13"/>
      <c r="L345" s="13"/>
      <c r="M345" s="13"/>
      <c r="N345" s="13"/>
      <c r="O345" s="13"/>
      <c r="P345" s="13"/>
      <c r="Q345" s="13"/>
      <c r="R345" s="13"/>
      <c r="S345" s="13"/>
      <c r="T345" s="13"/>
      <c r="U345" s="13"/>
    </row>
    <row r="346" spans="1:21">
      <c r="A346" s="13"/>
      <c r="B346" s="46" t="s">
        <v>436</v>
      </c>
      <c r="C346" s="46">
        <v>271.8</v>
      </c>
      <c r="D346" s="49">
        <v>3.0099999999999998E-2</v>
      </c>
      <c r="E346" s="13"/>
      <c r="F346" s="13"/>
      <c r="G346" s="13"/>
      <c r="H346" s="46" t="s">
        <v>436</v>
      </c>
      <c r="I346" s="48">
        <v>19675.45</v>
      </c>
      <c r="J346" s="49">
        <v>1.1900000000000001E-2</v>
      </c>
      <c r="K346" s="13"/>
      <c r="L346" s="13"/>
      <c r="M346" s="13"/>
      <c r="N346" s="13"/>
      <c r="O346" s="13"/>
      <c r="P346" s="13"/>
      <c r="Q346" s="13"/>
      <c r="R346" s="13"/>
      <c r="S346" s="13"/>
      <c r="T346" s="13"/>
      <c r="U346" s="13"/>
    </row>
    <row r="347" spans="1:21">
      <c r="A347" s="13"/>
      <c r="B347" s="46" t="s">
        <v>437</v>
      </c>
      <c r="C347" s="46">
        <v>263.85000000000002</v>
      </c>
      <c r="D347" s="49">
        <v>1E-3</v>
      </c>
      <c r="E347" s="13"/>
      <c r="F347" s="13"/>
      <c r="G347" s="13"/>
      <c r="H347" s="46" t="s">
        <v>437</v>
      </c>
      <c r="I347" s="48">
        <v>19443.55</v>
      </c>
      <c r="J347" s="49">
        <v>-4.1999999999999997E-3</v>
      </c>
      <c r="K347" s="13"/>
      <c r="L347" s="13"/>
      <c r="M347" s="13"/>
      <c r="N347" s="13"/>
      <c r="O347" s="13"/>
      <c r="P347" s="13"/>
      <c r="Q347" s="13"/>
      <c r="R347" s="13"/>
      <c r="S347" s="13"/>
      <c r="T347" s="13"/>
      <c r="U347" s="13"/>
    </row>
    <row r="348" spans="1:21">
      <c r="A348" s="13"/>
      <c r="B348" s="47">
        <v>45271</v>
      </c>
      <c r="C348" s="46">
        <v>263.58999999999997</v>
      </c>
      <c r="D348" s="49">
        <v>1.37E-2</v>
      </c>
      <c r="E348" s="13"/>
      <c r="F348" s="13"/>
      <c r="G348" s="13"/>
      <c r="H348" s="47">
        <v>45271</v>
      </c>
      <c r="I348" s="48">
        <v>19525.55</v>
      </c>
      <c r="J348" s="49">
        <v>5.1999999999999998E-3</v>
      </c>
      <c r="K348" s="13"/>
      <c r="L348" s="13"/>
      <c r="M348" s="13"/>
      <c r="N348" s="13"/>
      <c r="O348" s="13"/>
      <c r="P348" s="13"/>
      <c r="Q348" s="13"/>
      <c r="R348" s="13"/>
      <c r="S348" s="13"/>
      <c r="T348" s="13"/>
      <c r="U348" s="13"/>
    </row>
    <row r="349" spans="1:21">
      <c r="A349" s="13"/>
      <c r="B349" s="47">
        <v>45210</v>
      </c>
      <c r="C349" s="46">
        <v>260.02</v>
      </c>
      <c r="D349" s="49">
        <v>2.3999999999999998E-3</v>
      </c>
      <c r="E349" s="13"/>
      <c r="F349" s="13"/>
      <c r="G349" s="13"/>
      <c r="H349" s="47">
        <v>45210</v>
      </c>
      <c r="I349" s="48">
        <v>19425.349999999999</v>
      </c>
      <c r="J349" s="49">
        <v>1.5E-3</v>
      </c>
      <c r="K349" s="13"/>
      <c r="L349" s="13"/>
      <c r="M349" s="13"/>
      <c r="N349" s="13"/>
      <c r="O349" s="13"/>
      <c r="P349" s="13"/>
      <c r="Q349" s="13"/>
      <c r="R349" s="13"/>
      <c r="S349" s="13"/>
      <c r="T349" s="13"/>
      <c r="U349" s="13"/>
    </row>
    <row r="350" spans="1:21">
      <c r="A350" s="13"/>
      <c r="B350" s="47">
        <v>45180</v>
      </c>
      <c r="C350" s="46">
        <v>259.41000000000003</v>
      </c>
      <c r="D350" s="49">
        <v>-2E-3</v>
      </c>
      <c r="E350" s="13"/>
      <c r="F350" s="13"/>
      <c r="G350" s="13"/>
      <c r="H350" s="47">
        <v>45180</v>
      </c>
      <c r="I350" s="48">
        <v>19395.3</v>
      </c>
      <c r="J350" s="49">
        <v>-2.5000000000000001E-3</v>
      </c>
      <c r="K350" s="13"/>
      <c r="L350" s="13"/>
      <c r="M350" s="13"/>
      <c r="N350" s="13"/>
      <c r="O350" s="13"/>
      <c r="P350" s="13"/>
      <c r="Q350" s="13"/>
      <c r="R350" s="13"/>
      <c r="S350" s="13"/>
      <c r="T350" s="13"/>
      <c r="U350" s="13"/>
    </row>
    <row r="351" spans="1:21">
      <c r="A351" s="13"/>
      <c r="B351" s="47">
        <v>45149</v>
      </c>
      <c r="C351" s="46">
        <v>259.92</v>
      </c>
      <c r="D351" s="49">
        <v>-5.9999999999999995E-4</v>
      </c>
      <c r="E351" s="13"/>
      <c r="F351" s="13"/>
      <c r="G351" s="13"/>
      <c r="H351" s="47">
        <v>45149</v>
      </c>
      <c r="I351" s="48">
        <v>19443.5</v>
      </c>
      <c r="J351" s="49">
        <v>1.9E-3</v>
      </c>
      <c r="K351" s="13"/>
      <c r="L351" s="13"/>
      <c r="M351" s="13"/>
      <c r="N351" s="13"/>
      <c r="O351" s="13"/>
      <c r="P351" s="13"/>
      <c r="Q351" s="13"/>
      <c r="R351" s="13"/>
      <c r="S351" s="13"/>
      <c r="T351" s="13"/>
      <c r="U351" s="13"/>
    </row>
    <row r="352" spans="1:21">
      <c r="A352" s="13"/>
      <c r="B352" s="47">
        <v>45118</v>
      </c>
      <c r="C352" s="46">
        <v>260.08</v>
      </c>
      <c r="D352" s="49">
        <v>-1.1299999999999999E-2</v>
      </c>
      <c r="E352" s="13"/>
      <c r="F352" s="13"/>
      <c r="G352" s="13"/>
      <c r="H352" s="47">
        <v>45118</v>
      </c>
      <c r="I352" s="48">
        <v>19406.7</v>
      </c>
      <c r="J352" s="49">
        <v>-2.9999999999999997E-4</v>
      </c>
      <c r="K352" s="13"/>
      <c r="L352" s="13"/>
      <c r="M352" s="13"/>
      <c r="N352" s="13"/>
      <c r="O352" s="13"/>
      <c r="P352" s="13"/>
      <c r="Q352" s="13"/>
      <c r="R352" s="13"/>
      <c r="S352" s="13"/>
      <c r="T352" s="13"/>
      <c r="U352" s="13"/>
    </row>
    <row r="353" spans="1:21">
      <c r="A353" s="13"/>
      <c r="B353" s="47">
        <v>45088</v>
      </c>
      <c r="C353" s="46">
        <v>263.06</v>
      </c>
      <c r="D353" s="49">
        <v>6.7000000000000002E-3</v>
      </c>
      <c r="E353" s="13"/>
      <c r="F353" s="13"/>
      <c r="G353" s="13"/>
      <c r="H353" s="47">
        <v>45088</v>
      </c>
      <c r="I353" s="48">
        <v>19411.75</v>
      </c>
      <c r="J353" s="49">
        <v>9.4000000000000004E-3</v>
      </c>
      <c r="K353" s="13"/>
      <c r="L353" s="13"/>
      <c r="M353" s="13"/>
      <c r="N353" s="13"/>
      <c r="O353" s="13"/>
      <c r="P353" s="13"/>
      <c r="Q353" s="13"/>
      <c r="R353" s="13"/>
      <c r="S353" s="13"/>
      <c r="T353" s="13"/>
      <c r="U353" s="13"/>
    </row>
    <row r="354" spans="1:21">
      <c r="A354" s="13"/>
      <c r="B354" s="47">
        <v>44996</v>
      </c>
      <c r="C354" s="46">
        <v>261.3</v>
      </c>
      <c r="D354" s="49">
        <v>-8.6E-3</v>
      </c>
      <c r="E354" s="13"/>
      <c r="F354" s="13"/>
      <c r="G354" s="13"/>
      <c r="H354" s="47">
        <v>44996</v>
      </c>
      <c r="I354" s="48">
        <v>19230.599999999999</v>
      </c>
      <c r="J354" s="49">
        <v>5.1000000000000004E-3</v>
      </c>
      <c r="K354" s="13"/>
      <c r="L354" s="13"/>
      <c r="M354" s="13"/>
      <c r="N354" s="13"/>
      <c r="O354" s="13"/>
      <c r="P354" s="13"/>
      <c r="Q354" s="13"/>
      <c r="R354" s="13"/>
      <c r="S354" s="13"/>
      <c r="T354" s="13"/>
      <c r="U354" s="13"/>
    </row>
    <row r="355" spans="1:21">
      <c r="A355" s="13"/>
      <c r="B355" s="47">
        <v>44968</v>
      </c>
      <c r="C355" s="46">
        <v>263.57</v>
      </c>
      <c r="D355" s="49">
        <v>-8.3000000000000001E-3</v>
      </c>
      <c r="E355" s="13"/>
      <c r="F355" s="13"/>
      <c r="G355" s="13"/>
      <c r="H355" s="47">
        <v>44968</v>
      </c>
      <c r="I355" s="48">
        <v>19133.25</v>
      </c>
      <c r="J355" s="49">
        <v>7.6E-3</v>
      </c>
      <c r="K355" s="13"/>
      <c r="L355" s="13"/>
      <c r="M355" s="13"/>
      <c r="N355" s="13"/>
      <c r="O355" s="13"/>
      <c r="P355" s="13"/>
      <c r="Q355" s="13"/>
      <c r="R355" s="13"/>
      <c r="S355" s="13"/>
      <c r="T355" s="13"/>
      <c r="U355" s="13"/>
    </row>
    <row r="356" spans="1:21">
      <c r="A356" s="13"/>
      <c r="B356" s="47">
        <v>44937</v>
      </c>
      <c r="C356" s="46">
        <v>265.77</v>
      </c>
      <c r="D356" s="49">
        <v>2.4899999999999999E-2</v>
      </c>
      <c r="E356" s="13"/>
      <c r="F356" s="13"/>
      <c r="G356" s="13"/>
      <c r="H356" s="47">
        <v>44937</v>
      </c>
      <c r="I356" s="48">
        <v>18989.150000000001</v>
      </c>
      <c r="J356" s="49">
        <v>-4.7000000000000002E-3</v>
      </c>
      <c r="K356" s="13"/>
      <c r="L356" s="13"/>
      <c r="M356" s="13"/>
      <c r="N356" s="13"/>
      <c r="O356" s="13"/>
      <c r="P356" s="13"/>
      <c r="Q356" s="13"/>
      <c r="R356" s="13"/>
      <c r="S356" s="13"/>
      <c r="T356" s="13"/>
      <c r="U356" s="13"/>
    </row>
    <row r="357" spans="1:21">
      <c r="A357" s="13"/>
      <c r="B357" s="46" t="s">
        <v>438</v>
      </c>
      <c r="C357" s="46">
        <v>259.31</v>
      </c>
      <c r="D357" s="49">
        <v>1.0200000000000001E-2</v>
      </c>
      <c r="E357" s="13"/>
      <c r="F357" s="13"/>
      <c r="G357" s="13"/>
      <c r="H357" s="46" t="s">
        <v>438</v>
      </c>
      <c r="I357" s="48">
        <v>19079.599999999999</v>
      </c>
      <c r="J357" s="49">
        <v>-3.2000000000000002E-3</v>
      </c>
      <c r="K357" s="13"/>
      <c r="L357" s="13"/>
      <c r="M357" s="13"/>
      <c r="N357" s="13"/>
      <c r="O357" s="13"/>
      <c r="P357" s="13"/>
      <c r="Q357" s="13"/>
      <c r="R357" s="13"/>
      <c r="S357" s="13"/>
      <c r="T357" s="13"/>
      <c r="U357" s="13"/>
    </row>
    <row r="358" spans="1:21">
      <c r="A358" s="13"/>
      <c r="B358" s="46" t="s">
        <v>439</v>
      </c>
      <c r="C358" s="46">
        <v>256.7</v>
      </c>
      <c r="D358" s="49">
        <v>-6.4999999999999997E-3</v>
      </c>
      <c r="E358" s="13"/>
      <c r="F358" s="13"/>
      <c r="G358" s="13"/>
      <c r="H358" s="46" t="s">
        <v>439</v>
      </c>
      <c r="I358" s="48">
        <v>19140.900000000001</v>
      </c>
      <c r="J358" s="49">
        <v>4.8999999999999998E-3</v>
      </c>
      <c r="K358" s="13"/>
      <c r="L358" s="13"/>
      <c r="M358" s="13"/>
      <c r="N358" s="13"/>
      <c r="O358" s="13"/>
      <c r="P358" s="13"/>
      <c r="Q358" s="13"/>
      <c r="R358" s="13"/>
      <c r="S358" s="13"/>
      <c r="T358" s="13"/>
      <c r="U358" s="13"/>
    </row>
    <row r="359" spans="1:21">
      <c r="A359" s="13"/>
      <c r="B359" s="46" t="s">
        <v>440</v>
      </c>
      <c r="C359" s="46">
        <v>258.38</v>
      </c>
      <c r="D359" s="49">
        <v>-4.3700000000000003E-2</v>
      </c>
      <c r="E359" s="13"/>
      <c r="F359" s="13"/>
      <c r="G359" s="13"/>
      <c r="H359" s="46" t="s">
        <v>440</v>
      </c>
      <c r="I359" s="48">
        <v>19047.25</v>
      </c>
      <c r="J359" s="49">
        <v>1.01E-2</v>
      </c>
      <c r="K359" s="13"/>
      <c r="L359" s="13"/>
      <c r="M359" s="13"/>
      <c r="N359" s="13"/>
      <c r="O359" s="13"/>
      <c r="P359" s="13"/>
      <c r="Q359" s="13"/>
      <c r="R359" s="13"/>
      <c r="S359" s="13"/>
      <c r="T359" s="13"/>
      <c r="U359" s="13"/>
    </row>
    <row r="360" spans="1:21">
      <c r="A360" s="13"/>
      <c r="B360" s="46" t="s">
        <v>441</v>
      </c>
      <c r="C360" s="46">
        <v>270.19</v>
      </c>
      <c r="D360" s="49">
        <v>-1E-4</v>
      </c>
      <c r="E360" s="13"/>
      <c r="F360" s="13"/>
      <c r="G360" s="13"/>
      <c r="H360" s="46" t="s">
        <v>441</v>
      </c>
      <c r="I360" s="48">
        <v>18857.25</v>
      </c>
      <c r="J360" s="49">
        <v>-1.3899999999999999E-2</v>
      </c>
      <c r="K360" s="13"/>
      <c r="L360" s="13"/>
      <c r="M360" s="13"/>
      <c r="N360" s="13"/>
      <c r="O360" s="13"/>
      <c r="P360" s="13"/>
      <c r="Q360" s="13"/>
      <c r="R360" s="13"/>
      <c r="S360" s="13"/>
      <c r="T360" s="13"/>
      <c r="U360" s="13"/>
    </row>
    <row r="361" spans="1:21">
      <c r="A361" s="13"/>
      <c r="B361" s="46" t="s">
        <v>442</v>
      </c>
      <c r="C361" s="46">
        <v>270.20999999999998</v>
      </c>
      <c r="D361" s="49">
        <v>1.2699999999999999E-2</v>
      </c>
      <c r="E361" s="13"/>
      <c r="F361" s="13"/>
      <c r="G361" s="13"/>
      <c r="H361" s="46" t="s">
        <v>442</v>
      </c>
      <c r="I361" s="48">
        <v>19122.150000000001</v>
      </c>
      <c r="J361" s="49">
        <v>-8.3000000000000001E-3</v>
      </c>
      <c r="K361" s="13"/>
      <c r="L361" s="13"/>
      <c r="M361" s="13"/>
      <c r="N361" s="13"/>
      <c r="O361" s="13"/>
      <c r="P361" s="13"/>
      <c r="Q361" s="13"/>
      <c r="R361" s="13"/>
      <c r="S361" s="13"/>
      <c r="T361" s="13"/>
      <c r="U361" s="13"/>
    </row>
    <row r="362" spans="1:21">
      <c r="A362" s="13"/>
      <c r="B362" s="46" t="s">
        <v>443</v>
      </c>
      <c r="C362" s="46">
        <v>266.82</v>
      </c>
      <c r="D362" s="49">
        <v>-5.3100000000000001E-2</v>
      </c>
      <c r="E362" s="13"/>
      <c r="F362" s="13"/>
      <c r="G362" s="13"/>
      <c r="H362" s="46" t="s">
        <v>443</v>
      </c>
      <c r="I362" s="48">
        <v>19281.75</v>
      </c>
      <c r="J362" s="49">
        <v>-1.34E-2</v>
      </c>
      <c r="K362" s="13"/>
      <c r="L362" s="13"/>
      <c r="M362" s="13"/>
      <c r="N362" s="13"/>
      <c r="O362" s="13"/>
      <c r="P362" s="13"/>
      <c r="Q362" s="13"/>
      <c r="R362" s="13"/>
      <c r="S362" s="13"/>
      <c r="T362" s="13"/>
      <c r="U362" s="13"/>
    </row>
    <row r="363" spans="1:21">
      <c r="A363" s="13"/>
      <c r="B363" s="46" t="s">
        <v>444</v>
      </c>
      <c r="C363" s="46">
        <v>281.77</v>
      </c>
      <c r="D363" s="49">
        <v>-1.2999999999999999E-3</v>
      </c>
      <c r="E363" s="13"/>
      <c r="F363" s="13"/>
      <c r="G363" s="13"/>
      <c r="H363" s="46" t="s">
        <v>444</v>
      </c>
      <c r="I363" s="48">
        <v>19542.650000000001</v>
      </c>
      <c r="J363" s="49">
        <v>-4.1999999999999997E-3</v>
      </c>
      <c r="K363" s="13"/>
      <c r="L363" s="13"/>
      <c r="M363" s="13"/>
      <c r="N363" s="13"/>
      <c r="O363" s="13"/>
      <c r="P363" s="13"/>
      <c r="Q363" s="13"/>
      <c r="R363" s="13"/>
      <c r="S363" s="13"/>
      <c r="T363" s="13"/>
      <c r="U363" s="13"/>
    </row>
    <row r="364" spans="1:21">
      <c r="A364" s="13"/>
      <c r="B364" s="46" t="s">
        <v>445</v>
      </c>
      <c r="C364" s="46">
        <v>282.14999999999998</v>
      </c>
      <c r="D364" s="49">
        <v>-3.0000000000000001E-3</v>
      </c>
      <c r="E364" s="13"/>
      <c r="F364" s="13"/>
      <c r="G364" s="13"/>
      <c r="H364" s="46" t="s">
        <v>445</v>
      </c>
      <c r="I364" s="48">
        <v>19624.7</v>
      </c>
      <c r="J364" s="49">
        <v>-2.3999999999999998E-3</v>
      </c>
      <c r="K364" s="13"/>
      <c r="L364" s="13"/>
      <c r="M364" s="13"/>
      <c r="N364" s="13"/>
      <c r="O364" s="13"/>
      <c r="P364" s="13"/>
      <c r="Q364" s="13"/>
      <c r="R364" s="13"/>
      <c r="S364" s="13"/>
      <c r="T364" s="13"/>
      <c r="U364" s="13"/>
    </row>
    <row r="365" spans="1:21">
      <c r="A365" s="13"/>
      <c r="B365" s="46" t="s">
        <v>446</v>
      </c>
      <c r="C365" s="46">
        <v>282.99</v>
      </c>
      <c r="D365" s="49">
        <v>-7.7999999999999996E-3</v>
      </c>
      <c r="E365" s="13"/>
      <c r="F365" s="13"/>
      <c r="G365" s="13"/>
      <c r="H365" s="46" t="s">
        <v>446</v>
      </c>
      <c r="I365" s="48">
        <v>19671.099999999999</v>
      </c>
      <c r="J365" s="49">
        <v>-7.1000000000000004E-3</v>
      </c>
      <c r="K365" s="13"/>
      <c r="L365" s="13"/>
      <c r="M365" s="13"/>
      <c r="N365" s="13"/>
      <c r="O365" s="13"/>
      <c r="P365" s="13"/>
      <c r="Q365" s="13"/>
      <c r="R365" s="13"/>
      <c r="S365" s="13"/>
      <c r="T365" s="13"/>
      <c r="U365" s="13"/>
    </row>
    <row r="366" spans="1:21">
      <c r="A366" s="13"/>
      <c r="B366" s="46" t="s">
        <v>447</v>
      </c>
      <c r="C366" s="46">
        <v>285.22000000000003</v>
      </c>
      <c r="D366" s="49">
        <v>-4.3E-3</v>
      </c>
      <c r="E366" s="13"/>
      <c r="F366" s="13"/>
      <c r="G366" s="13"/>
      <c r="H366" s="46" t="s">
        <v>447</v>
      </c>
      <c r="I366" s="48">
        <v>19811.5</v>
      </c>
      <c r="J366" s="49">
        <v>4.0000000000000001E-3</v>
      </c>
      <c r="K366" s="13"/>
      <c r="L366" s="13"/>
      <c r="M366" s="13"/>
      <c r="N366" s="13"/>
      <c r="O366" s="13"/>
      <c r="P366" s="13"/>
      <c r="Q366" s="13"/>
      <c r="R366" s="13"/>
      <c r="S366" s="13"/>
      <c r="T366" s="13"/>
      <c r="U366" s="13"/>
    </row>
    <row r="367" spans="1:21">
      <c r="A367" s="13"/>
      <c r="B367" s="46" t="s">
        <v>448</v>
      </c>
      <c r="C367" s="46">
        <v>286.45</v>
      </c>
      <c r="D367" s="49">
        <v>5.0000000000000001E-4</v>
      </c>
      <c r="E367" s="13"/>
      <c r="F367" s="13"/>
      <c r="G367" s="13"/>
      <c r="H367" s="46" t="s">
        <v>448</v>
      </c>
      <c r="I367" s="48">
        <v>19731.75</v>
      </c>
      <c r="J367" s="49">
        <v>-1E-3</v>
      </c>
      <c r="K367" s="13"/>
      <c r="L367" s="13"/>
      <c r="M367" s="13"/>
      <c r="N367" s="13"/>
      <c r="O367" s="13"/>
      <c r="P367" s="13"/>
      <c r="Q367" s="13"/>
      <c r="R367" s="13"/>
      <c r="S367" s="13"/>
      <c r="T367" s="13"/>
      <c r="U367" s="13"/>
    </row>
    <row r="368" spans="1:21">
      <c r="A368" s="13"/>
      <c r="B368" s="46" t="s">
        <v>449</v>
      </c>
      <c r="C368" s="46">
        <v>286.3</v>
      </c>
      <c r="D368" s="49">
        <v>-6.4000000000000003E-3</v>
      </c>
      <c r="E368" s="13"/>
      <c r="F368" s="13"/>
      <c r="G368" s="13"/>
      <c r="H368" s="46" t="s">
        <v>449</v>
      </c>
      <c r="I368" s="48">
        <v>19751.05</v>
      </c>
      <c r="J368" s="49">
        <v>-2.2000000000000001E-3</v>
      </c>
      <c r="K368" s="13"/>
      <c r="L368" s="13"/>
      <c r="M368" s="13"/>
      <c r="N368" s="13"/>
      <c r="O368" s="13"/>
      <c r="P368" s="13"/>
      <c r="Q368" s="13"/>
      <c r="R368" s="13"/>
      <c r="S368" s="13"/>
      <c r="T368" s="13"/>
      <c r="U368" s="13"/>
    </row>
    <row r="369" spans="1:21">
      <c r="A369" s="13"/>
      <c r="B369" s="47">
        <v>45270</v>
      </c>
      <c r="C369" s="46">
        <v>288.14</v>
      </c>
      <c r="D369" s="49">
        <v>3.2000000000000002E-3</v>
      </c>
      <c r="E369" s="13"/>
      <c r="F369" s="13"/>
      <c r="G369" s="13"/>
      <c r="H369" s="47">
        <v>45270</v>
      </c>
      <c r="I369" s="48">
        <v>19794</v>
      </c>
      <c r="J369" s="49">
        <v>-8.9999999999999998E-4</v>
      </c>
      <c r="K369" s="13"/>
      <c r="L369" s="13"/>
      <c r="M369" s="13"/>
      <c r="N369" s="13"/>
      <c r="O369" s="13"/>
      <c r="P369" s="13"/>
      <c r="Q369" s="13"/>
      <c r="R369" s="13"/>
      <c r="S369" s="13"/>
      <c r="T369" s="13"/>
      <c r="U369" s="13"/>
    </row>
    <row r="370" spans="1:21">
      <c r="A370" s="13"/>
      <c r="B370" s="47">
        <v>45240</v>
      </c>
      <c r="C370" s="46">
        <v>287.20999999999998</v>
      </c>
      <c r="D370" s="49">
        <v>2.1499999999999998E-2</v>
      </c>
      <c r="E370" s="13"/>
      <c r="F370" s="13"/>
      <c r="G370" s="13"/>
      <c r="H370" s="47">
        <v>45240</v>
      </c>
      <c r="I370" s="48">
        <v>19811.349999999999</v>
      </c>
      <c r="J370" s="49">
        <v>6.1999999999999998E-3</v>
      </c>
      <c r="K370" s="13"/>
      <c r="L370" s="13"/>
      <c r="M370" s="13"/>
      <c r="N370" s="13"/>
      <c r="O370" s="13"/>
      <c r="P370" s="13"/>
      <c r="Q370" s="13"/>
      <c r="R370" s="13"/>
      <c r="S370" s="13"/>
      <c r="T370" s="13"/>
      <c r="U370" s="13"/>
    </row>
    <row r="371" spans="1:21">
      <c r="A371" s="13"/>
      <c r="B371" s="47">
        <v>45209</v>
      </c>
      <c r="C371" s="46">
        <v>281.16000000000003</v>
      </c>
      <c r="D371" s="49">
        <v>-6.4999999999999997E-3</v>
      </c>
      <c r="E371" s="13"/>
      <c r="F371" s="13"/>
      <c r="G371" s="13"/>
      <c r="H371" s="47">
        <v>45209</v>
      </c>
      <c r="I371" s="48">
        <v>19689.849999999999</v>
      </c>
      <c r="J371" s="49">
        <v>9.1000000000000004E-3</v>
      </c>
      <c r="K371" s="13"/>
      <c r="L371" s="13"/>
      <c r="M371" s="13"/>
      <c r="N371" s="13"/>
      <c r="O371" s="13"/>
      <c r="P371" s="13"/>
      <c r="Q371" s="13"/>
      <c r="R371" s="13"/>
      <c r="S371" s="13"/>
      <c r="T371" s="13"/>
      <c r="U371" s="13"/>
    </row>
    <row r="372" spans="1:21">
      <c r="A372" s="13"/>
      <c r="B372" s="47">
        <v>45179</v>
      </c>
      <c r="C372" s="46">
        <v>283.01</v>
      </c>
      <c r="D372" s="49">
        <v>-0.01</v>
      </c>
      <c r="E372" s="13"/>
      <c r="F372" s="13"/>
      <c r="G372" s="13"/>
      <c r="H372" s="47">
        <v>45179</v>
      </c>
      <c r="I372" s="48">
        <v>19512.349999999999</v>
      </c>
      <c r="J372" s="49">
        <v>-7.1999999999999998E-3</v>
      </c>
      <c r="K372" s="13"/>
      <c r="L372" s="13"/>
      <c r="M372" s="13"/>
      <c r="N372" s="13"/>
      <c r="O372" s="13"/>
      <c r="P372" s="13"/>
      <c r="Q372" s="13"/>
      <c r="R372" s="13"/>
      <c r="S372" s="13"/>
      <c r="T372" s="13"/>
      <c r="U372" s="13"/>
    </row>
    <row r="373" spans="1:21">
      <c r="A373" s="13"/>
      <c r="B373" s="47">
        <v>45087</v>
      </c>
      <c r="C373" s="46">
        <v>285.87</v>
      </c>
      <c r="D373" s="49">
        <v>2.8999999999999998E-3</v>
      </c>
      <c r="E373" s="13"/>
      <c r="F373" s="13"/>
      <c r="G373" s="13"/>
      <c r="H373" s="47">
        <v>45087</v>
      </c>
      <c r="I373" s="48">
        <v>19653.5</v>
      </c>
      <c r="J373" s="49">
        <v>5.4999999999999997E-3</v>
      </c>
      <c r="K373" s="13"/>
      <c r="L373" s="13"/>
      <c r="M373" s="13"/>
      <c r="N373" s="13"/>
      <c r="O373" s="13"/>
      <c r="P373" s="13"/>
      <c r="Q373" s="13"/>
      <c r="R373" s="13"/>
      <c r="S373" s="13"/>
      <c r="T373" s="13"/>
      <c r="U373" s="13"/>
    </row>
    <row r="374" spans="1:21">
      <c r="A374" s="13"/>
      <c r="B374" s="47">
        <v>45056</v>
      </c>
      <c r="C374" s="46">
        <v>285.04000000000002</v>
      </c>
      <c r="D374" s="49">
        <v>1.09E-2</v>
      </c>
      <c r="E374" s="13"/>
      <c r="F374" s="13"/>
      <c r="G374" s="13"/>
      <c r="H374" s="47">
        <v>45056</v>
      </c>
      <c r="I374" s="48">
        <v>19545.75</v>
      </c>
      <c r="J374" s="49">
        <v>5.5999999999999999E-3</v>
      </c>
      <c r="K374" s="13"/>
      <c r="L374" s="13"/>
      <c r="M374" s="13"/>
      <c r="N374" s="13"/>
      <c r="O374" s="13"/>
      <c r="P374" s="13"/>
      <c r="Q374" s="13"/>
      <c r="R374" s="13"/>
      <c r="S374" s="13"/>
      <c r="T374" s="13"/>
      <c r="U374" s="13"/>
    </row>
    <row r="375" spans="1:21">
      <c r="A375" s="13"/>
      <c r="B375" s="47">
        <v>45026</v>
      </c>
      <c r="C375" s="46">
        <v>281.97000000000003</v>
      </c>
      <c r="D375" s="49">
        <v>-9.1000000000000004E-3</v>
      </c>
      <c r="E375" s="13"/>
      <c r="F375" s="13"/>
      <c r="G375" s="13"/>
      <c r="H375" s="47">
        <v>45026</v>
      </c>
      <c r="I375" s="48">
        <v>19436.099999999999</v>
      </c>
      <c r="J375" s="49">
        <v>-4.7000000000000002E-3</v>
      </c>
      <c r="K375" s="13"/>
      <c r="L375" s="13"/>
      <c r="M375" s="13"/>
      <c r="N375" s="13"/>
      <c r="O375" s="13"/>
      <c r="P375" s="13"/>
      <c r="Q375" s="13"/>
      <c r="R375" s="13"/>
      <c r="S375" s="13"/>
      <c r="T375" s="13"/>
      <c r="U375" s="13"/>
    </row>
    <row r="376" spans="1:21">
      <c r="A376" s="13"/>
      <c r="B376" s="47">
        <v>44995</v>
      </c>
      <c r="C376" s="46">
        <v>284.55</v>
      </c>
      <c r="D376" s="49">
        <v>-2.0899999999999998E-2</v>
      </c>
      <c r="E376" s="13"/>
      <c r="F376" s="13"/>
      <c r="G376" s="13"/>
      <c r="H376" s="47">
        <v>44995</v>
      </c>
      <c r="I376" s="48">
        <v>19528.75</v>
      </c>
      <c r="J376" s="49">
        <v>-5.5999999999999999E-3</v>
      </c>
      <c r="K376" s="13"/>
      <c r="L376" s="13"/>
      <c r="M376" s="13"/>
      <c r="N376" s="13"/>
      <c r="O376" s="13"/>
      <c r="P376" s="13"/>
      <c r="Q376" s="13"/>
      <c r="R376" s="13"/>
      <c r="S376" s="13"/>
      <c r="T376" s="13"/>
      <c r="U376" s="13"/>
    </row>
    <row r="377" spans="1:21">
      <c r="A377" s="13"/>
      <c r="B377" s="46" t="s">
        <v>450</v>
      </c>
      <c r="C377" s="46">
        <v>290.62</v>
      </c>
      <c r="D377" s="49">
        <v>2.6200000000000001E-2</v>
      </c>
      <c r="E377" s="13"/>
      <c r="F377" s="13"/>
      <c r="G377" s="13"/>
      <c r="H377" s="46" t="s">
        <v>450</v>
      </c>
      <c r="I377" s="48">
        <v>19638.3</v>
      </c>
      <c r="J377" s="49">
        <v>5.8999999999999999E-3</v>
      </c>
      <c r="K377" s="13"/>
      <c r="L377" s="13"/>
      <c r="M377" s="13"/>
      <c r="N377" s="13"/>
      <c r="O377" s="13"/>
      <c r="P377" s="13"/>
      <c r="Q377" s="13"/>
      <c r="R377" s="13"/>
      <c r="S377" s="13"/>
      <c r="T377" s="13"/>
      <c r="U377" s="13"/>
    </row>
    <row r="378" spans="1:21">
      <c r="A378" s="13"/>
      <c r="B378" s="46" t="s">
        <v>451</v>
      </c>
      <c r="C378" s="46">
        <v>283.2</v>
      </c>
      <c r="D378" s="49">
        <v>-7.6E-3</v>
      </c>
      <c r="E378" s="13"/>
      <c r="F378" s="13"/>
      <c r="G378" s="13"/>
      <c r="H378" s="46" t="s">
        <v>451</v>
      </c>
      <c r="I378" s="48">
        <v>19523.55</v>
      </c>
      <c r="J378" s="49">
        <v>-9.7999999999999997E-3</v>
      </c>
      <c r="K378" s="13"/>
      <c r="L378" s="13"/>
      <c r="M378" s="13"/>
      <c r="N378" s="13"/>
      <c r="O378" s="13"/>
      <c r="P378" s="13"/>
      <c r="Q378" s="13"/>
      <c r="R378" s="13"/>
      <c r="S378" s="13"/>
      <c r="T378" s="13"/>
      <c r="U378" s="13"/>
    </row>
    <row r="379" spans="1:21">
      <c r="A379" s="13"/>
      <c r="B379" s="46" t="s">
        <v>452</v>
      </c>
      <c r="C379" s="46">
        <v>285.36</v>
      </c>
      <c r="D379" s="49">
        <v>-1.03E-2</v>
      </c>
      <c r="E379" s="13"/>
      <c r="F379" s="13"/>
      <c r="G379" s="13"/>
      <c r="H379" s="46" t="s">
        <v>452</v>
      </c>
      <c r="I379" s="48">
        <v>19716.45</v>
      </c>
      <c r="J379" s="49">
        <v>2.5999999999999999E-3</v>
      </c>
      <c r="K379" s="13"/>
      <c r="L379" s="13"/>
      <c r="M379" s="13"/>
      <c r="N379" s="13"/>
      <c r="O379" s="13"/>
      <c r="P379" s="13"/>
      <c r="Q379" s="13"/>
      <c r="R379" s="13"/>
      <c r="S379" s="13"/>
      <c r="T379" s="13"/>
      <c r="U379" s="13"/>
    </row>
    <row r="380" spans="1:21">
      <c r="A380" s="13"/>
      <c r="B380" s="46" t="s">
        <v>453</v>
      </c>
      <c r="C380" s="46">
        <v>288.32</v>
      </c>
      <c r="D380" s="49">
        <v>-1.54E-2</v>
      </c>
      <c r="E380" s="13"/>
      <c r="F380" s="13"/>
      <c r="G380" s="13"/>
      <c r="H380" s="46" t="s">
        <v>453</v>
      </c>
      <c r="I380" s="48">
        <v>19664.7</v>
      </c>
      <c r="J380" s="49">
        <v>-5.0000000000000001E-4</v>
      </c>
      <c r="K380" s="13"/>
      <c r="L380" s="13"/>
      <c r="M380" s="13"/>
      <c r="N380" s="13"/>
      <c r="O380" s="13"/>
      <c r="P380" s="13"/>
      <c r="Q380" s="13"/>
      <c r="R380" s="13"/>
      <c r="S380" s="13"/>
      <c r="T380" s="13"/>
      <c r="U380" s="13"/>
    </row>
    <row r="381" spans="1:21">
      <c r="A381" s="13"/>
      <c r="B381" s="46" t="s">
        <v>454</v>
      </c>
      <c r="C381" s="46">
        <v>292.82</v>
      </c>
      <c r="D381" s="49">
        <v>-1.4E-2</v>
      </c>
      <c r="E381" s="13"/>
      <c r="F381" s="13"/>
      <c r="G381" s="13"/>
      <c r="H381" s="46" t="s">
        <v>454</v>
      </c>
      <c r="I381" s="48">
        <v>19674.55</v>
      </c>
      <c r="J381" s="49">
        <v>0</v>
      </c>
      <c r="K381" s="13"/>
      <c r="L381" s="13"/>
      <c r="M381" s="13"/>
      <c r="N381" s="13"/>
      <c r="O381" s="13"/>
      <c r="P381" s="13"/>
      <c r="Q381" s="13"/>
      <c r="R381" s="13"/>
      <c r="S381" s="13"/>
      <c r="T381" s="13"/>
      <c r="U381" s="13"/>
    </row>
    <row r="382" spans="1:21">
      <c r="A382" s="13"/>
      <c r="B382" s="46" t="s">
        <v>455</v>
      </c>
      <c r="C382" s="46">
        <v>296.99</v>
      </c>
      <c r="D382" s="49">
        <v>1.61E-2</v>
      </c>
      <c r="E382" s="13"/>
      <c r="F382" s="13"/>
      <c r="G382" s="13"/>
      <c r="H382" s="46" t="s">
        <v>455</v>
      </c>
      <c r="I382" s="48">
        <v>19674.25</v>
      </c>
      <c r="J382" s="49">
        <v>-3.3999999999999998E-3</v>
      </c>
      <c r="K382" s="13"/>
      <c r="L382" s="13"/>
      <c r="M382" s="13"/>
      <c r="N382" s="13"/>
      <c r="O382" s="13"/>
      <c r="P382" s="13"/>
      <c r="Q382" s="13"/>
      <c r="R382" s="13"/>
      <c r="S382" s="13"/>
      <c r="T382" s="13"/>
      <c r="U382" s="13"/>
    </row>
    <row r="383" spans="1:21">
      <c r="A383" s="13"/>
      <c r="B383" s="46" t="s">
        <v>456</v>
      </c>
      <c r="C383" s="46">
        <v>292.29000000000002</v>
      </c>
      <c r="D383" s="49">
        <v>6.9999999999999999E-4</v>
      </c>
      <c r="E383" s="13"/>
      <c r="F383" s="13"/>
      <c r="G383" s="13"/>
      <c r="H383" s="46" t="s">
        <v>456</v>
      </c>
      <c r="I383" s="48">
        <v>19742.349999999999</v>
      </c>
      <c r="J383" s="49">
        <v>-8.0000000000000002E-3</v>
      </c>
      <c r="K383" s="13"/>
      <c r="L383" s="13"/>
      <c r="M383" s="13"/>
      <c r="N383" s="13"/>
      <c r="O383" s="13"/>
      <c r="P383" s="13"/>
      <c r="Q383" s="13"/>
      <c r="R383" s="13"/>
      <c r="S383" s="13"/>
      <c r="T383" s="13"/>
      <c r="U383" s="13"/>
    </row>
    <row r="384" spans="1:21">
      <c r="A384" s="13"/>
      <c r="B384" s="46" t="s">
        <v>457</v>
      </c>
      <c r="C384" s="46">
        <v>292.08999999999997</v>
      </c>
      <c r="D384" s="49">
        <v>4.7000000000000002E-3</v>
      </c>
      <c r="E384" s="13"/>
      <c r="F384" s="13"/>
      <c r="G384" s="13"/>
      <c r="H384" s="46" t="s">
        <v>457</v>
      </c>
      <c r="I384" s="48">
        <v>19901.400000000001</v>
      </c>
      <c r="J384" s="49">
        <v>-1.15E-2</v>
      </c>
      <c r="K384" s="13"/>
      <c r="L384" s="13"/>
      <c r="M384" s="13"/>
      <c r="N384" s="13"/>
      <c r="O384" s="13"/>
      <c r="P384" s="13"/>
      <c r="Q384" s="13"/>
      <c r="R384" s="13"/>
      <c r="S384" s="13"/>
      <c r="T384" s="13"/>
      <c r="U384" s="13"/>
    </row>
    <row r="385" spans="1:21">
      <c r="A385" s="13"/>
      <c r="B385" s="46" t="s">
        <v>458</v>
      </c>
      <c r="C385" s="46">
        <v>290.70999999999998</v>
      </c>
      <c r="D385" s="49">
        <v>-1.2699999999999999E-2</v>
      </c>
      <c r="E385" s="13"/>
      <c r="F385" s="13"/>
      <c r="G385" s="13"/>
      <c r="H385" s="46" t="s">
        <v>458</v>
      </c>
      <c r="I385" s="48">
        <v>20133.3</v>
      </c>
      <c r="J385" s="49">
        <v>-2.8999999999999998E-3</v>
      </c>
      <c r="K385" s="13"/>
      <c r="L385" s="13"/>
      <c r="M385" s="13"/>
      <c r="N385" s="13"/>
      <c r="O385" s="13"/>
      <c r="P385" s="13"/>
      <c r="Q385" s="13"/>
      <c r="R385" s="13"/>
      <c r="S385" s="13"/>
      <c r="T385" s="13"/>
      <c r="U385" s="13"/>
    </row>
    <row r="386" spans="1:21">
      <c r="A386" s="13"/>
      <c r="B386" s="46" t="s">
        <v>459</v>
      </c>
      <c r="C386" s="46">
        <v>294.45999999999998</v>
      </c>
      <c r="D386" s="49">
        <v>3.2199999999999999E-2</v>
      </c>
      <c r="E386" s="13"/>
      <c r="F386" s="13"/>
      <c r="G386" s="13"/>
      <c r="H386" s="46" t="s">
        <v>459</v>
      </c>
      <c r="I386" s="48">
        <v>20192.349999999999</v>
      </c>
      <c r="J386" s="49">
        <v>4.4000000000000003E-3</v>
      </c>
      <c r="K386" s="13"/>
      <c r="L386" s="13"/>
      <c r="M386" s="13"/>
      <c r="N386" s="13"/>
      <c r="O386" s="13"/>
      <c r="P386" s="13"/>
      <c r="Q386" s="13"/>
      <c r="R386" s="13"/>
      <c r="S386" s="13"/>
      <c r="T386" s="13"/>
      <c r="U386" s="13"/>
    </row>
    <row r="387" spans="1:21">
      <c r="A387" s="13"/>
      <c r="B387" s="46" t="s">
        <v>460</v>
      </c>
      <c r="C387" s="46">
        <v>285.27</v>
      </c>
      <c r="D387" s="49">
        <v>5.9999999999999995E-4</v>
      </c>
      <c r="E387" s="13"/>
      <c r="F387" s="13"/>
      <c r="G387" s="13"/>
      <c r="H387" s="46" t="s">
        <v>460</v>
      </c>
      <c r="I387" s="48">
        <v>20103.099999999999</v>
      </c>
      <c r="J387" s="49">
        <v>1.6000000000000001E-3</v>
      </c>
      <c r="K387" s="13"/>
      <c r="L387" s="13"/>
      <c r="M387" s="13"/>
      <c r="N387" s="13"/>
      <c r="O387" s="13"/>
      <c r="P387" s="13"/>
      <c r="Q387" s="13"/>
      <c r="R387" s="13"/>
      <c r="S387" s="13"/>
      <c r="T387" s="13"/>
      <c r="U387" s="13"/>
    </row>
    <row r="388" spans="1:21">
      <c r="A388" s="13"/>
      <c r="B388" s="46" t="s">
        <v>461</v>
      </c>
      <c r="C388" s="46">
        <v>285.08999999999997</v>
      </c>
      <c r="D388" s="49">
        <v>-0.01</v>
      </c>
      <c r="E388" s="13"/>
      <c r="F388" s="13"/>
      <c r="G388" s="13"/>
      <c r="H388" s="46" t="s">
        <v>461</v>
      </c>
      <c r="I388" s="48">
        <v>20070</v>
      </c>
      <c r="J388" s="49">
        <v>3.8E-3</v>
      </c>
      <c r="K388" s="13"/>
      <c r="L388" s="13"/>
      <c r="M388" s="13"/>
      <c r="N388" s="13"/>
      <c r="O388" s="13"/>
      <c r="P388" s="13"/>
      <c r="Q388" s="13"/>
      <c r="R388" s="13"/>
      <c r="S388" s="13"/>
      <c r="T388" s="13"/>
      <c r="U388" s="13"/>
    </row>
    <row r="389" spans="1:21">
      <c r="A389" s="13"/>
      <c r="B389" s="47">
        <v>45269</v>
      </c>
      <c r="C389" s="46">
        <v>287.97000000000003</v>
      </c>
      <c r="D389" s="49">
        <v>-5.2699999999999997E-2</v>
      </c>
      <c r="E389" s="13"/>
      <c r="F389" s="13"/>
      <c r="G389" s="13"/>
      <c r="H389" s="47">
        <v>45269</v>
      </c>
      <c r="I389" s="48">
        <v>19993.2</v>
      </c>
      <c r="J389" s="49">
        <v>-2.0000000000000001E-4</v>
      </c>
      <c r="K389" s="13"/>
      <c r="L389" s="13"/>
      <c r="M389" s="13"/>
      <c r="N389" s="13"/>
      <c r="O389" s="13"/>
      <c r="P389" s="13"/>
      <c r="Q389" s="13"/>
      <c r="R389" s="13"/>
      <c r="S389" s="13"/>
      <c r="T389" s="13"/>
      <c r="U389" s="13"/>
    </row>
    <row r="390" spans="1:21">
      <c r="A390" s="13"/>
      <c r="B390" s="47">
        <v>45239</v>
      </c>
      <c r="C390" s="46">
        <v>303.99</v>
      </c>
      <c r="D390" s="49">
        <v>2.8E-3</v>
      </c>
      <c r="E390" s="13"/>
      <c r="F390" s="13"/>
      <c r="G390" s="13"/>
      <c r="H390" s="47">
        <v>45239</v>
      </c>
      <c r="I390" s="48">
        <v>19996.349999999999</v>
      </c>
      <c r="J390" s="49">
        <v>8.8999999999999999E-3</v>
      </c>
      <c r="K390" s="13"/>
      <c r="L390" s="13"/>
      <c r="M390" s="13"/>
      <c r="N390" s="13"/>
      <c r="O390" s="13"/>
      <c r="P390" s="13"/>
      <c r="Q390" s="13"/>
      <c r="R390" s="13"/>
      <c r="S390" s="13"/>
      <c r="T390" s="13"/>
      <c r="U390" s="13"/>
    </row>
    <row r="391" spans="1:21">
      <c r="A391" s="13"/>
      <c r="B391" s="47">
        <v>45147</v>
      </c>
      <c r="C391" s="46">
        <v>303.14999999999998</v>
      </c>
      <c r="D391" s="49">
        <v>2.2499999999999999E-2</v>
      </c>
      <c r="E391" s="13"/>
      <c r="F391" s="13"/>
      <c r="G391" s="13"/>
      <c r="H391" s="47">
        <v>45147</v>
      </c>
      <c r="I391" s="48">
        <v>19819.95</v>
      </c>
      <c r="J391" s="49">
        <v>4.7000000000000002E-3</v>
      </c>
      <c r="K391" s="13"/>
      <c r="L391" s="13"/>
      <c r="M391" s="13"/>
      <c r="N391" s="13"/>
      <c r="O391" s="13"/>
      <c r="P391" s="13"/>
      <c r="Q391" s="13"/>
      <c r="R391" s="13"/>
      <c r="S391" s="13"/>
      <c r="T391" s="13"/>
      <c r="U391" s="13"/>
    </row>
    <row r="392" spans="1:21">
      <c r="A392" s="13"/>
      <c r="B392" s="47">
        <v>45116</v>
      </c>
      <c r="C392" s="46">
        <v>296.48</v>
      </c>
      <c r="D392" s="49">
        <v>2.5399999999999999E-2</v>
      </c>
      <c r="E392" s="13"/>
      <c r="F392" s="13"/>
      <c r="G392" s="13"/>
      <c r="H392" s="47">
        <v>45116</v>
      </c>
      <c r="I392" s="48">
        <v>19727.05</v>
      </c>
      <c r="J392" s="49">
        <v>5.8999999999999999E-3</v>
      </c>
      <c r="K392" s="13"/>
      <c r="L392" s="13"/>
      <c r="M392" s="13"/>
      <c r="N392" s="13"/>
      <c r="O392" s="13"/>
      <c r="P392" s="13"/>
      <c r="Q392" s="13"/>
      <c r="R392" s="13"/>
      <c r="S392" s="13"/>
      <c r="T392" s="13"/>
      <c r="U392" s="13"/>
    </row>
    <row r="393" spans="1:21">
      <c r="A393" s="13"/>
      <c r="B393" s="47">
        <v>45086</v>
      </c>
      <c r="C393" s="46">
        <v>289.13</v>
      </c>
      <c r="D393" s="49">
        <v>-1.0699999999999999E-2</v>
      </c>
      <c r="E393" s="13"/>
      <c r="F393" s="13"/>
      <c r="G393" s="13"/>
      <c r="H393" s="47">
        <v>45086</v>
      </c>
      <c r="I393" s="48">
        <v>19611.05</v>
      </c>
      <c r="J393" s="49">
        <v>1.8E-3</v>
      </c>
      <c r="K393" s="13"/>
      <c r="L393" s="13"/>
      <c r="M393" s="13"/>
      <c r="N393" s="13"/>
      <c r="O393" s="13"/>
      <c r="P393" s="13"/>
      <c r="Q393" s="13"/>
      <c r="R393" s="13"/>
      <c r="S393" s="13"/>
      <c r="T393" s="13"/>
      <c r="U393" s="13"/>
    </row>
    <row r="394" spans="1:21">
      <c r="A394" s="13"/>
      <c r="B394" s="47">
        <v>45055</v>
      </c>
      <c r="C394" s="46">
        <v>292.25</v>
      </c>
      <c r="D394" s="49">
        <v>2.1899999999999999E-2</v>
      </c>
      <c r="E394" s="13"/>
      <c r="F394" s="13"/>
      <c r="G394" s="13"/>
      <c r="H394" s="47">
        <v>45055</v>
      </c>
      <c r="I394" s="48">
        <v>19574.900000000001</v>
      </c>
      <c r="J394" s="49">
        <v>2.3999999999999998E-3</v>
      </c>
      <c r="K394" s="13"/>
      <c r="L394" s="13"/>
      <c r="M394" s="13"/>
      <c r="N394" s="13"/>
      <c r="O394" s="13"/>
      <c r="P394" s="13"/>
      <c r="Q394" s="13"/>
      <c r="R394" s="13"/>
      <c r="S394" s="13"/>
      <c r="T394" s="13"/>
      <c r="U394" s="13"/>
    </row>
    <row r="395" spans="1:21">
      <c r="A395" s="13"/>
      <c r="B395" s="47">
        <v>45025</v>
      </c>
      <c r="C395" s="46">
        <v>285.99</v>
      </c>
      <c r="D395" s="49">
        <v>1.8499999999999999E-2</v>
      </c>
      <c r="E395" s="13"/>
      <c r="F395" s="13"/>
      <c r="G395" s="13"/>
      <c r="H395" s="47">
        <v>45025</v>
      </c>
      <c r="I395" s="48">
        <v>19528.8</v>
      </c>
      <c r="J395" s="49">
        <v>4.7999999999999996E-3</v>
      </c>
      <c r="K395" s="13"/>
      <c r="L395" s="13"/>
      <c r="M395" s="13"/>
      <c r="N395" s="13"/>
      <c r="O395" s="13"/>
      <c r="P395" s="13"/>
      <c r="Q395" s="13"/>
      <c r="R395" s="13"/>
      <c r="S395" s="13"/>
      <c r="T395" s="13"/>
      <c r="U395" s="13"/>
    </row>
    <row r="396" spans="1:21">
      <c r="A396" s="13"/>
      <c r="B396" s="47">
        <v>44935</v>
      </c>
      <c r="C396" s="46">
        <v>280.79000000000002</v>
      </c>
      <c r="D396" s="49">
        <v>-1.43E-2</v>
      </c>
      <c r="E396" s="13"/>
      <c r="F396" s="13"/>
      <c r="G396" s="13"/>
      <c r="H396" s="47">
        <v>44935</v>
      </c>
      <c r="I396" s="48">
        <v>19435.3</v>
      </c>
      <c r="J396" s="49">
        <v>9.4000000000000004E-3</v>
      </c>
      <c r="K396" s="13"/>
      <c r="L396" s="13"/>
      <c r="M396" s="13"/>
      <c r="N396" s="13"/>
      <c r="O396" s="13"/>
      <c r="P396" s="13"/>
      <c r="Q396" s="13"/>
      <c r="R396" s="13"/>
      <c r="S396" s="13"/>
      <c r="T396" s="13"/>
      <c r="U396" s="13"/>
    </row>
    <row r="397" spans="1:21">
      <c r="A397" s="13"/>
      <c r="B397" s="46" t="s">
        <v>462</v>
      </c>
      <c r="C397" s="46">
        <v>284.85000000000002</v>
      </c>
      <c r="D397" s="49">
        <v>1.6500000000000001E-2</v>
      </c>
      <c r="E397" s="13"/>
      <c r="F397" s="13"/>
      <c r="G397" s="13"/>
      <c r="H397" s="46" t="s">
        <v>462</v>
      </c>
      <c r="I397" s="48">
        <v>19253.8</v>
      </c>
      <c r="J397" s="49">
        <v>-4.7999999999999996E-3</v>
      </c>
      <c r="K397" s="13"/>
      <c r="L397" s="13"/>
      <c r="M397" s="13"/>
      <c r="N397" s="13"/>
      <c r="O397" s="13"/>
      <c r="P397" s="13"/>
      <c r="Q397" s="13"/>
      <c r="R397" s="13"/>
      <c r="S397" s="13"/>
      <c r="T397" s="13"/>
      <c r="U397" s="13"/>
    </row>
    <row r="398" spans="1:21">
      <c r="A398" s="13"/>
      <c r="B398" s="46" t="s">
        <v>463</v>
      </c>
      <c r="C398" s="46">
        <v>280.24</v>
      </c>
      <c r="D398" s="49">
        <v>1.7100000000000001E-2</v>
      </c>
      <c r="E398" s="13"/>
      <c r="F398" s="13"/>
      <c r="G398" s="13"/>
      <c r="H398" s="46" t="s">
        <v>463</v>
      </c>
      <c r="I398" s="48">
        <v>19347.45</v>
      </c>
      <c r="J398" s="49">
        <v>2.0000000000000001E-4</v>
      </c>
      <c r="K398" s="13"/>
      <c r="L398" s="13"/>
      <c r="M398" s="13"/>
      <c r="N398" s="13"/>
      <c r="O398" s="13"/>
      <c r="P398" s="13"/>
      <c r="Q398" s="13"/>
      <c r="R398" s="13"/>
      <c r="S398" s="13"/>
      <c r="T398" s="13"/>
      <c r="U398" s="13"/>
    </row>
    <row r="399" spans="1:21">
      <c r="A399" s="13"/>
      <c r="B399" s="46" t="s">
        <v>464</v>
      </c>
      <c r="C399" s="46">
        <v>275.52999999999997</v>
      </c>
      <c r="D399" s="49">
        <v>1.1999999999999999E-3</v>
      </c>
      <c r="E399" s="13"/>
      <c r="F399" s="13"/>
      <c r="G399" s="13"/>
      <c r="H399" s="46" t="s">
        <v>464</v>
      </c>
      <c r="I399" s="48">
        <v>19342.650000000001</v>
      </c>
      <c r="J399" s="49">
        <v>1.9E-3</v>
      </c>
      <c r="K399" s="13"/>
      <c r="L399" s="13"/>
      <c r="M399" s="13"/>
      <c r="N399" s="13"/>
      <c r="O399" s="13"/>
      <c r="P399" s="13"/>
      <c r="Q399" s="13"/>
      <c r="R399" s="13"/>
      <c r="S399" s="13"/>
      <c r="T399" s="13"/>
      <c r="U399" s="13"/>
    </row>
    <row r="400" spans="1:21">
      <c r="A400" s="13"/>
      <c r="B400" s="46" t="s">
        <v>465</v>
      </c>
      <c r="C400" s="46">
        <v>275.20999999999998</v>
      </c>
      <c r="D400" s="49">
        <v>1.1999999999999999E-3</v>
      </c>
      <c r="E400" s="13"/>
      <c r="F400" s="13"/>
      <c r="G400" s="13"/>
      <c r="H400" s="46" t="s">
        <v>465</v>
      </c>
      <c r="I400" s="48">
        <v>19306.05</v>
      </c>
      <c r="J400" s="49">
        <v>2.0999999999999999E-3</v>
      </c>
      <c r="K400" s="13"/>
      <c r="L400" s="13"/>
      <c r="M400" s="13"/>
      <c r="N400" s="13"/>
      <c r="O400" s="13"/>
      <c r="P400" s="13"/>
      <c r="Q400" s="13"/>
      <c r="R400" s="13"/>
      <c r="S400" s="13"/>
      <c r="T400" s="13"/>
      <c r="U400" s="13"/>
    </row>
    <row r="401" spans="1:21">
      <c r="A401" s="13"/>
      <c r="B401" s="46" t="s">
        <v>466</v>
      </c>
      <c r="C401" s="46">
        <v>274.87</v>
      </c>
      <c r="D401" s="49">
        <v>5.4000000000000003E-3</v>
      </c>
      <c r="E401" s="13"/>
      <c r="F401" s="13"/>
      <c r="G401" s="13"/>
      <c r="H401" s="46" t="s">
        <v>466</v>
      </c>
      <c r="I401" s="48">
        <v>19265.8</v>
      </c>
      <c r="J401" s="49">
        <v>-6.1999999999999998E-3</v>
      </c>
      <c r="K401" s="13"/>
      <c r="L401" s="13"/>
      <c r="M401" s="13"/>
      <c r="N401" s="13"/>
      <c r="O401" s="13"/>
      <c r="P401" s="13"/>
      <c r="Q401" s="13"/>
      <c r="R401" s="13"/>
      <c r="S401" s="13"/>
      <c r="T401" s="13"/>
      <c r="U401" s="13"/>
    </row>
    <row r="402" spans="1:21">
      <c r="A402" s="13"/>
      <c r="B402" s="46" t="s">
        <v>467</v>
      </c>
      <c r="C402" s="46">
        <v>273.39999999999998</v>
      </c>
      <c r="D402" s="49">
        <v>4.4999999999999997E-3</v>
      </c>
      <c r="E402" s="13"/>
      <c r="F402" s="13"/>
      <c r="G402" s="13"/>
      <c r="H402" s="46" t="s">
        <v>467</v>
      </c>
      <c r="I402" s="48">
        <v>19386.7</v>
      </c>
      <c r="J402" s="49">
        <v>-2.8999999999999998E-3</v>
      </c>
      <c r="K402" s="13"/>
      <c r="L402" s="13"/>
      <c r="M402" s="13"/>
      <c r="N402" s="13"/>
      <c r="O402" s="13"/>
      <c r="P402" s="13"/>
      <c r="Q402" s="13"/>
      <c r="R402" s="13"/>
      <c r="S402" s="13"/>
      <c r="T402" s="13"/>
      <c r="U402" s="13"/>
    </row>
    <row r="403" spans="1:21">
      <c r="A403" s="13"/>
      <c r="B403" s="46" t="s">
        <v>468</v>
      </c>
      <c r="C403" s="46">
        <v>272.17</v>
      </c>
      <c r="D403" s="49">
        <v>1.8599999999999998E-2</v>
      </c>
      <c r="E403" s="13"/>
      <c r="F403" s="13"/>
      <c r="G403" s="13"/>
      <c r="H403" s="46" t="s">
        <v>468</v>
      </c>
      <c r="I403" s="48">
        <v>19444</v>
      </c>
      <c r="J403" s="49">
        <v>2.5000000000000001E-3</v>
      </c>
      <c r="K403" s="13"/>
      <c r="L403" s="13"/>
      <c r="M403" s="13"/>
      <c r="N403" s="13"/>
      <c r="O403" s="13"/>
      <c r="P403" s="13"/>
      <c r="Q403" s="13"/>
      <c r="R403" s="13"/>
      <c r="S403" s="13"/>
      <c r="T403" s="13"/>
      <c r="U403" s="13"/>
    </row>
    <row r="404" spans="1:21">
      <c r="A404" s="13"/>
      <c r="B404" s="46" t="s">
        <v>469</v>
      </c>
      <c r="C404" s="46">
        <v>267.19</v>
      </c>
      <c r="D404" s="49">
        <v>-1E-3</v>
      </c>
      <c r="E404" s="13"/>
      <c r="F404" s="13"/>
      <c r="G404" s="13"/>
      <c r="H404" s="46" t="s">
        <v>469</v>
      </c>
      <c r="I404" s="48">
        <v>19396.45</v>
      </c>
      <c r="J404" s="49">
        <v>1E-4</v>
      </c>
      <c r="K404" s="13"/>
      <c r="L404" s="13"/>
      <c r="M404" s="13"/>
      <c r="N404" s="13"/>
      <c r="O404" s="13"/>
      <c r="P404" s="13"/>
      <c r="Q404" s="13"/>
      <c r="R404" s="13"/>
      <c r="S404" s="13"/>
      <c r="T404" s="13"/>
      <c r="U404" s="13"/>
    </row>
    <row r="405" spans="1:21">
      <c r="A405" s="13"/>
      <c r="B405" s="46" t="s">
        <v>470</v>
      </c>
      <c r="C405" s="46">
        <v>267.45999999999998</v>
      </c>
      <c r="D405" s="49">
        <v>5.0000000000000001E-3</v>
      </c>
      <c r="E405" s="13"/>
      <c r="F405" s="13"/>
      <c r="G405" s="13"/>
      <c r="H405" s="46" t="s">
        <v>470</v>
      </c>
      <c r="I405" s="48">
        <v>19393.599999999999</v>
      </c>
      <c r="J405" s="49">
        <v>4.3E-3</v>
      </c>
      <c r="K405" s="13"/>
      <c r="L405" s="13"/>
      <c r="M405" s="13"/>
      <c r="N405" s="13"/>
      <c r="O405" s="13"/>
      <c r="P405" s="13"/>
      <c r="Q405" s="13"/>
      <c r="R405" s="13"/>
      <c r="S405" s="13"/>
      <c r="T405" s="13"/>
      <c r="U405" s="13"/>
    </row>
    <row r="406" spans="1:21">
      <c r="A406" s="13"/>
      <c r="B406" s="46" t="s">
        <v>471</v>
      </c>
      <c r="C406" s="46">
        <v>266.14</v>
      </c>
      <c r="D406" s="49">
        <v>3.5000000000000001E-3</v>
      </c>
      <c r="E406" s="13"/>
      <c r="F406" s="13"/>
      <c r="G406" s="13"/>
      <c r="H406" s="46" t="s">
        <v>471</v>
      </c>
      <c r="I406" s="48">
        <v>19310.150000000001</v>
      </c>
      <c r="J406" s="49">
        <v>-2.8E-3</v>
      </c>
      <c r="K406" s="13"/>
      <c r="L406" s="13"/>
      <c r="M406" s="13"/>
      <c r="N406" s="13"/>
      <c r="O406" s="13"/>
      <c r="P406" s="13"/>
      <c r="Q406" s="13"/>
      <c r="R406" s="13"/>
      <c r="S406" s="13"/>
      <c r="T406" s="13"/>
      <c r="U406" s="13"/>
    </row>
    <row r="407" spans="1:21">
      <c r="A407" s="13"/>
      <c r="B407" s="46" t="s">
        <v>472</v>
      </c>
      <c r="C407" s="46">
        <v>265.20999999999998</v>
      </c>
      <c r="D407" s="49">
        <v>-1.29E-2</v>
      </c>
      <c r="E407" s="13"/>
      <c r="F407" s="13"/>
      <c r="G407" s="13"/>
      <c r="H407" s="46" t="s">
        <v>472</v>
      </c>
      <c r="I407" s="48">
        <v>19365.25</v>
      </c>
      <c r="J407" s="49">
        <v>-5.1000000000000004E-3</v>
      </c>
      <c r="K407" s="13"/>
      <c r="L407" s="13"/>
      <c r="M407" s="13"/>
      <c r="N407" s="13"/>
      <c r="O407" s="13"/>
      <c r="P407" s="13"/>
      <c r="Q407" s="13"/>
      <c r="R407" s="13"/>
      <c r="S407" s="13"/>
      <c r="T407" s="13"/>
      <c r="U407" s="13"/>
    </row>
    <row r="408" spans="1:21">
      <c r="A408" s="13"/>
      <c r="B408" s="46" t="s">
        <v>473</v>
      </c>
      <c r="C408" s="46">
        <v>268.68</v>
      </c>
      <c r="D408" s="49">
        <v>-6.1999999999999998E-3</v>
      </c>
      <c r="E408" s="13"/>
      <c r="F408" s="13"/>
      <c r="G408" s="13"/>
      <c r="H408" s="46" t="s">
        <v>473</v>
      </c>
      <c r="I408" s="48">
        <v>19465</v>
      </c>
      <c r="J408" s="49">
        <v>1.6000000000000001E-3</v>
      </c>
      <c r="K408" s="13"/>
      <c r="L408" s="13"/>
      <c r="M408" s="13"/>
      <c r="N408" s="13"/>
      <c r="O408" s="13"/>
      <c r="P408" s="13"/>
      <c r="Q408" s="13"/>
      <c r="R408" s="13"/>
      <c r="S408" s="13"/>
      <c r="T408" s="13"/>
      <c r="U408" s="13"/>
    </row>
    <row r="409" spans="1:21">
      <c r="A409" s="13"/>
      <c r="B409" s="46" t="s">
        <v>474</v>
      </c>
      <c r="C409" s="46">
        <v>270.35000000000002</v>
      </c>
      <c r="D409" s="49">
        <v>-8.0999999999999996E-3</v>
      </c>
      <c r="E409" s="13"/>
      <c r="F409" s="13"/>
      <c r="G409" s="13"/>
      <c r="H409" s="46" t="s">
        <v>474</v>
      </c>
      <c r="I409" s="48">
        <v>19434.55</v>
      </c>
      <c r="J409" s="49">
        <v>2.9999999999999997E-4</v>
      </c>
      <c r="K409" s="13"/>
      <c r="L409" s="13"/>
      <c r="M409" s="13"/>
      <c r="N409" s="13"/>
      <c r="O409" s="13"/>
      <c r="P409" s="13"/>
      <c r="Q409" s="13"/>
      <c r="R409" s="13"/>
      <c r="S409" s="13"/>
      <c r="T409" s="13"/>
      <c r="U409" s="13"/>
    </row>
    <row r="410" spans="1:21">
      <c r="A410" s="13"/>
      <c r="B410" s="47">
        <v>45238</v>
      </c>
      <c r="C410" s="46">
        <v>272.57</v>
      </c>
      <c r="D410" s="49">
        <v>1E-4</v>
      </c>
      <c r="E410" s="13"/>
      <c r="F410" s="13"/>
      <c r="G410" s="13"/>
      <c r="H410" s="47">
        <v>45238</v>
      </c>
      <c r="I410" s="48">
        <v>19428.3</v>
      </c>
      <c r="J410" s="49">
        <v>-5.8999999999999999E-3</v>
      </c>
      <c r="K410" s="13"/>
      <c r="L410" s="13"/>
      <c r="M410" s="13"/>
      <c r="N410" s="13"/>
      <c r="O410" s="13"/>
      <c r="P410" s="13"/>
      <c r="Q410" s="13"/>
      <c r="R410" s="13"/>
      <c r="S410" s="13"/>
      <c r="T410" s="13"/>
      <c r="U410" s="13"/>
    </row>
    <row r="411" spans="1:21">
      <c r="A411" s="13"/>
      <c r="B411" s="47">
        <v>45207</v>
      </c>
      <c r="C411" s="46">
        <v>272.54000000000002</v>
      </c>
      <c r="D411" s="49">
        <v>-9.2999999999999992E-3</v>
      </c>
      <c r="E411" s="13"/>
      <c r="F411" s="13"/>
      <c r="G411" s="13"/>
      <c r="H411" s="47">
        <v>45207</v>
      </c>
      <c r="I411" s="48">
        <v>19543.099999999999</v>
      </c>
      <c r="J411" s="49">
        <v>-4.5999999999999999E-3</v>
      </c>
      <c r="K411" s="13"/>
      <c r="L411" s="13"/>
      <c r="M411" s="13"/>
      <c r="N411" s="13"/>
      <c r="O411" s="13"/>
      <c r="P411" s="13"/>
      <c r="Q411" s="13"/>
      <c r="R411" s="13"/>
      <c r="S411" s="13"/>
      <c r="T411" s="13"/>
      <c r="U411" s="13"/>
    </row>
    <row r="412" spans="1:21">
      <c r="A412" s="13"/>
      <c r="B412" s="47">
        <v>45177</v>
      </c>
      <c r="C412" s="46">
        <v>275.08999999999997</v>
      </c>
      <c r="D412" s="49">
        <v>-8.0000000000000004E-4</v>
      </c>
      <c r="E412" s="13"/>
      <c r="F412" s="13"/>
      <c r="G412" s="13"/>
      <c r="H412" s="47">
        <v>45177</v>
      </c>
      <c r="I412" s="48">
        <v>19632.55</v>
      </c>
      <c r="J412" s="49">
        <v>3.2000000000000002E-3</v>
      </c>
      <c r="K412" s="13"/>
      <c r="L412" s="13"/>
      <c r="M412" s="13"/>
      <c r="N412" s="13"/>
      <c r="O412" s="13"/>
      <c r="P412" s="13"/>
      <c r="Q412" s="13"/>
      <c r="R412" s="13"/>
      <c r="S412" s="13"/>
      <c r="T412" s="13"/>
      <c r="U412" s="13"/>
    </row>
    <row r="413" spans="1:21">
      <c r="A413" s="13"/>
      <c r="B413" s="47">
        <v>45146</v>
      </c>
      <c r="C413" s="46">
        <v>275.3</v>
      </c>
      <c r="D413" s="49">
        <v>-5.5999999999999999E-3</v>
      </c>
      <c r="E413" s="13"/>
      <c r="F413" s="13"/>
      <c r="G413" s="13"/>
      <c r="H413" s="47">
        <v>45146</v>
      </c>
      <c r="I413" s="48">
        <v>19570.849999999999</v>
      </c>
      <c r="J413" s="49">
        <v>-1.2999999999999999E-3</v>
      </c>
      <c r="K413" s="13"/>
      <c r="L413" s="13"/>
      <c r="M413" s="13"/>
      <c r="N413" s="13"/>
      <c r="O413" s="13"/>
      <c r="P413" s="13"/>
      <c r="Q413" s="13"/>
      <c r="R413" s="13"/>
      <c r="S413" s="13"/>
      <c r="T413" s="13"/>
      <c r="U413" s="13"/>
    </row>
    <row r="414" spans="1:21">
      <c r="A414" s="13"/>
      <c r="B414" s="47">
        <v>45115</v>
      </c>
      <c r="C414" s="46">
        <v>276.83999999999997</v>
      </c>
      <c r="D414" s="49">
        <v>1.67E-2</v>
      </c>
      <c r="E414" s="13"/>
      <c r="F414" s="13"/>
      <c r="G414" s="13"/>
      <c r="H414" s="47">
        <v>45115</v>
      </c>
      <c r="I414" s="48">
        <v>19597.3</v>
      </c>
      <c r="J414" s="49">
        <v>4.1000000000000003E-3</v>
      </c>
      <c r="K414" s="13"/>
      <c r="L414" s="13"/>
      <c r="M414" s="13"/>
      <c r="N414" s="13"/>
      <c r="O414" s="13"/>
      <c r="P414" s="13"/>
      <c r="Q414" s="13"/>
      <c r="R414" s="13"/>
      <c r="S414" s="13"/>
      <c r="T414" s="13"/>
      <c r="U414" s="13"/>
    </row>
    <row r="415" spans="1:21">
      <c r="A415" s="13"/>
      <c r="B415" s="47">
        <v>45024</v>
      </c>
      <c r="C415" s="46">
        <v>272.3</v>
      </c>
      <c r="D415" s="49">
        <v>2.0799999999999999E-2</v>
      </c>
      <c r="E415" s="13"/>
      <c r="F415" s="13"/>
      <c r="G415" s="13"/>
      <c r="H415" s="47">
        <v>45024</v>
      </c>
      <c r="I415" s="48">
        <v>19517</v>
      </c>
      <c r="J415" s="49">
        <v>7.0000000000000001E-3</v>
      </c>
      <c r="K415" s="13"/>
      <c r="L415" s="13"/>
      <c r="M415" s="13"/>
      <c r="N415" s="13"/>
      <c r="O415" s="13"/>
      <c r="P415" s="13"/>
      <c r="Q415" s="13"/>
      <c r="R415" s="13"/>
      <c r="S415" s="13"/>
      <c r="T415" s="13"/>
      <c r="U415" s="13"/>
    </row>
    <row r="416" spans="1:21">
      <c r="A416" s="13"/>
      <c r="B416" s="47">
        <v>44993</v>
      </c>
      <c r="C416" s="46">
        <v>266.76</v>
      </c>
      <c r="D416" s="49">
        <v>-3.3999999999999998E-3</v>
      </c>
      <c r="E416" s="13"/>
      <c r="F416" s="13"/>
      <c r="G416" s="13"/>
      <c r="H416" s="47">
        <v>44993</v>
      </c>
      <c r="I416" s="48">
        <v>19381.650000000001</v>
      </c>
      <c r="J416" s="49">
        <v>-7.4000000000000003E-3</v>
      </c>
      <c r="K416" s="13"/>
      <c r="L416" s="13"/>
      <c r="M416" s="13"/>
      <c r="N416" s="13"/>
      <c r="O416" s="13"/>
      <c r="P416" s="13"/>
      <c r="Q416" s="13"/>
      <c r="R416" s="13"/>
      <c r="S416" s="13"/>
      <c r="T416" s="13"/>
      <c r="U416" s="13"/>
    </row>
    <row r="417" spans="1:21">
      <c r="A417" s="13"/>
      <c r="B417" s="47">
        <v>44965</v>
      </c>
      <c r="C417" s="46">
        <v>267.66000000000003</v>
      </c>
      <c r="D417" s="49">
        <v>-1.2999999999999999E-2</v>
      </c>
      <c r="E417" s="13"/>
      <c r="F417" s="13"/>
      <c r="G417" s="13"/>
      <c r="H417" s="47">
        <v>44965</v>
      </c>
      <c r="I417" s="48">
        <v>19526.55</v>
      </c>
      <c r="J417" s="49">
        <v>-1.0500000000000001E-2</v>
      </c>
      <c r="K417" s="13"/>
      <c r="L417" s="13"/>
      <c r="M417" s="13"/>
      <c r="N417" s="13"/>
      <c r="O417" s="13"/>
      <c r="P417" s="13"/>
      <c r="Q417" s="13"/>
      <c r="R417" s="13"/>
      <c r="S417" s="13"/>
      <c r="T417" s="13"/>
      <c r="U417" s="13"/>
    </row>
    <row r="418" spans="1:21">
      <c r="A418" s="13"/>
      <c r="B418" s="47">
        <v>44934</v>
      </c>
      <c r="C418" s="46">
        <v>271.19</v>
      </c>
      <c r="D418" s="49">
        <v>-1.26E-2</v>
      </c>
      <c r="E418" s="13"/>
      <c r="F418" s="13"/>
      <c r="G418" s="13"/>
      <c r="H418" s="47">
        <v>44934</v>
      </c>
      <c r="I418" s="48">
        <v>19733.55</v>
      </c>
      <c r="J418" s="49">
        <v>-1E-3</v>
      </c>
      <c r="K418" s="13"/>
      <c r="L418" s="13"/>
      <c r="M418" s="13"/>
      <c r="N418" s="13"/>
      <c r="O418" s="13"/>
      <c r="P418" s="13"/>
      <c r="Q418" s="13"/>
      <c r="R418" s="13"/>
      <c r="S418" s="13"/>
      <c r="T418" s="13"/>
      <c r="U418" s="13"/>
    </row>
    <row r="419" spans="1:21">
      <c r="A419" s="13"/>
      <c r="B419" s="46" t="s">
        <v>475</v>
      </c>
      <c r="C419" s="46">
        <v>274.64999999999998</v>
      </c>
      <c r="D419" s="49">
        <v>-1.0999999999999999E-2</v>
      </c>
      <c r="E419" s="13"/>
      <c r="F419" s="13"/>
      <c r="G419" s="13"/>
      <c r="H419" s="46" t="s">
        <v>475</v>
      </c>
      <c r="I419" s="48">
        <v>19753.8</v>
      </c>
      <c r="J419" s="49">
        <v>5.4999999999999997E-3</v>
      </c>
      <c r="K419" s="13"/>
      <c r="L419" s="13"/>
      <c r="M419" s="13"/>
      <c r="N419" s="13"/>
      <c r="O419" s="13"/>
      <c r="P419" s="13"/>
      <c r="Q419" s="13"/>
      <c r="R419" s="13"/>
      <c r="S419" s="13"/>
      <c r="T419" s="13"/>
      <c r="U419" s="13"/>
    </row>
    <row r="420" spans="1:21">
      <c r="A420" s="13"/>
      <c r="B420" s="46" t="s">
        <v>476</v>
      </c>
      <c r="C420" s="46">
        <v>277.70999999999998</v>
      </c>
      <c r="D420" s="49">
        <v>1.67E-2</v>
      </c>
      <c r="E420" s="13"/>
      <c r="F420" s="13"/>
      <c r="G420" s="13"/>
      <c r="H420" s="46" t="s">
        <v>476</v>
      </c>
      <c r="I420" s="48">
        <v>19646.05</v>
      </c>
      <c r="J420" s="49">
        <v>-6.9999999999999999E-4</v>
      </c>
      <c r="K420" s="13"/>
      <c r="L420" s="13"/>
      <c r="M420" s="13"/>
      <c r="N420" s="13"/>
      <c r="O420" s="13"/>
      <c r="P420" s="13"/>
      <c r="Q420" s="13"/>
      <c r="R420" s="13"/>
      <c r="S420" s="13"/>
      <c r="T420" s="13"/>
      <c r="U420" s="13"/>
    </row>
    <row r="421" spans="1:21">
      <c r="A421" s="13"/>
      <c r="B421" s="46" t="s">
        <v>477</v>
      </c>
      <c r="C421" s="46">
        <v>273.14999999999998</v>
      </c>
      <c r="D421" s="49">
        <v>-1.3299999999999999E-2</v>
      </c>
      <c r="E421" s="13"/>
      <c r="F421" s="13"/>
      <c r="G421" s="13"/>
      <c r="H421" s="46" t="s">
        <v>477</v>
      </c>
      <c r="I421" s="48">
        <v>19659.900000000001</v>
      </c>
      <c r="J421" s="49">
        <v>-6.0000000000000001E-3</v>
      </c>
      <c r="K421" s="13"/>
      <c r="L421" s="13"/>
      <c r="M421" s="13"/>
      <c r="N421" s="13"/>
      <c r="O421" s="13"/>
      <c r="P421" s="13"/>
      <c r="Q421" s="13"/>
      <c r="R421" s="13"/>
      <c r="S421" s="13"/>
      <c r="T421" s="13"/>
      <c r="U421" s="13"/>
    </row>
    <row r="422" spans="1:21">
      <c r="A422" s="13"/>
      <c r="B422" s="46" t="s">
        <v>478</v>
      </c>
      <c r="C422" s="46">
        <v>276.83999999999997</v>
      </c>
      <c r="D422" s="49">
        <v>-5.3E-3</v>
      </c>
      <c r="E422" s="13"/>
      <c r="F422" s="13"/>
      <c r="G422" s="13"/>
      <c r="H422" s="46" t="s">
        <v>478</v>
      </c>
      <c r="I422" s="48">
        <v>19778.3</v>
      </c>
      <c r="J422" s="49">
        <v>5.0000000000000001E-3</v>
      </c>
      <c r="K422" s="13"/>
      <c r="L422" s="13"/>
      <c r="M422" s="13"/>
      <c r="N422" s="13"/>
      <c r="O422" s="13"/>
      <c r="P422" s="13"/>
      <c r="Q422" s="13"/>
      <c r="R422" s="13"/>
      <c r="S422" s="13"/>
      <c r="T422" s="13"/>
      <c r="U422" s="13"/>
    </row>
    <row r="423" spans="1:21">
      <c r="A423" s="13"/>
      <c r="B423" s="46" t="s">
        <v>479</v>
      </c>
      <c r="C423" s="46">
        <v>278.31</v>
      </c>
      <c r="D423" s="49">
        <v>-2.2499999999999999E-2</v>
      </c>
      <c r="E423" s="13"/>
      <c r="F423" s="13"/>
      <c r="G423" s="13"/>
      <c r="H423" s="46" t="s">
        <v>479</v>
      </c>
      <c r="I423" s="48">
        <v>19680.599999999999</v>
      </c>
      <c r="J423" s="49">
        <v>4.0000000000000002E-4</v>
      </c>
      <c r="K423" s="13"/>
      <c r="L423" s="13"/>
      <c r="M423" s="13"/>
      <c r="N423" s="13"/>
      <c r="O423" s="13"/>
      <c r="P423" s="13"/>
      <c r="Q423" s="13"/>
      <c r="R423" s="13"/>
      <c r="S423" s="13"/>
      <c r="T423" s="13"/>
      <c r="U423" s="13"/>
    </row>
    <row r="424" spans="1:21">
      <c r="A424" s="13"/>
      <c r="B424" s="46" t="s">
        <v>480</v>
      </c>
      <c r="C424" s="46">
        <v>284.73</v>
      </c>
      <c r="D424" s="49">
        <v>1.1999999999999999E-3</v>
      </c>
      <c r="E424" s="13"/>
      <c r="F424" s="13"/>
      <c r="G424" s="13"/>
      <c r="H424" s="46" t="s">
        <v>480</v>
      </c>
      <c r="I424" s="48">
        <v>19672.349999999999</v>
      </c>
      <c r="J424" s="49">
        <v>-3.7000000000000002E-3</v>
      </c>
      <c r="K424" s="13"/>
      <c r="L424" s="13"/>
      <c r="M424" s="13"/>
      <c r="N424" s="13"/>
      <c r="O424" s="13"/>
      <c r="P424" s="13"/>
      <c r="Q424" s="13"/>
      <c r="R424" s="13"/>
      <c r="S424" s="13"/>
      <c r="T424" s="13"/>
      <c r="U424" s="13"/>
    </row>
    <row r="425" spans="1:21">
      <c r="A425" s="13"/>
      <c r="B425" s="46" t="s">
        <v>481</v>
      </c>
      <c r="C425" s="46">
        <v>284.39999999999998</v>
      </c>
      <c r="D425" s="49">
        <v>-4.4000000000000003E-3</v>
      </c>
      <c r="E425" s="13"/>
      <c r="F425" s="13"/>
      <c r="G425" s="13"/>
      <c r="H425" s="46" t="s">
        <v>481</v>
      </c>
      <c r="I425" s="48">
        <v>19745</v>
      </c>
      <c r="J425" s="49">
        <v>-1.17E-2</v>
      </c>
      <c r="K425" s="13"/>
      <c r="L425" s="13"/>
      <c r="M425" s="13"/>
      <c r="N425" s="13"/>
      <c r="O425" s="13"/>
      <c r="P425" s="13"/>
      <c r="Q425" s="13"/>
      <c r="R425" s="13"/>
      <c r="S425" s="13"/>
      <c r="T425" s="13"/>
      <c r="U425" s="13"/>
    </row>
    <row r="426" spans="1:21">
      <c r="A426" s="13"/>
      <c r="B426" s="46" t="s">
        <v>482</v>
      </c>
      <c r="C426" s="46">
        <v>285.66000000000003</v>
      </c>
      <c r="D426" s="49">
        <v>2.0999999999999999E-3</v>
      </c>
      <c r="E426" s="13"/>
      <c r="F426" s="13"/>
      <c r="G426" s="13"/>
      <c r="H426" s="46" t="s">
        <v>482</v>
      </c>
      <c r="I426" s="48">
        <v>19979.150000000001</v>
      </c>
      <c r="J426" s="49">
        <v>7.4000000000000003E-3</v>
      </c>
      <c r="K426" s="13"/>
      <c r="L426" s="13"/>
      <c r="M426" s="13"/>
      <c r="N426" s="13"/>
      <c r="O426" s="13"/>
      <c r="P426" s="13"/>
      <c r="Q426" s="13"/>
      <c r="R426" s="13"/>
      <c r="S426" s="13"/>
      <c r="T426" s="13"/>
      <c r="U426" s="13"/>
    </row>
    <row r="427" spans="1:21">
      <c r="A427" s="13"/>
      <c r="B427" s="46" t="s">
        <v>483</v>
      </c>
      <c r="C427" s="46">
        <v>285.07</v>
      </c>
      <c r="D427" s="49">
        <v>1.66E-2</v>
      </c>
      <c r="E427" s="13"/>
      <c r="F427" s="13"/>
      <c r="G427" s="13"/>
      <c r="H427" s="46" t="s">
        <v>483</v>
      </c>
      <c r="I427" s="48">
        <v>19833.150000000001</v>
      </c>
      <c r="J427" s="49">
        <v>4.1999999999999997E-3</v>
      </c>
      <c r="K427" s="13"/>
      <c r="L427" s="13"/>
      <c r="M427" s="13"/>
      <c r="N427" s="13"/>
      <c r="O427" s="13"/>
      <c r="P427" s="13"/>
      <c r="Q427" s="13"/>
      <c r="R427" s="13"/>
      <c r="S427" s="13"/>
      <c r="T427" s="13"/>
      <c r="U427" s="13"/>
    </row>
    <row r="428" spans="1:21">
      <c r="A428" s="13"/>
      <c r="B428" s="46" t="s">
        <v>484</v>
      </c>
      <c r="C428" s="46">
        <v>280.41000000000003</v>
      </c>
      <c r="D428" s="49">
        <v>-7.0000000000000001E-3</v>
      </c>
      <c r="E428" s="13"/>
      <c r="F428" s="13"/>
      <c r="G428" s="13"/>
      <c r="H428" s="46" t="s">
        <v>484</v>
      </c>
      <c r="I428" s="48">
        <v>19749.25</v>
      </c>
      <c r="J428" s="49">
        <v>1.9E-3</v>
      </c>
      <c r="K428" s="13"/>
      <c r="L428" s="13"/>
      <c r="M428" s="13"/>
      <c r="N428" s="13"/>
      <c r="O428" s="13"/>
      <c r="P428" s="13"/>
      <c r="Q428" s="13"/>
      <c r="R428" s="13"/>
      <c r="S428" s="13"/>
      <c r="T428" s="13"/>
      <c r="U428" s="13"/>
    </row>
    <row r="429" spans="1:21">
      <c r="A429" s="13"/>
      <c r="B429" s="46" t="s">
        <v>485</v>
      </c>
      <c r="C429" s="46">
        <v>282.39999999999998</v>
      </c>
      <c r="D429" s="49">
        <v>4.4000000000000003E-3</v>
      </c>
      <c r="E429" s="13"/>
      <c r="F429" s="13"/>
      <c r="G429" s="13"/>
      <c r="H429" s="46" t="s">
        <v>485</v>
      </c>
      <c r="I429" s="48">
        <v>19711.45</v>
      </c>
      <c r="J429" s="49">
        <v>7.4999999999999997E-3</v>
      </c>
      <c r="K429" s="13"/>
      <c r="L429" s="13"/>
      <c r="M429" s="13"/>
      <c r="N429" s="13"/>
      <c r="O429" s="13"/>
      <c r="P429" s="13"/>
      <c r="Q429" s="13"/>
      <c r="R429" s="13"/>
      <c r="S429" s="13"/>
      <c r="T429" s="13"/>
      <c r="U429" s="13"/>
    </row>
    <row r="430" spans="1:21">
      <c r="A430" s="13"/>
      <c r="B430" s="46" t="s">
        <v>486</v>
      </c>
      <c r="C430" s="46">
        <v>281.16000000000003</v>
      </c>
      <c r="D430" s="49">
        <v>1.7399999999999999E-2</v>
      </c>
      <c r="E430" s="13"/>
      <c r="F430" s="13"/>
      <c r="G430" s="13"/>
      <c r="H430" s="46" t="s">
        <v>486</v>
      </c>
      <c r="I430" s="48">
        <v>19564.5</v>
      </c>
      <c r="J430" s="49">
        <v>7.7999999999999996E-3</v>
      </c>
      <c r="K430" s="13"/>
      <c r="L430" s="13"/>
      <c r="M430" s="13"/>
      <c r="N430" s="13"/>
      <c r="O430" s="13"/>
      <c r="P430" s="13"/>
      <c r="Q430" s="13"/>
      <c r="R430" s="13"/>
      <c r="S430" s="13"/>
      <c r="T430" s="13"/>
      <c r="U430" s="13"/>
    </row>
    <row r="431" spans="1:21">
      <c r="A431" s="13"/>
      <c r="B431" s="46" t="s">
        <v>487</v>
      </c>
      <c r="C431" s="46">
        <v>276.36</v>
      </c>
      <c r="D431" s="49">
        <v>-6.6E-3</v>
      </c>
      <c r="E431" s="13"/>
      <c r="F431" s="13"/>
      <c r="G431" s="13"/>
      <c r="H431" s="46" t="s">
        <v>487</v>
      </c>
      <c r="I431" s="48">
        <v>19413.75</v>
      </c>
      <c r="J431" s="49">
        <v>1.5E-3</v>
      </c>
      <c r="K431" s="13"/>
      <c r="L431" s="13"/>
      <c r="M431" s="13"/>
      <c r="N431" s="13"/>
      <c r="O431" s="13"/>
      <c r="P431" s="13"/>
      <c r="Q431" s="13"/>
      <c r="R431" s="13"/>
      <c r="S431" s="13"/>
      <c r="T431" s="13"/>
      <c r="U431" s="13"/>
    </row>
    <row r="432" spans="1:21">
      <c r="A432" s="13"/>
      <c r="B432" s="47">
        <v>45267</v>
      </c>
      <c r="C432" s="46">
        <v>278.19</v>
      </c>
      <c r="D432" s="49">
        <v>8.3000000000000001E-3</v>
      </c>
      <c r="E432" s="13"/>
      <c r="F432" s="13"/>
      <c r="G432" s="13"/>
      <c r="H432" s="47">
        <v>45267</v>
      </c>
      <c r="I432" s="48">
        <v>19384.3</v>
      </c>
      <c r="J432" s="49">
        <v>-2.8E-3</v>
      </c>
      <c r="K432" s="13"/>
      <c r="L432" s="13"/>
      <c r="M432" s="13"/>
      <c r="N432" s="13"/>
      <c r="O432" s="13"/>
      <c r="P432" s="13"/>
      <c r="Q432" s="13"/>
      <c r="R432" s="13"/>
      <c r="S432" s="13"/>
      <c r="T432" s="13"/>
      <c r="U432" s="13"/>
    </row>
    <row r="433" spans="1:21">
      <c r="A433" s="13"/>
      <c r="B433" s="47">
        <v>45237</v>
      </c>
      <c r="C433" s="46">
        <v>275.89</v>
      </c>
      <c r="D433" s="49">
        <v>-1.3899999999999999E-2</v>
      </c>
      <c r="E433" s="13"/>
      <c r="F433" s="13"/>
      <c r="G433" s="13"/>
      <c r="H433" s="47">
        <v>45237</v>
      </c>
      <c r="I433" s="48">
        <v>19439.400000000001</v>
      </c>
      <c r="J433" s="49">
        <v>4.3E-3</v>
      </c>
      <c r="K433" s="13"/>
      <c r="L433" s="13"/>
      <c r="M433" s="13"/>
      <c r="N433" s="13"/>
      <c r="O433" s="13"/>
      <c r="P433" s="13"/>
      <c r="Q433" s="13"/>
      <c r="R433" s="13"/>
      <c r="S433" s="13"/>
      <c r="T433" s="13"/>
      <c r="U433" s="13"/>
    </row>
    <row r="434" spans="1:21">
      <c r="A434" s="13"/>
      <c r="B434" s="47">
        <v>45206</v>
      </c>
      <c r="C434" s="46">
        <v>279.77999999999997</v>
      </c>
      <c r="D434" s="49">
        <v>5.4999999999999997E-3</v>
      </c>
      <c r="E434" s="13"/>
      <c r="F434" s="13"/>
      <c r="G434" s="13"/>
      <c r="H434" s="47">
        <v>45206</v>
      </c>
      <c r="I434" s="48">
        <v>19355.900000000001</v>
      </c>
      <c r="J434" s="49">
        <v>1.1999999999999999E-3</v>
      </c>
      <c r="K434" s="13"/>
      <c r="L434" s="13"/>
      <c r="M434" s="13"/>
      <c r="N434" s="13"/>
      <c r="O434" s="13"/>
      <c r="P434" s="13"/>
      <c r="Q434" s="13"/>
      <c r="R434" s="13"/>
      <c r="S434" s="13"/>
      <c r="T434" s="13"/>
      <c r="U434" s="13"/>
    </row>
    <row r="435" spans="1:21">
      <c r="A435" s="13"/>
      <c r="B435" s="47">
        <v>45114</v>
      </c>
      <c r="C435" s="46">
        <v>278.26</v>
      </c>
      <c r="D435" s="49">
        <v>4.3E-3</v>
      </c>
      <c r="E435" s="13"/>
      <c r="F435" s="13"/>
      <c r="G435" s="13"/>
      <c r="H435" s="47">
        <v>45114</v>
      </c>
      <c r="I435" s="48">
        <v>19331.8</v>
      </c>
      <c r="J435" s="49">
        <v>-8.5000000000000006E-3</v>
      </c>
      <c r="K435" s="13"/>
      <c r="L435" s="13"/>
      <c r="M435" s="13"/>
      <c r="N435" s="13"/>
      <c r="O435" s="13"/>
      <c r="P435" s="13"/>
      <c r="Q435" s="13"/>
      <c r="R435" s="13"/>
      <c r="S435" s="13"/>
      <c r="T435" s="13"/>
      <c r="U435" s="13"/>
    </row>
    <row r="436" spans="1:21">
      <c r="A436" s="13"/>
      <c r="B436" s="47">
        <v>45084</v>
      </c>
      <c r="C436" s="46">
        <v>277.08</v>
      </c>
      <c r="D436" s="49">
        <v>-1.06E-2</v>
      </c>
      <c r="E436" s="13"/>
      <c r="F436" s="13"/>
      <c r="G436" s="13"/>
      <c r="H436" s="47">
        <v>45084</v>
      </c>
      <c r="I436" s="48">
        <v>19497.3</v>
      </c>
      <c r="J436" s="49">
        <v>5.1000000000000004E-3</v>
      </c>
      <c r="K436" s="13"/>
      <c r="L436" s="13"/>
      <c r="M436" s="13"/>
      <c r="N436" s="13"/>
      <c r="O436" s="13"/>
      <c r="P436" s="13"/>
      <c r="Q436" s="13"/>
      <c r="R436" s="13"/>
      <c r="S436" s="13"/>
      <c r="T436" s="13"/>
      <c r="U436" s="13"/>
    </row>
    <row r="437" spans="1:21">
      <c r="A437" s="13"/>
      <c r="B437" s="47">
        <v>45053</v>
      </c>
      <c r="C437" s="46">
        <v>280.06</v>
      </c>
      <c r="D437" s="49">
        <v>-2.8999999999999998E-3</v>
      </c>
      <c r="E437" s="13"/>
      <c r="F437" s="13"/>
      <c r="G437" s="13"/>
      <c r="H437" s="47">
        <v>45053</v>
      </c>
      <c r="I437" s="48">
        <v>19398.5</v>
      </c>
      <c r="J437" s="49">
        <v>5.0000000000000001E-4</v>
      </c>
      <c r="K437" s="13"/>
      <c r="L437" s="13"/>
      <c r="M437" s="13"/>
      <c r="N437" s="13"/>
      <c r="O437" s="13"/>
      <c r="P437" s="13"/>
      <c r="Q437" s="13"/>
      <c r="R437" s="13"/>
      <c r="S437" s="13"/>
      <c r="T437" s="13"/>
      <c r="U437" s="13"/>
    </row>
    <row r="438" spans="1:21">
      <c r="A438" s="13"/>
      <c r="B438" s="47">
        <v>45023</v>
      </c>
      <c r="C438" s="46">
        <v>280.88</v>
      </c>
      <c r="D438" s="49">
        <v>2.5899999999999999E-2</v>
      </c>
      <c r="E438" s="13"/>
      <c r="F438" s="13"/>
      <c r="G438" s="13"/>
      <c r="H438" s="47">
        <v>45023</v>
      </c>
      <c r="I438" s="48">
        <v>19389</v>
      </c>
      <c r="J438" s="49">
        <v>3.3999999999999998E-3</v>
      </c>
      <c r="K438" s="13"/>
      <c r="L438" s="13"/>
      <c r="M438" s="13"/>
      <c r="N438" s="13"/>
      <c r="O438" s="13"/>
      <c r="P438" s="13"/>
      <c r="Q438" s="13"/>
      <c r="R438" s="13"/>
      <c r="S438" s="13"/>
      <c r="T438" s="13"/>
      <c r="U438" s="13"/>
    </row>
    <row r="439" spans="1:21">
      <c r="A439" s="13"/>
      <c r="B439" s="47">
        <v>44992</v>
      </c>
      <c r="C439" s="46">
        <v>273.79000000000002</v>
      </c>
      <c r="D439" s="49">
        <v>-4.0000000000000001E-3</v>
      </c>
      <c r="E439" s="13"/>
      <c r="F439" s="13"/>
      <c r="G439" s="13"/>
      <c r="H439" s="47">
        <v>44992</v>
      </c>
      <c r="I439" s="48">
        <v>19322.55</v>
      </c>
      <c r="J439" s="49">
        <v>7.0000000000000001E-3</v>
      </c>
      <c r="K439" s="13"/>
      <c r="L439" s="13"/>
      <c r="M439" s="13"/>
      <c r="N439" s="13"/>
      <c r="O439" s="13"/>
      <c r="P439" s="13"/>
      <c r="Q439" s="13"/>
      <c r="R439" s="13"/>
      <c r="S439" s="13"/>
      <c r="T439" s="13"/>
      <c r="U439" s="13"/>
    </row>
    <row r="440" spans="1:21">
      <c r="A440" s="13"/>
      <c r="B440" s="46" t="s">
        <v>488</v>
      </c>
      <c r="C440" s="46">
        <v>274.88</v>
      </c>
      <c r="D440" s="49">
        <v>-2.8899999999999999E-2</v>
      </c>
      <c r="E440" s="13"/>
      <c r="F440" s="13"/>
      <c r="G440" s="13"/>
      <c r="H440" s="46" t="s">
        <v>488</v>
      </c>
      <c r="I440" s="48">
        <v>19189.05</v>
      </c>
      <c r="J440" s="49">
        <v>1.14E-2</v>
      </c>
      <c r="K440" s="13"/>
      <c r="L440" s="13"/>
      <c r="M440" s="13"/>
      <c r="N440" s="13"/>
      <c r="O440" s="13"/>
      <c r="P440" s="13"/>
      <c r="Q440" s="13"/>
      <c r="R440" s="13"/>
      <c r="S440" s="13"/>
      <c r="T440" s="13"/>
      <c r="U440" s="13"/>
    </row>
    <row r="441" spans="1:21">
      <c r="A441" s="13"/>
      <c r="B441" s="46" t="s">
        <v>489</v>
      </c>
      <c r="C441" s="46">
        <v>283.06</v>
      </c>
      <c r="D441" s="49">
        <v>4.3E-3</v>
      </c>
      <c r="E441" s="13"/>
      <c r="F441" s="13"/>
      <c r="G441" s="13"/>
      <c r="H441" s="46" t="s">
        <v>489</v>
      </c>
      <c r="I441" s="48">
        <v>18972.099999999999</v>
      </c>
      <c r="J441" s="49">
        <v>8.2000000000000007E-3</v>
      </c>
      <c r="K441" s="13"/>
      <c r="L441" s="13"/>
      <c r="M441" s="13"/>
      <c r="N441" s="13"/>
      <c r="O441" s="13"/>
      <c r="P441" s="13"/>
      <c r="Q441" s="13"/>
      <c r="R441" s="13"/>
      <c r="S441" s="13"/>
      <c r="T441" s="13"/>
      <c r="U441" s="13"/>
    </row>
    <row r="442" spans="1:21">
      <c r="A442" s="13"/>
      <c r="B442" s="46" t="s">
        <v>490</v>
      </c>
      <c r="C442" s="46">
        <v>281.86</v>
      </c>
      <c r="D442" s="49">
        <v>1.18E-2</v>
      </c>
      <c r="E442" s="13"/>
      <c r="F442" s="13"/>
      <c r="G442" s="13"/>
      <c r="H442" s="46" t="s">
        <v>490</v>
      </c>
      <c r="I442" s="48">
        <v>18817.400000000001</v>
      </c>
      <c r="J442" s="49">
        <v>6.7999999999999996E-3</v>
      </c>
      <c r="K442" s="13"/>
      <c r="L442" s="13"/>
      <c r="M442" s="13"/>
      <c r="N442" s="13"/>
      <c r="O442" s="13"/>
      <c r="P442" s="13"/>
      <c r="Q442" s="13"/>
      <c r="R442" s="13"/>
      <c r="S442" s="13"/>
      <c r="T442" s="13"/>
      <c r="U442" s="13"/>
    </row>
    <row r="443" spans="1:21">
      <c r="A443" s="13"/>
      <c r="B443" s="46" t="s">
        <v>491</v>
      </c>
      <c r="C443" s="46">
        <v>278.58</v>
      </c>
      <c r="D443" s="49">
        <v>2.76E-2</v>
      </c>
      <c r="E443" s="13"/>
      <c r="F443" s="13"/>
      <c r="G443" s="13"/>
      <c r="H443" s="46" t="s">
        <v>491</v>
      </c>
      <c r="I443" s="48">
        <v>18691.2</v>
      </c>
      <c r="J443" s="49">
        <v>1.4E-3</v>
      </c>
      <c r="K443" s="13"/>
      <c r="L443" s="13"/>
      <c r="M443" s="13"/>
      <c r="N443" s="13"/>
      <c r="O443" s="13"/>
      <c r="P443" s="13"/>
      <c r="Q443" s="13"/>
      <c r="R443" s="13"/>
      <c r="S443" s="13"/>
      <c r="T443" s="13"/>
      <c r="U443" s="13"/>
    </row>
    <row r="444" spans="1:21">
      <c r="A444" s="13"/>
      <c r="B444" s="46" t="s">
        <v>492</v>
      </c>
      <c r="C444" s="46">
        <v>271.11</v>
      </c>
      <c r="D444" s="49">
        <v>-2.2100000000000002E-2</v>
      </c>
      <c r="E444" s="13"/>
      <c r="F444" s="13"/>
      <c r="G444" s="13"/>
      <c r="H444" s="46" t="s">
        <v>492</v>
      </c>
      <c r="I444" s="48">
        <v>18665.5</v>
      </c>
      <c r="J444" s="49">
        <v>-5.5999999999999999E-3</v>
      </c>
      <c r="K444" s="13"/>
      <c r="L444" s="13"/>
      <c r="M444" s="13"/>
      <c r="N444" s="13"/>
      <c r="O444" s="13"/>
      <c r="P444" s="13"/>
      <c r="Q444" s="13"/>
      <c r="R444" s="13"/>
      <c r="S444" s="13"/>
      <c r="T444" s="13"/>
      <c r="U444" s="13"/>
    </row>
    <row r="445" spans="1:21">
      <c r="A445" s="13"/>
      <c r="B445" s="46" t="s">
        <v>493</v>
      </c>
      <c r="C445" s="46">
        <v>277.23</v>
      </c>
      <c r="D445" s="49">
        <v>-2.3300000000000001E-2</v>
      </c>
      <c r="E445" s="13"/>
      <c r="F445" s="13"/>
      <c r="G445" s="13"/>
      <c r="H445" s="46" t="s">
        <v>493</v>
      </c>
      <c r="I445" s="48">
        <v>18771.25</v>
      </c>
      <c r="J445" s="49">
        <v>-4.4999999999999997E-3</v>
      </c>
      <c r="K445" s="13"/>
      <c r="L445" s="13"/>
      <c r="M445" s="13"/>
      <c r="N445" s="13"/>
      <c r="O445" s="13"/>
      <c r="P445" s="13"/>
      <c r="Q445" s="13"/>
      <c r="R445" s="13"/>
      <c r="S445" s="13"/>
      <c r="T445" s="13"/>
      <c r="U445" s="13"/>
    </row>
    <row r="446" spans="1:21">
      <c r="A446" s="13"/>
      <c r="B446" s="46" t="s">
        <v>494</v>
      </c>
      <c r="C446" s="46">
        <v>283.83</v>
      </c>
      <c r="D446" s="49">
        <v>2.5100000000000001E-2</v>
      </c>
      <c r="E446" s="13"/>
      <c r="F446" s="13"/>
      <c r="G446" s="13"/>
      <c r="H446" s="46" t="s">
        <v>494</v>
      </c>
      <c r="I446" s="48">
        <v>18856.849999999999</v>
      </c>
      <c r="J446" s="49">
        <v>2.0999999999999999E-3</v>
      </c>
      <c r="K446" s="13"/>
      <c r="L446" s="13"/>
      <c r="M446" s="13"/>
      <c r="N446" s="13"/>
      <c r="O446" s="13"/>
      <c r="P446" s="13"/>
      <c r="Q446" s="13"/>
      <c r="R446" s="13"/>
      <c r="S446" s="13"/>
      <c r="T446" s="13"/>
      <c r="U446" s="13"/>
    </row>
    <row r="447" spans="1:21">
      <c r="A447" s="13"/>
      <c r="B447" s="46" t="s">
        <v>495</v>
      </c>
      <c r="C447" s="46">
        <v>276.88</v>
      </c>
      <c r="D447" s="49">
        <v>7.4999999999999997E-3</v>
      </c>
      <c r="E447" s="13"/>
      <c r="F447" s="13"/>
      <c r="G447" s="13"/>
      <c r="H447" s="46" t="s">
        <v>495</v>
      </c>
      <c r="I447" s="48">
        <v>18816.7</v>
      </c>
      <c r="J447" s="49">
        <v>3.3E-3</v>
      </c>
      <c r="K447" s="13"/>
      <c r="L447" s="13"/>
      <c r="M447" s="13"/>
      <c r="N447" s="13"/>
      <c r="O447" s="13"/>
      <c r="P447" s="13"/>
      <c r="Q447" s="13"/>
      <c r="R447" s="13"/>
      <c r="S447" s="13"/>
      <c r="T447" s="13"/>
      <c r="U447" s="13"/>
    </row>
    <row r="448" spans="1:21">
      <c r="A448" s="13"/>
      <c r="B448" s="46" t="s">
        <v>496</v>
      </c>
      <c r="C448" s="46">
        <v>274.83</v>
      </c>
      <c r="D448" s="49">
        <v>-1.6799999999999999E-2</v>
      </c>
      <c r="E448" s="13"/>
      <c r="F448" s="13"/>
      <c r="G448" s="13"/>
      <c r="H448" s="46" t="s">
        <v>496</v>
      </c>
      <c r="I448" s="48">
        <v>18755.45</v>
      </c>
      <c r="J448" s="49">
        <v>-3.7000000000000002E-3</v>
      </c>
      <c r="K448" s="13"/>
      <c r="L448" s="13"/>
      <c r="M448" s="13"/>
      <c r="N448" s="13"/>
      <c r="O448" s="13"/>
      <c r="P448" s="13"/>
      <c r="Q448" s="13"/>
      <c r="R448" s="13"/>
      <c r="S448" s="13"/>
      <c r="T448" s="13"/>
      <c r="U448" s="13"/>
    </row>
    <row r="449" spans="1:21">
      <c r="A449" s="13"/>
      <c r="B449" s="46" t="s">
        <v>497</v>
      </c>
      <c r="C449" s="46">
        <v>279.52</v>
      </c>
      <c r="D449" s="49">
        <v>1.0500000000000001E-2</v>
      </c>
      <c r="E449" s="13"/>
      <c r="F449" s="13"/>
      <c r="G449" s="13"/>
      <c r="H449" s="46" t="s">
        <v>497</v>
      </c>
      <c r="I449" s="48">
        <v>18826</v>
      </c>
      <c r="J449" s="49">
        <v>7.4000000000000003E-3</v>
      </c>
      <c r="K449" s="13"/>
      <c r="L449" s="13"/>
      <c r="M449" s="13"/>
      <c r="N449" s="13"/>
      <c r="O449" s="13"/>
      <c r="P449" s="13"/>
      <c r="Q449" s="13"/>
      <c r="R449" s="13"/>
      <c r="S449" s="13"/>
      <c r="T449" s="13"/>
      <c r="U449" s="13"/>
    </row>
    <row r="450" spans="1:21">
      <c r="A450" s="13"/>
      <c r="B450" s="46" t="s">
        <v>498</v>
      </c>
      <c r="C450" s="46">
        <v>276.62</v>
      </c>
      <c r="D450" s="49">
        <v>-4.3E-3</v>
      </c>
      <c r="E450" s="13"/>
      <c r="F450" s="13"/>
      <c r="G450" s="13"/>
      <c r="H450" s="46" t="s">
        <v>498</v>
      </c>
      <c r="I450" s="48">
        <v>18688.099999999999</v>
      </c>
      <c r="J450" s="49">
        <v>-3.5999999999999999E-3</v>
      </c>
      <c r="K450" s="13"/>
      <c r="L450" s="13"/>
      <c r="M450" s="13"/>
      <c r="N450" s="13"/>
      <c r="O450" s="13"/>
      <c r="P450" s="13"/>
      <c r="Q450" s="13"/>
      <c r="R450" s="13"/>
      <c r="S450" s="13"/>
      <c r="T450" s="13"/>
      <c r="U450" s="13"/>
    </row>
    <row r="451" spans="1:21">
      <c r="A451" s="13"/>
      <c r="B451" s="46" t="s">
        <v>499</v>
      </c>
      <c r="C451" s="46">
        <v>277.81</v>
      </c>
      <c r="D451" s="49">
        <v>-1.04E-2</v>
      </c>
      <c r="E451" s="13"/>
      <c r="F451" s="13"/>
      <c r="G451" s="13"/>
      <c r="H451" s="46" t="s">
        <v>499</v>
      </c>
      <c r="I451" s="48">
        <v>18755.900000000001</v>
      </c>
      <c r="J451" s="49">
        <v>2.0999999999999999E-3</v>
      </c>
      <c r="K451" s="13"/>
      <c r="L451" s="13"/>
      <c r="M451" s="13"/>
      <c r="N451" s="13"/>
      <c r="O451" s="13"/>
      <c r="P451" s="13"/>
      <c r="Q451" s="13"/>
      <c r="R451" s="13"/>
      <c r="S451" s="13"/>
      <c r="T451" s="13"/>
      <c r="U451" s="13"/>
    </row>
    <row r="452" spans="1:21">
      <c r="A452" s="13"/>
      <c r="B452" s="46" t="s">
        <v>500</v>
      </c>
      <c r="C452" s="46">
        <v>280.72000000000003</v>
      </c>
      <c r="D452" s="49">
        <v>4.41E-2</v>
      </c>
      <c r="E452" s="13"/>
      <c r="F452" s="13"/>
      <c r="G452" s="13"/>
      <c r="H452" s="46" t="s">
        <v>500</v>
      </c>
      <c r="I452" s="48">
        <v>18716.150000000001</v>
      </c>
      <c r="J452" s="49">
        <v>6.1999999999999998E-3</v>
      </c>
      <c r="K452" s="13"/>
      <c r="L452" s="13"/>
      <c r="M452" s="13"/>
      <c r="N452" s="13"/>
      <c r="O452" s="13"/>
      <c r="P452" s="13"/>
      <c r="Q452" s="13"/>
      <c r="R452" s="13"/>
      <c r="S452" s="13"/>
      <c r="T452" s="13"/>
      <c r="U452" s="13"/>
    </row>
    <row r="453" spans="1:21">
      <c r="A453" s="13"/>
      <c r="B453" s="47">
        <v>45266</v>
      </c>
      <c r="C453" s="46">
        <v>268.87</v>
      </c>
      <c r="D453" s="49">
        <v>-1.72E-2</v>
      </c>
      <c r="E453" s="13"/>
      <c r="F453" s="13"/>
      <c r="G453" s="13"/>
      <c r="H453" s="47">
        <v>45266</v>
      </c>
      <c r="I453" s="48">
        <v>18601.5</v>
      </c>
      <c r="J453" s="49">
        <v>2.0999999999999999E-3</v>
      </c>
      <c r="K453" s="13"/>
      <c r="L453" s="13"/>
      <c r="M453" s="13"/>
      <c r="N453" s="13"/>
      <c r="O453" s="13"/>
      <c r="P453" s="13"/>
      <c r="Q453" s="13"/>
      <c r="R453" s="13"/>
      <c r="S453" s="13"/>
      <c r="T453" s="13"/>
      <c r="U453" s="13"/>
    </row>
    <row r="454" spans="1:21">
      <c r="A454" s="13"/>
      <c r="B454" s="47">
        <v>45175</v>
      </c>
      <c r="C454" s="46">
        <v>273.57</v>
      </c>
      <c r="D454" s="49">
        <v>-2.1999999999999999E-2</v>
      </c>
      <c r="E454" s="13"/>
      <c r="F454" s="13"/>
      <c r="G454" s="13"/>
      <c r="H454" s="47">
        <v>45175</v>
      </c>
      <c r="I454" s="48">
        <v>18563.400000000001</v>
      </c>
      <c r="J454" s="49">
        <v>-3.8E-3</v>
      </c>
      <c r="K454" s="13"/>
      <c r="L454" s="13"/>
      <c r="M454" s="13"/>
      <c r="N454" s="13"/>
      <c r="O454" s="13"/>
      <c r="P454" s="13"/>
      <c r="Q454" s="13"/>
      <c r="R454" s="13"/>
      <c r="S454" s="13"/>
      <c r="T454" s="13"/>
      <c r="U454" s="13"/>
    </row>
    <row r="455" spans="1:21">
      <c r="A455" s="13"/>
      <c r="B455" s="47">
        <v>45144</v>
      </c>
      <c r="C455" s="46">
        <v>279.72000000000003</v>
      </c>
      <c r="D455" s="49">
        <v>-2.6200000000000001E-2</v>
      </c>
      <c r="E455" s="13"/>
      <c r="F455" s="13"/>
      <c r="G455" s="13"/>
      <c r="H455" s="47">
        <v>45144</v>
      </c>
      <c r="I455" s="48">
        <v>18634.55</v>
      </c>
      <c r="J455" s="49">
        <v>-4.8999999999999998E-3</v>
      </c>
      <c r="K455" s="13"/>
      <c r="L455" s="13"/>
      <c r="M455" s="13"/>
      <c r="N455" s="13"/>
      <c r="O455" s="13"/>
      <c r="P455" s="13"/>
      <c r="Q455" s="13"/>
      <c r="R455" s="13"/>
      <c r="S455" s="13"/>
      <c r="T455" s="13"/>
      <c r="U455" s="13"/>
    </row>
    <row r="456" spans="1:21">
      <c r="A456" s="13"/>
      <c r="B456" s="47">
        <v>45113</v>
      </c>
      <c r="C456" s="46">
        <v>287.26</v>
      </c>
      <c r="D456" s="49">
        <v>-2.3999999999999998E-3</v>
      </c>
      <c r="E456" s="13"/>
      <c r="F456" s="13"/>
      <c r="G456" s="13"/>
      <c r="H456" s="47">
        <v>45113</v>
      </c>
      <c r="I456" s="48">
        <v>18726.400000000001</v>
      </c>
      <c r="J456" s="49">
        <v>6.7999999999999996E-3</v>
      </c>
      <c r="K456" s="13"/>
      <c r="L456" s="13"/>
      <c r="M456" s="13"/>
      <c r="N456" s="13"/>
      <c r="O456" s="13"/>
      <c r="P456" s="13"/>
      <c r="Q456" s="13"/>
      <c r="R456" s="13"/>
      <c r="S456" s="13"/>
      <c r="T456" s="13"/>
      <c r="U456" s="13"/>
    </row>
    <row r="457" spans="1:21">
      <c r="A457" s="13"/>
      <c r="B457" s="47">
        <v>45083</v>
      </c>
      <c r="C457" s="46">
        <v>287.95</v>
      </c>
      <c r="D457" s="49">
        <v>-3.0000000000000001E-3</v>
      </c>
      <c r="E457" s="13"/>
      <c r="F457" s="13"/>
      <c r="G457" s="13"/>
      <c r="H457" s="47">
        <v>45083</v>
      </c>
      <c r="I457" s="48">
        <v>18599</v>
      </c>
      <c r="J457" s="49">
        <v>2.9999999999999997E-4</v>
      </c>
      <c r="K457" s="13"/>
      <c r="L457" s="13"/>
      <c r="M457" s="13"/>
      <c r="N457" s="13"/>
      <c r="O457" s="13"/>
      <c r="P457" s="13"/>
      <c r="Q457" s="13"/>
      <c r="R457" s="13"/>
      <c r="S457" s="13"/>
      <c r="T457" s="13"/>
      <c r="U457" s="13"/>
    </row>
    <row r="458" spans="1:21">
      <c r="A458" s="13"/>
      <c r="B458" s="47">
        <v>45052</v>
      </c>
      <c r="C458" s="46">
        <v>288.82</v>
      </c>
      <c r="D458" s="49">
        <v>9.9000000000000008E-3</v>
      </c>
      <c r="E458" s="13"/>
      <c r="F458" s="13"/>
      <c r="G458" s="13"/>
      <c r="H458" s="47">
        <v>45052</v>
      </c>
      <c r="I458" s="48">
        <v>18593.849999999999</v>
      </c>
      <c r="J458" s="49">
        <v>3.2000000000000002E-3</v>
      </c>
      <c r="K458" s="13"/>
      <c r="L458" s="13"/>
      <c r="M458" s="13"/>
      <c r="N458" s="13"/>
      <c r="O458" s="13"/>
      <c r="P458" s="13"/>
      <c r="Q458" s="13"/>
      <c r="R458" s="13"/>
      <c r="S458" s="13"/>
      <c r="T458" s="13"/>
      <c r="U458" s="13"/>
    </row>
    <row r="459" spans="1:21">
      <c r="A459" s="13"/>
      <c r="B459" s="47">
        <v>44963</v>
      </c>
      <c r="C459" s="46">
        <v>285.98</v>
      </c>
      <c r="D459" s="49">
        <v>-5.4000000000000003E-3</v>
      </c>
      <c r="E459" s="13"/>
      <c r="F459" s="13"/>
      <c r="G459" s="13"/>
      <c r="H459" s="47">
        <v>44963</v>
      </c>
      <c r="I459" s="48">
        <v>18534.099999999999</v>
      </c>
      <c r="J459" s="49">
        <v>2.5000000000000001E-3</v>
      </c>
      <c r="K459" s="13"/>
      <c r="L459" s="13"/>
      <c r="M459" s="13"/>
      <c r="N459" s="13"/>
      <c r="O459" s="13"/>
      <c r="P459" s="13"/>
      <c r="Q459" s="13"/>
      <c r="R459" s="13"/>
      <c r="S459" s="13"/>
      <c r="T459" s="13"/>
      <c r="U459" s="13"/>
    </row>
    <row r="460" spans="1:21">
      <c r="A460" s="13"/>
      <c r="B460" s="47">
        <v>44932</v>
      </c>
      <c r="C460" s="46">
        <v>287.52999999999997</v>
      </c>
      <c r="D460" s="49">
        <v>-1.37E-2</v>
      </c>
      <c r="E460" s="13"/>
      <c r="F460" s="13"/>
      <c r="G460" s="13"/>
      <c r="H460" s="47">
        <v>44932</v>
      </c>
      <c r="I460" s="48">
        <v>18487.75</v>
      </c>
      <c r="J460" s="49">
        <v>-2.5000000000000001E-3</v>
      </c>
      <c r="K460" s="13"/>
      <c r="L460" s="13"/>
      <c r="M460" s="13"/>
      <c r="N460" s="13"/>
      <c r="O460" s="13"/>
      <c r="P460" s="13"/>
      <c r="Q460" s="13"/>
      <c r="R460" s="13"/>
      <c r="S460" s="13"/>
      <c r="T460" s="13"/>
      <c r="U460" s="13"/>
    </row>
    <row r="461" spans="1:21">
      <c r="A461" s="13"/>
      <c r="B461" s="46" t="s">
        <v>501</v>
      </c>
      <c r="C461" s="46">
        <v>291.51</v>
      </c>
      <c r="D461" s="49">
        <v>4.9399999999999999E-2</v>
      </c>
      <c r="E461" s="13"/>
      <c r="F461" s="13"/>
      <c r="G461" s="13"/>
      <c r="H461" s="46" t="s">
        <v>501</v>
      </c>
      <c r="I461" s="48">
        <v>18534.400000000001</v>
      </c>
      <c r="J461" s="49">
        <v>-5.3E-3</v>
      </c>
      <c r="K461" s="13"/>
      <c r="L461" s="13"/>
      <c r="M461" s="13"/>
      <c r="N461" s="13"/>
      <c r="O461" s="13"/>
      <c r="P461" s="13"/>
      <c r="Q461" s="13"/>
      <c r="R461" s="13"/>
      <c r="S461" s="13"/>
      <c r="T461" s="13"/>
      <c r="U461" s="13"/>
    </row>
    <row r="462" spans="1:21">
      <c r="A462" s="13"/>
      <c r="B462" s="46" t="s">
        <v>502</v>
      </c>
      <c r="C462" s="46">
        <v>277.79000000000002</v>
      </c>
      <c r="D462" s="49">
        <v>5.5E-2</v>
      </c>
      <c r="E462" s="13"/>
      <c r="F462" s="13"/>
      <c r="G462" s="13"/>
      <c r="H462" s="46" t="s">
        <v>502</v>
      </c>
      <c r="I462" s="48">
        <v>18633.849999999999</v>
      </c>
      <c r="J462" s="49">
        <v>1.9E-3</v>
      </c>
      <c r="K462" s="13"/>
      <c r="L462" s="13"/>
      <c r="M462" s="13"/>
      <c r="N462" s="13"/>
      <c r="O462" s="13"/>
      <c r="P462" s="13"/>
      <c r="Q462" s="13"/>
      <c r="R462" s="13"/>
      <c r="S462" s="13"/>
      <c r="T462" s="13"/>
      <c r="U462" s="13"/>
    </row>
    <row r="463" spans="1:21">
      <c r="A463" s="13"/>
      <c r="B463" s="46" t="s">
        <v>503</v>
      </c>
      <c r="C463" s="46">
        <v>263.31</v>
      </c>
      <c r="D463" s="49">
        <v>-9.7999999999999997E-3</v>
      </c>
      <c r="E463" s="13"/>
      <c r="F463" s="13"/>
      <c r="G463" s="13"/>
      <c r="H463" s="46" t="s">
        <v>503</v>
      </c>
      <c r="I463" s="48">
        <v>18598.650000000001</v>
      </c>
      <c r="J463" s="49">
        <v>5.4000000000000003E-3</v>
      </c>
      <c r="K463" s="13"/>
      <c r="L463" s="13"/>
      <c r="M463" s="13"/>
      <c r="N463" s="13"/>
      <c r="O463" s="13"/>
      <c r="P463" s="13"/>
      <c r="Q463" s="13"/>
      <c r="R463" s="13"/>
      <c r="S463" s="13"/>
      <c r="T463" s="13"/>
      <c r="U463" s="13"/>
    </row>
    <row r="464" spans="1:21">
      <c r="A464" s="13"/>
      <c r="B464" s="46" t="s">
        <v>504</v>
      </c>
      <c r="C464" s="46">
        <v>265.91000000000003</v>
      </c>
      <c r="D464" s="49">
        <v>-1.47E-2</v>
      </c>
      <c r="E464" s="13"/>
      <c r="F464" s="13"/>
      <c r="G464" s="13"/>
      <c r="H464" s="46" t="s">
        <v>504</v>
      </c>
      <c r="I464" s="48">
        <v>18499.349999999999</v>
      </c>
      <c r="J464" s="49">
        <v>9.7000000000000003E-3</v>
      </c>
      <c r="K464" s="13"/>
      <c r="L464" s="13"/>
      <c r="M464" s="13"/>
      <c r="N464" s="13"/>
      <c r="O464" s="13"/>
      <c r="P464" s="13"/>
      <c r="Q464" s="13"/>
      <c r="R464" s="13"/>
      <c r="S464" s="13"/>
      <c r="T464" s="13"/>
      <c r="U464" s="13"/>
    </row>
    <row r="465" spans="1:21">
      <c r="A465" s="13"/>
      <c r="B465" s="46" t="s">
        <v>505</v>
      </c>
      <c r="C465" s="46">
        <v>269.89</v>
      </c>
      <c r="D465" s="49">
        <v>1.03E-2</v>
      </c>
      <c r="E465" s="13"/>
      <c r="F465" s="13"/>
      <c r="G465" s="13"/>
      <c r="H465" s="46" t="s">
        <v>505</v>
      </c>
      <c r="I465" s="48">
        <v>18321.150000000001</v>
      </c>
      <c r="J465" s="49">
        <v>2E-3</v>
      </c>
      <c r="K465" s="13"/>
      <c r="L465" s="13"/>
      <c r="M465" s="13"/>
      <c r="N465" s="13"/>
      <c r="O465" s="13"/>
      <c r="P465" s="13"/>
      <c r="Q465" s="13"/>
      <c r="R465" s="13"/>
      <c r="S465" s="13"/>
      <c r="T465" s="13"/>
      <c r="U465" s="13"/>
    </row>
    <row r="466" spans="1:21">
      <c r="A466" s="13"/>
      <c r="B466" s="46" t="s">
        <v>506</v>
      </c>
      <c r="C466" s="46">
        <v>267.14999999999998</v>
      </c>
      <c r="D466" s="49">
        <v>1.2500000000000001E-2</v>
      </c>
      <c r="E466" s="13"/>
      <c r="F466" s="13"/>
      <c r="G466" s="13"/>
      <c r="H466" s="46" t="s">
        <v>506</v>
      </c>
      <c r="I466" s="48">
        <v>18285.400000000001</v>
      </c>
      <c r="J466" s="49">
        <v>-3.3999999999999998E-3</v>
      </c>
      <c r="K466" s="13"/>
      <c r="L466" s="13"/>
      <c r="M466" s="13"/>
      <c r="N466" s="13"/>
      <c r="O466" s="13"/>
      <c r="P466" s="13"/>
      <c r="Q466" s="13"/>
      <c r="R466" s="13"/>
      <c r="S466" s="13"/>
      <c r="T466" s="13"/>
      <c r="U466" s="13"/>
    </row>
    <row r="467" spans="1:21">
      <c r="A467" s="13"/>
      <c r="B467" s="46" t="s">
        <v>507</v>
      </c>
      <c r="C467" s="46">
        <v>263.86</v>
      </c>
      <c r="D467" s="49">
        <v>2.3099999999999999E-2</v>
      </c>
      <c r="E467" s="13"/>
      <c r="F467" s="13"/>
      <c r="G467" s="13"/>
      <c r="H467" s="46" t="s">
        <v>507</v>
      </c>
      <c r="I467" s="48">
        <v>18348</v>
      </c>
      <c r="J467" s="49">
        <v>1.8E-3</v>
      </c>
      <c r="K467" s="13"/>
      <c r="L467" s="13"/>
      <c r="M467" s="13"/>
      <c r="N467" s="13"/>
      <c r="O467" s="13"/>
      <c r="P467" s="13"/>
      <c r="Q467" s="13"/>
      <c r="R467" s="13"/>
      <c r="S467" s="13"/>
      <c r="T467" s="13"/>
      <c r="U467" s="13"/>
    </row>
    <row r="468" spans="1:21">
      <c r="A468" s="13"/>
      <c r="B468" s="46" t="s">
        <v>508</v>
      </c>
      <c r="C468" s="46">
        <v>257.89999999999998</v>
      </c>
      <c r="D468" s="49">
        <v>-5.8999999999999999E-3</v>
      </c>
      <c r="E468" s="13"/>
      <c r="F468" s="13"/>
      <c r="G468" s="13"/>
      <c r="H468" s="46" t="s">
        <v>508</v>
      </c>
      <c r="I468" s="48">
        <v>18314.400000000001</v>
      </c>
      <c r="J468" s="49">
        <v>6.1000000000000004E-3</v>
      </c>
      <c r="K468" s="13"/>
      <c r="L468" s="13"/>
      <c r="M468" s="13"/>
      <c r="N468" s="13"/>
      <c r="O468" s="13"/>
      <c r="P468" s="13"/>
      <c r="Q468" s="13"/>
      <c r="R468" s="13"/>
      <c r="S468" s="13"/>
      <c r="T468" s="13"/>
      <c r="U468" s="13"/>
    </row>
    <row r="469" spans="1:21">
      <c r="A469" s="13"/>
      <c r="B469" s="46" t="s">
        <v>509</v>
      </c>
      <c r="C469" s="46">
        <v>259.44</v>
      </c>
      <c r="D469" s="49">
        <v>-1.49E-2</v>
      </c>
      <c r="E469" s="13"/>
      <c r="F469" s="13"/>
      <c r="G469" s="13"/>
      <c r="H469" s="46" t="s">
        <v>509</v>
      </c>
      <c r="I469" s="48">
        <v>18203.400000000001</v>
      </c>
      <c r="J469" s="49">
        <v>4.1000000000000003E-3</v>
      </c>
      <c r="K469" s="13"/>
      <c r="L469" s="13"/>
      <c r="M469" s="13"/>
      <c r="N469" s="13"/>
      <c r="O469" s="13"/>
      <c r="P469" s="13"/>
      <c r="Q469" s="13"/>
      <c r="R469" s="13"/>
      <c r="S469" s="13"/>
      <c r="T469" s="13"/>
      <c r="U469" s="13"/>
    </row>
    <row r="470" spans="1:21">
      <c r="A470" s="13"/>
      <c r="B470" s="46" t="s">
        <v>510</v>
      </c>
      <c r="C470" s="46">
        <v>263.36</v>
      </c>
      <c r="D470" s="49">
        <v>1.41E-2</v>
      </c>
      <c r="E470" s="13"/>
      <c r="F470" s="13"/>
      <c r="G470" s="13"/>
      <c r="H470" s="46" t="s">
        <v>510</v>
      </c>
      <c r="I470" s="48">
        <v>18129.95</v>
      </c>
      <c r="J470" s="49">
        <v>-2.8E-3</v>
      </c>
      <c r="K470" s="13"/>
      <c r="L470" s="13"/>
      <c r="M470" s="13"/>
      <c r="N470" s="13"/>
      <c r="O470" s="13"/>
      <c r="P470" s="13"/>
      <c r="Q470" s="13"/>
      <c r="R470" s="13"/>
      <c r="S470" s="13"/>
      <c r="T470" s="13"/>
      <c r="U470" s="13"/>
    </row>
    <row r="471" spans="1:21">
      <c r="A471" s="13"/>
      <c r="B471" s="46" t="s">
        <v>511</v>
      </c>
      <c r="C471" s="46">
        <v>259.69</v>
      </c>
      <c r="D471" s="49">
        <v>1.9E-3</v>
      </c>
      <c r="E471" s="13"/>
      <c r="F471" s="13"/>
      <c r="G471" s="13"/>
      <c r="H471" s="46" t="s">
        <v>511</v>
      </c>
      <c r="I471" s="48">
        <v>18181.75</v>
      </c>
      <c r="J471" s="49">
        <v>-5.7000000000000002E-3</v>
      </c>
      <c r="K471" s="13"/>
      <c r="L471" s="13"/>
      <c r="M471" s="13"/>
      <c r="N471" s="13"/>
      <c r="O471" s="13"/>
      <c r="P471" s="13"/>
      <c r="Q471" s="13"/>
      <c r="R471" s="13"/>
      <c r="S471" s="13"/>
      <c r="T471" s="13"/>
      <c r="U471" s="13"/>
    </row>
    <row r="472" spans="1:21">
      <c r="A472" s="13"/>
      <c r="B472" s="46" t="s">
        <v>512</v>
      </c>
      <c r="C472" s="46">
        <v>259.2</v>
      </c>
      <c r="D472" s="49">
        <v>1.3100000000000001E-2</v>
      </c>
      <c r="E472" s="13"/>
      <c r="F472" s="13"/>
      <c r="G472" s="13"/>
      <c r="H472" s="46" t="s">
        <v>512</v>
      </c>
      <c r="I472" s="48">
        <v>18286.5</v>
      </c>
      <c r="J472" s="49">
        <v>-6.1000000000000004E-3</v>
      </c>
      <c r="K472" s="13"/>
      <c r="L472" s="13"/>
      <c r="M472" s="13"/>
      <c r="N472" s="13"/>
      <c r="O472" s="13"/>
      <c r="P472" s="13"/>
      <c r="Q472" s="13"/>
      <c r="R472" s="13"/>
      <c r="S472" s="13"/>
      <c r="T472" s="13"/>
      <c r="U472" s="13"/>
    </row>
    <row r="473" spans="1:21">
      <c r="A473" s="13"/>
      <c r="B473" s="46" t="s">
        <v>513</v>
      </c>
      <c r="C473" s="46">
        <v>255.85</v>
      </c>
      <c r="D473" s="49">
        <v>1.5E-3</v>
      </c>
      <c r="E473" s="13"/>
      <c r="F473" s="13"/>
      <c r="G473" s="13"/>
      <c r="H473" s="46" t="s">
        <v>513</v>
      </c>
      <c r="I473" s="48">
        <v>18398.849999999999</v>
      </c>
      <c r="J473" s="49">
        <v>4.5999999999999999E-3</v>
      </c>
      <c r="K473" s="13"/>
      <c r="L473" s="13"/>
      <c r="M473" s="13"/>
      <c r="N473" s="13"/>
      <c r="O473" s="13"/>
      <c r="P473" s="13"/>
      <c r="Q473" s="13"/>
      <c r="R473" s="13"/>
      <c r="S473" s="13"/>
      <c r="T473" s="13"/>
      <c r="U473" s="13"/>
    </row>
    <row r="474" spans="1:21">
      <c r="A474" s="13"/>
      <c r="B474" s="47">
        <v>45265</v>
      </c>
      <c r="C474" s="46">
        <v>255.46</v>
      </c>
      <c r="D474" s="49">
        <v>-1.89E-2</v>
      </c>
      <c r="E474" s="13"/>
      <c r="F474" s="13"/>
      <c r="G474" s="13"/>
      <c r="H474" s="47">
        <v>45265</v>
      </c>
      <c r="I474" s="48">
        <v>18314.8</v>
      </c>
      <c r="J474" s="49">
        <v>1E-3</v>
      </c>
      <c r="K474" s="13"/>
      <c r="L474" s="13"/>
      <c r="M474" s="13"/>
      <c r="N474" s="13"/>
      <c r="O474" s="13"/>
      <c r="P474" s="13"/>
      <c r="Q474" s="13"/>
      <c r="R474" s="13"/>
      <c r="S474" s="13"/>
      <c r="T474" s="13"/>
      <c r="U474" s="13"/>
    </row>
    <row r="475" spans="1:21">
      <c r="A475" s="13"/>
      <c r="B475" s="47">
        <v>45235</v>
      </c>
      <c r="C475" s="46">
        <v>260.37</v>
      </c>
      <c r="D475" s="49">
        <v>-2.8E-3</v>
      </c>
      <c r="E475" s="13"/>
      <c r="F475" s="13"/>
      <c r="G475" s="13"/>
      <c r="H475" s="47">
        <v>45235</v>
      </c>
      <c r="I475" s="48">
        <v>18297</v>
      </c>
      <c r="J475" s="49">
        <v>-1E-3</v>
      </c>
      <c r="K475" s="13"/>
      <c r="L475" s="13"/>
      <c r="M475" s="13"/>
      <c r="N475" s="13"/>
      <c r="O475" s="13"/>
      <c r="P475" s="13"/>
      <c r="Q475" s="13"/>
      <c r="R475" s="13"/>
      <c r="S475" s="13"/>
      <c r="T475" s="13"/>
      <c r="U475" s="13"/>
    </row>
    <row r="476" spans="1:21">
      <c r="A476" s="13"/>
      <c r="B476" s="47">
        <v>45204</v>
      </c>
      <c r="C476" s="46">
        <v>261.11</v>
      </c>
      <c r="D476" s="49">
        <v>1.0699999999999999E-2</v>
      </c>
      <c r="E476" s="13"/>
      <c r="F476" s="13"/>
      <c r="G476" s="13"/>
      <c r="H476" s="47">
        <v>45204</v>
      </c>
      <c r="I476" s="48">
        <v>18315.099999999999</v>
      </c>
      <c r="J476" s="49">
        <v>2.7000000000000001E-3</v>
      </c>
      <c r="K476" s="13"/>
      <c r="L476" s="13"/>
      <c r="M476" s="13"/>
      <c r="N476" s="13"/>
      <c r="O476" s="13"/>
      <c r="P476" s="13"/>
      <c r="Q476" s="13"/>
      <c r="R476" s="13"/>
      <c r="S476" s="13"/>
      <c r="T476" s="13"/>
      <c r="U476" s="13"/>
    </row>
    <row r="477" spans="1:21">
      <c r="A477" s="13"/>
      <c r="B477" s="47">
        <v>45174</v>
      </c>
      <c r="C477" s="46">
        <v>258.33999999999997</v>
      </c>
      <c r="D477" s="49">
        <v>-2.0500000000000001E-2</v>
      </c>
      <c r="E477" s="13"/>
      <c r="F477" s="13"/>
      <c r="G477" s="13"/>
      <c r="H477" s="47">
        <v>45174</v>
      </c>
      <c r="I477" s="48">
        <v>18265.95</v>
      </c>
      <c r="J477" s="49">
        <v>1E-4</v>
      </c>
      <c r="K477" s="13"/>
      <c r="L477" s="13"/>
      <c r="M477" s="13"/>
      <c r="N477" s="13"/>
      <c r="O477" s="13"/>
      <c r="P477" s="13"/>
      <c r="Q477" s="13"/>
      <c r="R477" s="13"/>
      <c r="S477" s="13"/>
      <c r="T477" s="13"/>
      <c r="U477" s="13"/>
    </row>
    <row r="478" spans="1:21">
      <c r="A478" s="13"/>
      <c r="B478" s="47">
        <v>45143</v>
      </c>
      <c r="C478" s="46">
        <v>263.75</v>
      </c>
      <c r="D478" s="49">
        <v>1.34E-2</v>
      </c>
      <c r="E478" s="13"/>
      <c r="F478" s="13"/>
      <c r="G478" s="13"/>
      <c r="H478" s="47">
        <v>45143</v>
      </c>
      <c r="I478" s="48">
        <v>18264.400000000001</v>
      </c>
      <c r="J478" s="49">
        <v>1.0800000000000001E-2</v>
      </c>
      <c r="K478" s="13"/>
      <c r="L478" s="13"/>
      <c r="M478" s="13"/>
      <c r="N478" s="13"/>
      <c r="O478" s="13"/>
      <c r="P478" s="13"/>
      <c r="Q478" s="13"/>
      <c r="R478" s="13"/>
      <c r="S478" s="13"/>
      <c r="T478" s="13"/>
      <c r="U478" s="13"/>
    </row>
    <row r="479" spans="1:21">
      <c r="A479" s="13"/>
      <c r="B479" s="47">
        <v>45051</v>
      </c>
      <c r="C479" s="46">
        <v>260.25</v>
      </c>
      <c r="D479" s="49">
        <v>-9.2999999999999992E-3</v>
      </c>
      <c r="E479" s="13"/>
      <c r="F479" s="13"/>
      <c r="G479" s="13"/>
      <c r="H479" s="47">
        <v>45051</v>
      </c>
      <c r="I479" s="48">
        <v>18069</v>
      </c>
      <c r="J479" s="49">
        <v>-1.0200000000000001E-2</v>
      </c>
      <c r="K479" s="13"/>
      <c r="L479" s="13"/>
      <c r="M479" s="13"/>
      <c r="N479" s="13"/>
      <c r="O479" s="13"/>
      <c r="P479" s="13"/>
      <c r="Q479" s="13"/>
      <c r="R479" s="13"/>
      <c r="S479" s="13"/>
      <c r="T479" s="13"/>
      <c r="U479" s="13"/>
    </row>
    <row r="480" spans="1:21">
      <c r="A480" s="13"/>
      <c r="B480" s="47">
        <v>45021</v>
      </c>
      <c r="C480" s="46">
        <v>262.69</v>
      </c>
      <c r="D480" s="49">
        <v>4.1999999999999997E-3</v>
      </c>
      <c r="E480" s="13"/>
      <c r="F480" s="13"/>
      <c r="G480" s="13"/>
      <c r="H480" s="47">
        <v>45021</v>
      </c>
      <c r="I480" s="48">
        <v>18255.8</v>
      </c>
      <c r="J480" s="49">
        <v>9.1999999999999998E-3</v>
      </c>
      <c r="K480" s="13"/>
      <c r="L480" s="13"/>
      <c r="M480" s="13"/>
      <c r="N480" s="13"/>
      <c r="O480" s="13"/>
      <c r="P480" s="13"/>
      <c r="Q480" s="13"/>
      <c r="R480" s="13"/>
      <c r="S480" s="13"/>
      <c r="T480" s="13"/>
      <c r="U480" s="13"/>
    </row>
    <row r="481" spans="1:21">
      <c r="A481" s="13"/>
      <c r="B481" s="47">
        <v>44990</v>
      </c>
      <c r="C481" s="46">
        <v>261.58999999999997</v>
      </c>
      <c r="D481" s="49">
        <v>5.2600000000000001E-2</v>
      </c>
      <c r="E481" s="13"/>
      <c r="F481" s="13"/>
      <c r="G481" s="13"/>
      <c r="H481" s="47">
        <v>44990</v>
      </c>
      <c r="I481" s="48">
        <v>18089.849999999999</v>
      </c>
      <c r="J481" s="49">
        <v>-3.2000000000000002E-3</v>
      </c>
      <c r="K481" s="13"/>
      <c r="L481" s="13"/>
      <c r="M481" s="13"/>
      <c r="N481" s="13"/>
      <c r="O481" s="13"/>
      <c r="P481" s="13"/>
      <c r="Q481" s="13"/>
      <c r="R481" s="13"/>
      <c r="S481" s="13"/>
      <c r="T481" s="13"/>
      <c r="U481" s="13"/>
    </row>
    <row r="482" spans="1:21">
      <c r="A482" s="13"/>
      <c r="B482" s="47">
        <v>44962</v>
      </c>
      <c r="C482" s="46">
        <v>248.51</v>
      </c>
      <c r="D482" s="49">
        <v>4.1200000000000001E-2</v>
      </c>
      <c r="E482" s="13"/>
      <c r="F482" s="13"/>
      <c r="G482" s="13"/>
      <c r="H482" s="47">
        <v>44962</v>
      </c>
      <c r="I482" s="48">
        <v>18147.650000000001</v>
      </c>
      <c r="J482" s="49">
        <v>4.5999999999999999E-3</v>
      </c>
      <c r="K482" s="13"/>
      <c r="L482" s="13"/>
      <c r="M482" s="13"/>
      <c r="N482" s="13"/>
      <c r="O482" s="13"/>
      <c r="P482" s="13"/>
      <c r="Q482" s="13"/>
      <c r="R482" s="13"/>
      <c r="S482" s="13"/>
      <c r="T482" s="13"/>
      <c r="U482" s="13"/>
    </row>
    <row r="483" spans="1:21">
      <c r="A483" s="13"/>
      <c r="B483" s="46" t="s">
        <v>514</v>
      </c>
      <c r="C483" s="46">
        <v>238.68</v>
      </c>
      <c r="D483" s="49">
        <v>1.38E-2</v>
      </c>
      <c r="E483" s="13"/>
      <c r="F483" s="13"/>
      <c r="G483" s="13"/>
      <c r="H483" s="46" t="s">
        <v>514</v>
      </c>
      <c r="I483" s="48">
        <v>18065</v>
      </c>
      <c r="J483" s="49">
        <v>8.3999999999999995E-3</v>
      </c>
      <c r="K483" s="13"/>
      <c r="L483" s="13"/>
      <c r="M483" s="13"/>
      <c r="N483" s="13"/>
      <c r="O483" s="13"/>
      <c r="P483" s="13"/>
      <c r="Q483" s="13"/>
      <c r="R483" s="13"/>
      <c r="S483" s="13"/>
      <c r="T483" s="13"/>
      <c r="U483" s="13"/>
    </row>
    <row r="484" spans="1:21">
      <c r="A484" s="13"/>
      <c r="B484" s="46" t="s">
        <v>515</v>
      </c>
      <c r="C484" s="46">
        <v>235.44</v>
      </c>
      <c r="D484" s="49">
        <v>8.9999999999999998E-4</v>
      </c>
      <c r="E484" s="13"/>
      <c r="F484" s="13"/>
      <c r="G484" s="13"/>
      <c r="H484" s="46" t="s">
        <v>515</v>
      </c>
      <c r="I484" s="48">
        <v>17915.05</v>
      </c>
      <c r="J484" s="49">
        <v>5.7000000000000002E-3</v>
      </c>
      <c r="K484" s="13"/>
      <c r="L484" s="13"/>
      <c r="M484" s="13"/>
      <c r="N484" s="13"/>
      <c r="O484" s="13"/>
      <c r="P484" s="13"/>
      <c r="Q484" s="13"/>
      <c r="R484" s="13"/>
      <c r="S484" s="13"/>
      <c r="T484" s="13"/>
      <c r="U484" s="13"/>
    </row>
    <row r="485" spans="1:21">
      <c r="A485" s="13"/>
      <c r="B485" s="46" t="s">
        <v>516</v>
      </c>
      <c r="C485" s="46">
        <v>235.24</v>
      </c>
      <c r="D485" s="49">
        <v>-1.12E-2</v>
      </c>
      <c r="E485" s="13"/>
      <c r="F485" s="13"/>
      <c r="G485" s="13"/>
      <c r="H485" s="46" t="s">
        <v>516</v>
      </c>
      <c r="I485" s="48">
        <v>17813.599999999999</v>
      </c>
      <c r="J485" s="49">
        <v>2.5000000000000001E-3</v>
      </c>
      <c r="K485" s="13"/>
      <c r="L485" s="13"/>
      <c r="M485" s="13"/>
      <c r="N485" s="13"/>
      <c r="O485" s="13"/>
      <c r="P485" s="13"/>
      <c r="Q485" s="13"/>
      <c r="R485" s="13"/>
      <c r="S485" s="13"/>
      <c r="T485" s="13"/>
      <c r="U485" s="13"/>
    </row>
    <row r="486" spans="1:21">
      <c r="A486" s="13"/>
      <c r="B486" s="46" t="s">
        <v>517</v>
      </c>
      <c r="C486" s="46">
        <v>237.91</v>
      </c>
      <c r="D486" s="49">
        <v>-3.0000000000000001E-3</v>
      </c>
      <c r="E486" s="13"/>
      <c r="F486" s="13"/>
      <c r="G486" s="13"/>
      <c r="H486" s="46" t="s">
        <v>517</v>
      </c>
      <c r="I486" s="48">
        <v>17769.25</v>
      </c>
      <c r="J486" s="49">
        <v>1.5E-3</v>
      </c>
      <c r="K486" s="13"/>
      <c r="L486" s="13"/>
      <c r="M486" s="13"/>
      <c r="N486" s="13"/>
      <c r="O486" s="13"/>
      <c r="P486" s="13"/>
      <c r="Q486" s="13"/>
      <c r="R486" s="13"/>
      <c r="S486" s="13"/>
      <c r="T486" s="13"/>
      <c r="U486" s="13"/>
    </row>
    <row r="487" spans="1:21">
      <c r="A487" s="13"/>
      <c r="B487" s="46" t="s">
        <v>518</v>
      </c>
      <c r="C487" s="46">
        <v>238.63</v>
      </c>
      <c r="D487" s="49">
        <v>-4.8999999999999998E-3</v>
      </c>
      <c r="E487" s="13"/>
      <c r="F487" s="13"/>
      <c r="G487" s="13"/>
      <c r="H487" s="46" t="s">
        <v>518</v>
      </c>
      <c r="I487" s="48">
        <v>17743.400000000001</v>
      </c>
      <c r="J487" s="49">
        <v>6.7999999999999996E-3</v>
      </c>
      <c r="K487" s="13"/>
      <c r="L487" s="13"/>
      <c r="M487" s="13"/>
      <c r="N487" s="13"/>
      <c r="O487" s="13"/>
      <c r="P487" s="13"/>
      <c r="Q487" s="13"/>
      <c r="R487" s="13"/>
      <c r="S487" s="13"/>
      <c r="T487" s="13"/>
      <c r="U487" s="13"/>
    </row>
    <row r="488" spans="1:21">
      <c r="A488" s="13"/>
      <c r="B488" s="46" t="s">
        <v>519</v>
      </c>
      <c r="C488" s="46">
        <v>239.81</v>
      </c>
      <c r="D488" s="49">
        <v>4.4000000000000003E-3</v>
      </c>
      <c r="E488" s="13"/>
      <c r="F488" s="13"/>
      <c r="G488" s="13"/>
      <c r="H488" s="46" t="s">
        <v>519</v>
      </c>
      <c r="I488" s="48">
        <v>17624.05</v>
      </c>
      <c r="J488" s="49">
        <v>0</v>
      </c>
      <c r="K488" s="13"/>
      <c r="L488" s="13"/>
      <c r="M488" s="13"/>
      <c r="N488" s="13"/>
      <c r="O488" s="13"/>
      <c r="P488" s="13"/>
      <c r="Q488" s="13"/>
      <c r="R488" s="13"/>
      <c r="S488" s="13"/>
      <c r="T488" s="13"/>
      <c r="U488" s="13"/>
    </row>
    <row r="489" spans="1:21">
      <c r="A489" s="13"/>
      <c r="B489" s="46" t="s">
        <v>520</v>
      </c>
      <c r="C489" s="46">
        <v>238.76</v>
      </c>
      <c r="D489" s="49">
        <v>2.1999999999999999E-2</v>
      </c>
      <c r="E489" s="13"/>
      <c r="F489" s="13"/>
      <c r="G489" s="13"/>
      <c r="H489" s="46" t="s">
        <v>520</v>
      </c>
      <c r="I489" s="48">
        <v>17624.45</v>
      </c>
      <c r="J489" s="49">
        <v>2.9999999999999997E-4</v>
      </c>
      <c r="K489" s="13"/>
      <c r="L489" s="13"/>
      <c r="M489" s="13"/>
      <c r="N489" s="13"/>
      <c r="O489" s="13"/>
      <c r="P489" s="13"/>
      <c r="Q489" s="13"/>
      <c r="R489" s="13"/>
      <c r="S489" s="13"/>
      <c r="T489" s="13"/>
      <c r="U489" s="13"/>
    </row>
    <row r="490" spans="1:21">
      <c r="A490" s="13"/>
      <c r="B490" s="46" t="s">
        <v>521</v>
      </c>
      <c r="C490" s="46">
        <v>233.62</v>
      </c>
      <c r="D490" s="49">
        <v>-1.26E-2</v>
      </c>
      <c r="E490" s="13"/>
      <c r="F490" s="13"/>
      <c r="G490" s="13"/>
      <c r="H490" s="46" t="s">
        <v>521</v>
      </c>
      <c r="I490" s="48">
        <v>17618.75</v>
      </c>
      <c r="J490" s="49">
        <v>-2.3E-3</v>
      </c>
      <c r="K490" s="13"/>
      <c r="L490" s="13"/>
      <c r="M490" s="13"/>
      <c r="N490" s="13"/>
      <c r="O490" s="13"/>
      <c r="P490" s="13"/>
      <c r="Q490" s="13"/>
      <c r="R490" s="13"/>
      <c r="S490" s="13"/>
      <c r="T490" s="13"/>
      <c r="U490" s="13"/>
    </row>
    <row r="491" spans="1:21">
      <c r="A491" s="13"/>
      <c r="B491" s="46" t="s">
        <v>522</v>
      </c>
      <c r="C491" s="46">
        <v>236.59</v>
      </c>
      <c r="D491" s="49">
        <v>-1.6999999999999999E-3</v>
      </c>
      <c r="E491" s="13"/>
      <c r="F491" s="13"/>
      <c r="G491" s="13"/>
      <c r="H491" s="46" t="s">
        <v>522</v>
      </c>
      <c r="I491" s="48">
        <v>17660.150000000001</v>
      </c>
      <c r="J491" s="49">
        <v>-2.5999999999999999E-3</v>
      </c>
      <c r="K491" s="13"/>
      <c r="L491" s="13"/>
      <c r="M491" s="13"/>
      <c r="N491" s="13"/>
      <c r="O491" s="13"/>
      <c r="P491" s="13"/>
      <c r="Q491" s="13"/>
      <c r="R491" s="13"/>
      <c r="S491" s="13"/>
      <c r="T491" s="13"/>
      <c r="U491" s="13"/>
    </row>
    <row r="492" spans="1:21">
      <c r="A492" s="13"/>
      <c r="B492" s="46" t="s">
        <v>523</v>
      </c>
      <c r="C492" s="46">
        <v>236.99</v>
      </c>
      <c r="D492" s="49">
        <v>-6.1000000000000004E-3</v>
      </c>
      <c r="E492" s="13"/>
      <c r="F492" s="13"/>
      <c r="G492" s="13"/>
      <c r="H492" s="46" t="s">
        <v>523</v>
      </c>
      <c r="I492" s="48">
        <v>17706.849999999999</v>
      </c>
      <c r="J492" s="49">
        <v>-6.7999999999999996E-3</v>
      </c>
      <c r="K492" s="13"/>
      <c r="L492" s="13"/>
      <c r="M492" s="13"/>
      <c r="N492" s="13"/>
      <c r="O492" s="13"/>
      <c r="P492" s="13"/>
      <c r="Q492" s="13"/>
      <c r="R492" s="13"/>
      <c r="S492" s="13"/>
      <c r="T492" s="13"/>
      <c r="U492" s="13"/>
    </row>
    <row r="493" spans="1:21">
      <c r="A493" s="13"/>
      <c r="B493" s="46" t="s">
        <v>524</v>
      </c>
      <c r="C493" s="46">
        <v>238.44</v>
      </c>
      <c r="D493" s="49">
        <v>4.4999999999999997E-3</v>
      </c>
      <c r="E493" s="13"/>
      <c r="F493" s="13"/>
      <c r="G493" s="13"/>
      <c r="H493" s="46" t="s">
        <v>524</v>
      </c>
      <c r="I493" s="48">
        <v>17828</v>
      </c>
      <c r="J493" s="49">
        <v>8.9999999999999998E-4</v>
      </c>
      <c r="K493" s="13"/>
      <c r="L493" s="13"/>
      <c r="M493" s="13"/>
      <c r="N493" s="13"/>
      <c r="O493" s="13"/>
      <c r="P493" s="13"/>
      <c r="Q493" s="13"/>
      <c r="R493" s="13"/>
      <c r="S493" s="13"/>
      <c r="T493" s="13"/>
      <c r="U493" s="13"/>
    </row>
    <row r="494" spans="1:21">
      <c r="A494" s="13"/>
      <c r="B494" s="47">
        <v>45264</v>
      </c>
      <c r="C494" s="46">
        <v>237.38</v>
      </c>
      <c r="D494" s="49">
        <v>-1.0800000000000001E-2</v>
      </c>
      <c r="E494" s="13"/>
      <c r="F494" s="13"/>
      <c r="G494" s="13"/>
      <c r="H494" s="47">
        <v>45264</v>
      </c>
      <c r="I494" s="48">
        <v>17812.400000000001</v>
      </c>
      <c r="J494" s="49">
        <v>5.1000000000000004E-3</v>
      </c>
      <c r="K494" s="13"/>
      <c r="L494" s="13"/>
      <c r="M494" s="13"/>
      <c r="N494" s="13"/>
      <c r="O494" s="13"/>
      <c r="P494" s="13"/>
      <c r="Q494" s="13"/>
      <c r="R494" s="13"/>
      <c r="S494" s="13"/>
      <c r="T494" s="13"/>
      <c r="U494" s="13"/>
    </row>
    <row r="495" spans="1:21">
      <c r="A495" s="13"/>
      <c r="B495" s="47">
        <v>45234</v>
      </c>
      <c r="C495" s="46">
        <v>239.96</v>
      </c>
      <c r="D495" s="49">
        <v>4.5999999999999999E-3</v>
      </c>
      <c r="E495" s="13"/>
      <c r="F495" s="13"/>
      <c r="G495" s="13"/>
      <c r="H495" s="47">
        <v>45234</v>
      </c>
      <c r="I495" s="48">
        <v>17722.3</v>
      </c>
      <c r="J495" s="49">
        <v>5.5999999999999999E-3</v>
      </c>
      <c r="K495" s="13"/>
      <c r="L495" s="13"/>
      <c r="M495" s="13"/>
      <c r="N495" s="13"/>
      <c r="O495" s="13"/>
      <c r="P495" s="13"/>
      <c r="Q495" s="13"/>
      <c r="R495" s="13"/>
      <c r="S495" s="13"/>
      <c r="T495" s="13"/>
      <c r="U495" s="13"/>
    </row>
    <row r="496" spans="1:21">
      <c r="A496" s="13"/>
      <c r="B496" s="47">
        <v>45203</v>
      </c>
      <c r="C496" s="46">
        <v>238.87</v>
      </c>
      <c r="D496" s="49">
        <v>-1.8599999999999998E-2</v>
      </c>
      <c r="E496" s="13"/>
      <c r="F496" s="13"/>
      <c r="G496" s="13"/>
      <c r="H496" s="47">
        <v>45203</v>
      </c>
      <c r="I496" s="48">
        <v>17624.05</v>
      </c>
      <c r="J496" s="49">
        <v>1.4E-3</v>
      </c>
      <c r="K496" s="13"/>
      <c r="L496" s="13"/>
      <c r="M496" s="13"/>
      <c r="N496" s="13"/>
      <c r="O496" s="13"/>
      <c r="P496" s="13"/>
      <c r="Q496" s="13"/>
      <c r="R496" s="13"/>
      <c r="S496" s="13"/>
      <c r="T496" s="13"/>
      <c r="U496" s="13"/>
    </row>
    <row r="497" spans="1:21">
      <c r="A497" s="13"/>
      <c r="B497" s="47">
        <v>45081</v>
      </c>
      <c r="C497" s="46">
        <v>243.39</v>
      </c>
      <c r="D497" s="49">
        <v>1.32E-2</v>
      </c>
      <c r="E497" s="13"/>
      <c r="F497" s="13"/>
      <c r="G497" s="13"/>
      <c r="H497" s="47">
        <v>45081</v>
      </c>
      <c r="I497" s="48">
        <v>17599.150000000001</v>
      </c>
      <c r="J497" s="49">
        <v>2.3999999999999998E-3</v>
      </c>
      <c r="K497" s="13"/>
      <c r="L497" s="13"/>
      <c r="M497" s="13"/>
      <c r="N497" s="13"/>
      <c r="O497" s="13"/>
      <c r="P497" s="13"/>
      <c r="Q497" s="13"/>
      <c r="R497" s="13"/>
      <c r="S497" s="13"/>
      <c r="T497" s="13"/>
      <c r="U497" s="13"/>
    </row>
    <row r="498" spans="1:21">
      <c r="A498" s="13"/>
      <c r="B498" s="47">
        <v>45050</v>
      </c>
      <c r="C498" s="46">
        <v>240.22</v>
      </c>
      <c r="D498" s="49">
        <v>-2.3E-3</v>
      </c>
      <c r="E498" s="13"/>
      <c r="F498" s="13"/>
      <c r="G498" s="13"/>
      <c r="H498" s="47">
        <v>45050</v>
      </c>
      <c r="I498" s="48">
        <v>17557.05</v>
      </c>
      <c r="J498" s="49">
        <v>9.1000000000000004E-3</v>
      </c>
      <c r="K498" s="13"/>
      <c r="L498" s="13"/>
      <c r="M498" s="13"/>
      <c r="N498" s="13"/>
      <c r="O498" s="13"/>
      <c r="P498" s="13"/>
      <c r="Q498" s="13"/>
      <c r="R498" s="13"/>
      <c r="S498" s="13"/>
      <c r="T498" s="13"/>
      <c r="U498" s="13"/>
    </row>
    <row r="499" spans="1:21">
      <c r="A499" s="13"/>
      <c r="B499" s="47">
        <v>44989</v>
      </c>
      <c r="C499" s="46">
        <v>240.78</v>
      </c>
      <c r="D499" s="49">
        <v>-1.17E-2</v>
      </c>
      <c r="E499" s="13"/>
      <c r="F499" s="13"/>
      <c r="G499" s="13"/>
      <c r="H499" s="47">
        <v>44989</v>
      </c>
      <c r="I499" s="48">
        <v>17398.05</v>
      </c>
      <c r="J499" s="49">
        <v>2.2000000000000001E-3</v>
      </c>
      <c r="K499" s="13"/>
      <c r="L499" s="13"/>
      <c r="M499" s="13"/>
      <c r="N499" s="13"/>
      <c r="O499" s="13"/>
      <c r="P499" s="13"/>
      <c r="Q499" s="13"/>
      <c r="R499" s="13"/>
      <c r="S499" s="13"/>
      <c r="T499" s="13"/>
      <c r="U499" s="13"/>
    </row>
    <row r="500" spans="1:21">
      <c r="A500" s="13"/>
      <c r="B500" s="46" t="s">
        <v>525</v>
      </c>
      <c r="C500" s="46">
        <v>243.62</v>
      </c>
      <c r="D500" s="49">
        <v>-8.9999999999999998E-4</v>
      </c>
      <c r="E500" s="13"/>
      <c r="F500" s="13"/>
      <c r="G500" s="13"/>
      <c r="H500" s="46" t="s">
        <v>525</v>
      </c>
      <c r="I500" s="48">
        <v>17359.75</v>
      </c>
      <c r="J500" s="49">
        <v>1.6299999999999999E-2</v>
      </c>
      <c r="K500" s="13"/>
      <c r="L500" s="13"/>
      <c r="M500" s="13"/>
      <c r="N500" s="13"/>
      <c r="O500" s="13"/>
      <c r="P500" s="13"/>
      <c r="Q500" s="13"/>
      <c r="R500" s="13"/>
      <c r="S500" s="13"/>
      <c r="T500" s="13"/>
      <c r="U500" s="13"/>
    </row>
    <row r="501" spans="1:21">
      <c r="A501" s="13"/>
      <c r="B501" s="46" t="s">
        <v>527</v>
      </c>
      <c r="C501" s="46">
        <v>243.84</v>
      </c>
      <c r="D501" s="49">
        <v>5.0900000000000001E-2</v>
      </c>
      <c r="E501" s="13"/>
      <c r="F501" s="13"/>
      <c r="G501" s="13"/>
      <c r="H501" s="46" t="s">
        <v>527</v>
      </c>
      <c r="I501" s="48">
        <v>17080.7</v>
      </c>
      <c r="J501" s="49">
        <v>7.6E-3</v>
      </c>
      <c r="K501" s="13"/>
      <c r="L501" s="13"/>
      <c r="M501" s="13"/>
      <c r="N501" s="13"/>
      <c r="O501" s="13"/>
      <c r="P501" s="13"/>
      <c r="Q501" s="13"/>
      <c r="R501" s="13"/>
      <c r="S501" s="13"/>
      <c r="T501" s="13"/>
      <c r="U501" s="13"/>
    </row>
    <row r="502" spans="1:21">
      <c r="A502" s="13"/>
      <c r="B502" s="46" t="s">
        <v>529</v>
      </c>
      <c r="C502" s="46">
        <v>232.04</v>
      </c>
      <c r="D502" s="49">
        <v>-4.8999999999999998E-3</v>
      </c>
      <c r="E502" s="13"/>
      <c r="F502" s="13"/>
      <c r="G502" s="13"/>
      <c r="H502" s="46" t="s">
        <v>529</v>
      </c>
      <c r="I502" s="48">
        <v>16951.7</v>
      </c>
      <c r="J502" s="49">
        <v>-2E-3</v>
      </c>
      <c r="K502" s="13"/>
      <c r="L502" s="13"/>
      <c r="M502" s="13"/>
      <c r="N502" s="13"/>
      <c r="O502" s="13"/>
      <c r="P502" s="13"/>
      <c r="Q502" s="13"/>
      <c r="R502" s="13"/>
      <c r="S502" s="13"/>
      <c r="T502" s="13"/>
      <c r="U502" s="13"/>
    </row>
    <row r="503" spans="1:21">
      <c r="A503" s="13"/>
      <c r="B503" s="46" t="s">
        <v>530</v>
      </c>
      <c r="C503" s="46">
        <v>233.18</v>
      </c>
      <c r="D503" s="49">
        <v>-9.9000000000000008E-3</v>
      </c>
      <c r="E503" s="13"/>
      <c r="F503" s="13"/>
      <c r="G503" s="13"/>
      <c r="H503" s="46" t="s">
        <v>530</v>
      </c>
      <c r="I503" s="48">
        <v>16985.7</v>
      </c>
      <c r="J503" s="49">
        <v>2.3999999999999998E-3</v>
      </c>
      <c r="K503" s="13"/>
      <c r="L503" s="13"/>
      <c r="M503" s="13"/>
      <c r="N503" s="13"/>
      <c r="O503" s="13"/>
      <c r="P503" s="13"/>
      <c r="Q503" s="13"/>
      <c r="R503" s="13"/>
      <c r="S503" s="13"/>
      <c r="T503" s="13"/>
      <c r="U503" s="13"/>
    </row>
    <row r="504" spans="1:21">
      <c r="A504" s="13"/>
      <c r="B504" s="46" t="s">
        <v>531</v>
      </c>
      <c r="C504" s="46">
        <v>235.52</v>
      </c>
      <c r="D504" s="49">
        <v>-8.8000000000000005E-3</v>
      </c>
      <c r="E504" s="13"/>
      <c r="F504" s="13"/>
      <c r="G504" s="13"/>
      <c r="H504" s="46" t="s">
        <v>531</v>
      </c>
      <c r="I504" s="48">
        <v>16945.05</v>
      </c>
      <c r="J504" s="49">
        <v>-7.7000000000000002E-3</v>
      </c>
      <c r="K504" s="13"/>
      <c r="L504" s="13"/>
      <c r="M504" s="13"/>
      <c r="N504" s="13"/>
      <c r="O504" s="13"/>
      <c r="P504" s="13"/>
      <c r="Q504" s="13"/>
      <c r="R504" s="13"/>
      <c r="S504" s="13"/>
      <c r="T504" s="13"/>
      <c r="U504" s="13"/>
    </row>
    <row r="505" spans="1:21">
      <c r="A505" s="13"/>
      <c r="B505" s="46" t="s">
        <v>533</v>
      </c>
      <c r="C505" s="46">
        <v>237.62</v>
      </c>
      <c r="D505" s="49">
        <v>-3.5999999999999999E-3</v>
      </c>
      <c r="E505" s="13"/>
      <c r="F505" s="13"/>
      <c r="G505" s="13"/>
      <c r="H505" s="46" t="s">
        <v>533</v>
      </c>
      <c r="I505" s="48">
        <v>17076.900000000001</v>
      </c>
      <c r="J505" s="49">
        <v>-4.4000000000000003E-3</v>
      </c>
      <c r="K505" s="13"/>
      <c r="L505" s="13"/>
      <c r="M505" s="13"/>
      <c r="N505" s="13"/>
      <c r="O505" s="13"/>
      <c r="P505" s="13"/>
      <c r="Q505" s="13"/>
      <c r="R505" s="13"/>
      <c r="S505" s="13"/>
      <c r="T505" s="13"/>
      <c r="U505" s="13"/>
    </row>
    <row r="506" spans="1:21">
      <c r="A506" s="13"/>
      <c r="B506" s="46" t="s">
        <v>535</v>
      </c>
      <c r="C506" s="46">
        <v>238.47</v>
      </c>
      <c r="D506" s="49">
        <v>-2.29E-2</v>
      </c>
      <c r="E506" s="13"/>
      <c r="F506" s="13"/>
      <c r="G506" s="13"/>
      <c r="H506" s="46" t="s">
        <v>535</v>
      </c>
      <c r="I506" s="48">
        <v>17151.900000000001</v>
      </c>
      <c r="J506" s="49">
        <v>2.5999999999999999E-3</v>
      </c>
      <c r="K506" s="13"/>
      <c r="L506" s="13"/>
      <c r="M506" s="13"/>
      <c r="N506" s="13"/>
      <c r="O506" s="13"/>
      <c r="P506" s="13"/>
      <c r="Q506" s="13"/>
      <c r="R506" s="13"/>
      <c r="S506" s="13"/>
      <c r="T506" s="13"/>
      <c r="U506" s="13"/>
    </row>
    <row r="507" spans="1:21">
      <c r="A507" s="13"/>
      <c r="B507" s="46" t="s">
        <v>536</v>
      </c>
      <c r="C507" s="46">
        <v>244.05</v>
      </c>
      <c r="D507" s="49">
        <v>3.6700000000000003E-2</v>
      </c>
      <c r="E507" s="13"/>
      <c r="F507" s="13"/>
      <c r="G507" s="13"/>
      <c r="H507" s="46" t="s">
        <v>536</v>
      </c>
      <c r="I507" s="48">
        <v>17107.5</v>
      </c>
      <c r="J507" s="49">
        <v>7.0000000000000001E-3</v>
      </c>
      <c r="K507" s="13"/>
      <c r="L507" s="13"/>
      <c r="M507" s="13"/>
      <c r="N507" s="13"/>
      <c r="O507" s="13"/>
      <c r="P507" s="13"/>
      <c r="Q507" s="13"/>
      <c r="R507" s="13"/>
      <c r="S507" s="13"/>
      <c r="T507" s="13"/>
      <c r="U507" s="13"/>
    </row>
    <row r="508" spans="1:21">
      <c r="A508" s="13"/>
      <c r="B508" s="46" t="s">
        <v>537</v>
      </c>
      <c r="C508" s="46">
        <v>235.42</v>
      </c>
      <c r="D508" s="49">
        <v>-8.0000000000000002E-3</v>
      </c>
      <c r="E508" s="13"/>
      <c r="F508" s="13"/>
      <c r="G508" s="13"/>
      <c r="H508" s="46" t="s">
        <v>537</v>
      </c>
      <c r="I508" s="48">
        <v>16988.400000000001</v>
      </c>
      <c r="J508" s="49">
        <v>-6.4999999999999997E-3</v>
      </c>
      <c r="K508" s="13"/>
      <c r="L508" s="13"/>
      <c r="M508" s="13"/>
      <c r="N508" s="13"/>
      <c r="O508" s="13"/>
      <c r="P508" s="13"/>
      <c r="Q508" s="13"/>
      <c r="R508" s="13"/>
      <c r="S508" s="13"/>
      <c r="T508" s="13"/>
      <c r="U508" s="13"/>
    </row>
    <row r="509" spans="1:21">
      <c r="A509" s="13"/>
      <c r="B509" s="46" t="s">
        <v>539</v>
      </c>
      <c r="C509" s="46">
        <v>237.32</v>
      </c>
      <c r="D509" s="49">
        <v>3.3799999999999997E-2</v>
      </c>
      <c r="E509" s="13"/>
      <c r="F509" s="13"/>
      <c r="G509" s="13"/>
      <c r="H509" s="46" t="s">
        <v>539</v>
      </c>
      <c r="I509" s="48">
        <v>17100.05</v>
      </c>
      <c r="J509" s="49">
        <v>6.7000000000000002E-3</v>
      </c>
      <c r="K509" s="13"/>
      <c r="L509" s="13"/>
      <c r="M509" s="13"/>
      <c r="N509" s="13"/>
      <c r="O509" s="13"/>
      <c r="P509" s="13"/>
      <c r="Q509" s="13"/>
      <c r="R509" s="13"/>
      <c r="S509" s="13"/>
      <c r="T509" s="13"/>
      <c r="U509" s="13"/>
    </row>
    <row r="510" spans="1:21">
      <c r="A510" s="13"/>
      <c r="B510" s="46" t="s">
        <v>541</v>
      </c>
      <c r="C510" s="46">
        <v>229.56</v>
      </c>
      <c r="D510" s="49">
        <v>-2.8899999999999999E-2</v>
      </c>
      <c r="E510" s="13"/>
      <c r="F510" s="13"/>
      <c r="G510" s="13"/>
      <c r="H510" s="46" t="s">
        <v>541</v>
      </c>
      <c r="I510" s="48">
        <v>16985.599999999999</v>
      </c>
      <c r="J510" s="49">
        <v>8.0000000000000004E-4</v>
      </c>
      <c r="K510" s="13"/>
      <c r="L510" s="13"/>
      <c r="M510" s="13"/>
      <c r="N510" s="13"/>
      <c r="O510" s="13"/>
      <c r="P510" s="13"/>
      <c r="Q510" s="13"/>
      <c r="R510" s="13"/>
      <c r="S510" s="13"/>
      <c r="T510" s="13"/>
      <c r="U510" s="13"/>
    </row>
    <row r="511" spans="1:21">
      <c r="A511" s="13"/>
      <c r="B511" s="46" t="s">
        <v>543</v>
      </c>
      <c r="C511" s="46">
        <v>236.38</v>
      </c>
      <c r="D511" s="49">
        <v>-2.0500000000000001E-2</v>
      </c>
      <c r="E511" s="13"/>
      <c r="F511" s="13"/>
      <c r="G511" s="13"/>
      <c r="H511" s="46" t="s">
        <v>543</v>
      </c>
      <c r="I511" s="48">
        <v>16972.150000000001</v>
      </c>
      <c r="J511" s="49">
        <v>-4.1999999999999997E-3</v>
      </c>
      <c r="K511" s="13"/>
      <c r="L511" s="13"/>
      <c r="M511" s="13"/>
      <c r="N511" s="13"/>
      <c r="O511" s="13"/>
      <c r="P511" s="13"/>
      <c r="Q511" s="13"/>
      <c r="R511" s="13"/>
      <c r="S511" s="13"/>
      <c r="T511" s="13"/>
      <c r="U511" s="13"/>
    </row>
    <row r="512" spans="1:21">
      <c r="A512" s="13"/>
      <c r="B512" s="46" t="s">
        <v>544</v>
      </c>
      <c r="C512" s="46">
        <v>241.32</v>
      </c>
      <c r="D512" s="49">
        <v>9.5999999999999992E-3</v>
      </c>
      <c r="E512" s="13"/>
      <c r="F512" s="13"/>
      <c r="G512" s="13"/>
      <c r="H512" s="46" t="s">
        <v>544</v>
      </c>
      <c r="I512" s="48">
        <v>17043.3</v>
      </c>
      <c r="J512" s="49">
        <v>-6.4999999999999997E-3</v>
      </c>
      <c r="K512" s="13"/>
      <c r="L512" s="13"/>
      <c r="M512" s="13"/>
      <c r="N512" s="13"/>
      <c r="O512" s="13"/>
      <c r="P512" s="13"/>
      <c r="Q512" s="13"/>
      <c r="R512" s="13"/>
      <c r="S512" s="13"/>
      <c r="T512" s="13"/>
      <c r="U512" s="13"/>
    </row>
    <row r="513" spans="1:21">
      <c r="A513" s="13"/>
      <c r="B513" s="46" t="s">
        <v>545</v>
      </c>
      <c r="C513" s="46">
        <v>239.02</v>
      </c>
      <c r="D513" s="49">
        <v>-1.55E-2</v>
      </c>
      <c r="E513" s="13"/>
      <c r="F513" s="13"/>
      <c r="G513" s="13"/>
      <c r="H513" s="46" t="s">
        <v>545</v>
      </c>
      <c r="I513" s="48">
        <v>17154.3</v>
      </c>
      <c r="J513" s="49">
        <v>-1.49E-2</v>
      </c>
      <c r="K513" s="13"/>
      <c r="L513" s="13"/>
      <c r="M513" s="13"/>
      <c r="N513" s="13"/>
      <c r="O513" s="13"/>
      <c r="P513" s="13"/>
      <c r="Q513" s="13"/>
      <c r="R513" s="13"/>
      <c r="S513" s="13"/>
      <c r="T513" s="13"/>
      <c r="U513" s="13"/>
    </row>
    <row r="514" spans="1:21">
      <c r="A514" s="13"/>
      <c r="B514" s="47">
        <v>45202</v>
      </c>
      <c r="C514" s="46">
        <v>242.79</v>
      </c>
      <c r="D514" s="49">
        <v>-9.1000000000000004E-3</v>
      </c>
      <c r="E514" s="13"/>
      <c r="F514" s="13"/>
      <c r="G514" s="13"/>
      <c r="H514" s="47">
        <v>45202</v>
      </c>
      <c r="I514" s="48">
        <v>17412.900000000001</v>
      </c>
      <c r="J514" s="49">
        <v>-0.01</v>
      </c>
      <c r="K514" s="13"/>
      <c r="L514" s="13"/>
      <c r="M514" s="13"/>
      <c r="N514" s="13"/>
      <c r="O514" s="13"/>
      <c r="P514" s="13"/>
      <c r="Q514" s="13"/>
      <c r="R514" s="13"/>
      <c r="S514" s="13"/>
      <c r="T514" s="13"/>
      <c r="U514" s="13"/>
    </row>
    <row r="515" spans="1:21">
      <c r="A515" s="13"/>
      <c r="B515" s="47">
        <v>45172</v>
      </c>
      <c r="C515" s="46">
        <v>245.02</v>
      </c>
      <c r="D515" s="49">
        <v>-9.5999999999999992E-3</v>
      </c>
      <c r="E515" s="13"/>
      <c r="F515" s="13"/>
      <c r="G515" s="13"/>
      <c r="H515" s="47">
        <v>45172</v>
      </c>
      <c r="I515" s="48">
        <v>17589.599999999999</v>
      </c>
      <c r="J515" s="49">
        <v>-9.2999999999999992E-3</v>
      </c>
      <c r="K515" s="13"/>
      <c r="L515" s="13"/>
      <c r="M515" s="13"/>
      <c r="N515" s="13"/>
      <c r="O515" s="13"/>
      <c r="P515" s="13"/>
      <c r="Q515" s="13"/>
      <c r="R515" s="13"/>
      <c r="S515" s="13"/>
      <c r="T515" s="13"/>
      <c r="U515" s="13"/>
    </row>
    <row r="516" spans="1:21">
      <c r="A516" s="13"/>
      <c r="B516" s="47">
        <v>45141</v>
      </c>
      <c r="C516" s="46">
        <v>247.4</v>
      </c>
      <c r="D516" s="49">
        <v>-1.18E-2</v>
      </c>
      <c r="E516" s="13"/>
      <c r="F516" s="13"/>
      <c r="G516" s="13"/>
      <c r="H516" s="47">
        <v>45141</v>
      </c>
      <c r="I516" s="48">
        <v>17754.400000000001</v>
      </c>
      <c r="J516" s="49">
        <v>2.3999999999999998E-3</v>
      </c>
      <c r="K516" s="13"/>
      <c r="L516" s="13"/>
      <c r="M516" s="13"/>
      <c r="N516" s="13"/>
      <c r="O516" s="13"/>
      <c r="P516" s="13"/>
      <c r="Q516" s="13"/>
      <c r="R516" s="13"/>
      <c r="S516" s="13"/>
      <c r="T516" s="13"/>
      <c r="U516" s="13"/>
    </row>
    <row r="517" spans="1:21">
      <c r="A517" s="13"/>
      <c r="B517" s="47">
        <v>45080</v>
      </c>
      <c r="C517" s="46">
        <v>250.35</v>
      </c>
      <c r="D517" s="49">
        <v>3.5999999999999999E-3</v>
      </c>
      <c r="E517" s="13"/>
      <c r="F517" s="13"/>
      <c r="G517" s="13"/>
      <c r="H517" s="47">
        <v>45080</v>
      </c>
      <c r="I517" s="48">
        <v>17711.45</v>
      </c>
      <c r="J517" s="49">
        <v>6.7000000000000002E-3</v>
      </c>
      <c r="K517" s="13"/>
      <c r="L517" s="13"/>
      <c r="M517" s="13"/>
      <c r="N517" s="13"/>
      <c r="O517" s="13"/>
      <c r="P517" s="13"/>
      <c r="Q517" s="13"/>
      <c r="R517" s="13"/>
      <c r="S517" s="13"/>
      <c r="T517" s="13"/>
      <c r="U517" s="13"/>
    </row>
    <row r="518" spans="1:21">
      <c r="A518" s="13"/>
      <c r="B518" s="47">
        <v>44988</v>
      </c>
      <c r="C518" s="46">
        <v>249.44</v>
      </c>
      <c r="D518" s="49">
        <v>4.1000000000000003E-3</v>
      </c>
      <c r="E518" s="13"/>
      <c r="F518" s="13"/>
      <c r="G518" s="13"/>
      <c r="H518" s="47">
        <v>44988</v>
      </c>
      <c r="I518" s="48">
        <v>17594.349999999999</v>
      </c>
      <c r="J518" s="49">
        <v>1.5699999999999999E-2</v>
      </c>
      <c r="K518" s="13"/>
      <c r="L518" s="13"/>
      <c r="M518" s="13"/>
      <c r="N518" s="13"/>
      <c r="O518" s="13"/>
      <c r="P518" s="13"/>
      <c r="Q518" s="13"/>
      <c r="R518" s="13"/>
      <c r="S518" s="13"/>
      <c r="T518" s="13"/>
      <c r="U518" s="13"/>
    </row>
    <row r="519" spans="1:21">
      <c r="A519" s="13"/>
      <c r="B519" s="47">
        <v>44960</v>
      </c>
      <c r="C519" s="46">
        <v>248.41</v>
      </c>
      <c r="D519" s="49">
        <v>-6.1999999999999998E-3</v>
      </c>
      <c r="E519" s="13"/>
      <c r="F519" s="13"/>
      <c r="G519" s="13"/>
      <c r="H519" s="47">
        <v>44960</v>
      </c>
      <c r="I519" s="48">
        <v>17321.900000000001</v>
      </c>
      <c r="J519" s="49">
        <v>-7.4000000000000003E-3</v>
      </c>
      <c r="K519" s="13"/>
      <c r="L519" s="13"/>
      <c r="M519" s="13"/>
      <c r="N519" s="13"/>
      <c r="O519" s="13"/>
      <c r="P519" s="13"/>
      <c r="Q519" s="13"/>
      <c r="R519" s="13"/>
      <c r="S519" s="13"/>
      <c r="T519" s="13"/>
      <c r="U519" s="13"/>
    </row>
    <row r="520" spans="1:21">
      <c r="A520" s="13"/>
      <c r="B520" s="47">
        <v>44929</v>
      </c>
      <c r="C520" s="46">
        <v>249.97</v>
      </c>
      <c r="D520" s="49">
        <v>1.0999999999999999E-2</v>
      </c>
      <c r="E520" s="13"/>
      <c r="F520" s="13"/>
      <c r="G520" s="13"/>
      <c r="H520" s="47">
        <v>44929</v>
      </c>
      <c r="I520" s="48">
        <v>17450.900000000001</v>
      </c>
      <c r="J520" s="49">
        <v>8.5000000000000006E-3</v>
      </c>
      <c r="K520" s="13"/>
      <c r="L520" s="13"/>
      <c r="M520" s="13"/>
      <c r="N520" s="13"/>
      <c r="O520" s="13"/>
      <c r="P520" s="13"/>
      <c r="Q520" s="13"/>
      <c r="R520" s="13"/>
      <c r="S520" s="13"/>
      <c r="T520" s="13"/>
      <c r="U520" s="13"/>
    </row>
    <row r="521" spans="1:21">
      <c r="A521" s="13"/>
      <c r="B521" s="46" t="s">
        <v>551</v>
      </c>
      <c r="C521" s="46">
        <v>247.24</v>
      </c>
      <c r="D521" s="49">
        <v>1.1599999999999999E-2</v>
      </c>
      <c r="E521" s="13"/>
      <c r="F521" s="13"/>
      <c r="G521" s="13"/>
      <c r="H521" s="46" t="s">
        <v>551</v>
      </c>
      <c r="I521" s="48">
        <v>17303.95</v>
      </c>
      <c r="J521" s="49">
        <v>-5.1000000000000004E-3</v>
      </c>
      <c r="K521" s="13"/>
      <c r="L521" s="13"/>
      <c r="M521" s="13"/>
      <c r="N521" s="13"/>
      <c r="O521" s="13"/>
      <c r="P521" s="13"/>
      <c r="Q521" s="13"/>
      <c r="R521" s="13"/>
      <c r="S521" s="13"/>
      <c r="T521" s="13"/>
      <c r="U521" s="13"/>
    </row>
    <row r="522" spans="1:21">
      <c r="A522" s="13"/>
      <c r="B522" s="46" t="s">
        <v>553</v>
      </c>
      <c r="C522" s="46">
        <v>244.4</v>
      </c>
      <c r="D522" s="49">
        <v>2.4500000000000001E-2</v>
      </c>
      <c r="E522" s="13"/>
      <c r="F522" s="13"/>
      <c r="G522" s="13"/>
      <c r="H522" s="46" t="s">
        <v>553</v>
      </c>
      <c r="I522" s="48">
        <v>17392.7</v>
      </c>
      <c r="J522" s="49">
        <v>-4.1999999999999997E-3</v>
      </c>
      <c r="K522" s="13"/>
      <c r="L522" s="13"/>
      <c r="M522" s="13"/>
      <c r="N522" s="13"/>
      <c r="O522" s="13"/>
      <c r="P522" s="13"/>
      <c r="Q522" s="13"/>
      <c r="R522" s="13"/>
      <c r="S522" s="13"/>
      <c r="T522" s="13"/>
      <c r="U522" s="13"/>
    </row>
    <row r="523" spans="1:21">
      <c r="A523" s="13"/>
      <c r="B523" s="46" t="s">
        <v>555</v>
      </c>
      <c r="C523" s="46">
        <v>238.55</v>
      </c>
      <c r="D523" s="49">
        <v>-2.1299999999999999E-2</v>
      </c>
      <c r="E523" s="13"/>
      <c r="F523" s="13"/>
      <c r="G523" s="13"/>
      <c r="H523" s="46" t="s">
        <v>555</v>
      </c>
      <c r="I523" s="48">
        <v>17465.8</v>
      </c>
      <c r="J523" s="49">
        <v>-2.5999999999999999E-3</v>
      </c>
      <c r="K523" s="13"/>
      <c r="L523" s="13"/>
      <c r="M523" s="13"/>
      <c r="N523" s="13"/>
      <c r="O523" s="13"/>
      <c r="P523" s="13"/>
      <c r="Q523" s="13"/>
      <c r="R523" s="13"/>
      <c r="S523" s="13"/>
      <c r="T523" s="13"/>
      <c r="U523" s="13"/>
    </row>
    <row r="524" spans="1:21">
      <c r="A524" s="13"/>
      <c r="B524" s="46" t="s">
        <v>557</v>
      </c>
      <c r="C524" s="46">
        <v>243.75</v>
      </c>
      <c r="D524" s="49">
        <v>-4.4999999999999997E-3</v>
      </c>
      <c r="E524" s="13"/>
      <c r="F524" s="13"/>
      <c r="G524" s="13"/>
      <c r="H524" s="46" t="s">
        <v>557</v>
      </c>
      <c r="I524" s="48">
        <v>17511.25</v>
      </c>
      <c r="J524" s="49">
        <v>-2.5000000000000001E-3</v>
      </c>
      <c r="K524" s="13"/>
      <c r="L524" s="13"/>
      <c r="M524" s="13"/>
      <c r="N524" s="13"/>
      <c r="O524" s="13"/>
      <c r="P524" s="13"/>
      <c r="Q524" s="13"/>
      <c r="R524" s="13"/>
      <c r="S524" s="13"/>
      <c r="T524" s="13"/>
      <c r="U524" s="13"/>
    </row>
    <row r="525" spans="1:21">
      <c r="A525" s="13"/>
      <c r="B525" s="46" t="s">
        <v>558</v>
      </c>
      <c r="C525" s="46">
        <v>244.85</v>
      </c>
      <c r="D525" s="49">
        <v>-1.0200000000000001E-2</v>
      </c>
      <c r="E525" s="13"/>
      <c r="F525" s="13"/>
      <c r="G525" s="13"/>
      <c r="H525" s="46" t="s">
        <v>558</v>
      </c>
      <c r="I525" s="48">
        <v>17554.3</v>
      </c>
      <c r="J525" s="49">
        <v>-1.5299999999999999E-2</v>
      </c>
      <c r="K525" s="13"/>
      <c r="L525" s="13"/>
      <c r="M525" s="13"/>
      <c r="N525" s="13"/>
      <c r="O525" s="13"/>
      <c r="P525" s="13"/>
      <c r="Q525" s="13"/>
      <c r="R525" s="13"/>
      <c r="S525" s="13"/>
      <c r="T525" s="13"/>
      <c r="U525" s="13"/>
    </row>
    <row r="526" spans="1:21">
      <c r="A526" s="13"/>
      <c r="B526" s="46" t="s">
        <v>559</v>
      </c>
      <c r="C526" s="46">
        <v>247.38</v>
      </c>
      <c r="D526" s="49">
        <v>3.32E-2</v>
      </c>
      <c r="E526" s="13"/>
      <c r="F526" s="13"/>
      <c r="G526" s="13"/>
      <c r="H526" s="46" t="s">
        <v>559</v>
      </c>
      <c r="I526" s="48">
        <v>17826.7</v>
      </c>
      <c r="J526" s="49">
        <v>-1E-3</v>
      </c>
      <c r="K526" s="13"/>
      <c r="L526" s="13"/>
      <c r="M526" s="13"/>
      <c r="N526" s="13"/>
      <c r="O526" s="13"/>
      <c r="P526" s="13"/>
      <c r="Q526" s="13"/>
      <c r="R526" s="13"/>
      <c r="S526" s="13"/>
      <c r="T526" s="13"/>
      <c r="U526" s="13"/>
    </row>
    <row r="527" spans="1:21">
      <c r="A527" s="13"/>
      <c r="B527" s="46" t="s">
        <v>561</v>
      </c>
      <c r="C527" s="46">
        <v>239.43</v>
      </c>
      <c r="D527" s="49">
        <v>2.23E-2</v>
      </c>
      <c r="E527" s="13"/>
      <c r="F527" s="13"/>
      <c r="G527" s="13"/>
      <c r="H527" s="46" t="s">
        <v>561</v>
      </c>
      <c r="I527" s="48">
        <v>17844.599999999999</v>
      </c>
      <c r="J527" s="49">
        <v>-5.5999999999999999E-3</v>
      </c>
      <c r="K527" s="13"/>
      <c r="L527" s="13"/>
      <c r="M527" s="13"/>
      <c r="N527" s="13"/>
      <c r="O527" s="13"/>
      <c r="P527" s="13"/>
      <c r="Q527" s="13"/>
      <c r="R527" s="13"/>
      <c r="S527" s="13"/>
      <c r="T527" s="13"/>
      <c r="U527" s="13"/>
    </row>
    <row r="528" spans="1:21">
      <c r="A528" s="13"/>
      <c r="B528" s="46" t="s">
        <v>563</v>
      </c>
      <c r="C528" s="46">
        <v>234.2</v>
      </c>
      <c r="D528" s="49">
        <v>-1.1900000000000001E-2</v>
      </c>
      <c r="E528" s="13"/>
      <c r="F528" s="13"/>
      <c r="G528" s="13"/>
      <c r="H528" s="46" t="s">
        <v>563</v>
      </c>
      <c r="I528" s="48">
        <v>17944.2</v>
      </c>
      <c r="J528" s="49">
        <v>-5.1000000000000004E-3</v>
      </c>
      <c r="K528" s="13"/>
      <c r="L528" s="13"/>
      <c r="M528" s="13"/>
      <c r="N528" s="13"/>
      <c r="O528" s="13"/>
      <c r="P528" s="13"/>
      <c r="Q528" s="13"/>
      <c r="R528" s="13"/>
      <c r="S528" s="13"/>
      <c r="T528" s="13"/>
      <c r="U528" s="13"/>
    </row>
    <row r="529" spans="1:21">
      <c r="A529" s="13"/>
      <c r="B529" s="46" t="s">
        <v>564</v>
      </c>
      <c r="C529" s="46">
        <v>237.03</v>
      </c>
      <c r="D529" s="49">
        <v>3.09E-2</v>
      </c>
      <c r="E529" s="13"/>
      <c r="F529" s="13"/>
      <c r="G529" s="13"/>
      <c r="H529" s="46" t="s">
        <v>564</v>
      </c>
      <c r="I529" s="48">
        <v>18035.849999999999</v>
      </c>
      <c r="J529" s="49">
        <v>1.1000000000000001E-3</v>
      </c>
      <c r="K529" s="13"/>
      <c r="L529" s="13"/>
      <c r="M529" s="13"/>
      <c r="N529" s="13"/>
      <c r="O529" s="13"/>
      <c r="P529" s="13"/>
      <c r="Q529" s="13"/>
      <c r="R529" s="13"/>
      <c r="S529" s="13"/>
      <c r="T529" s="13"/>
      <c r="U529" s="13"/>
    </row>
    <row r="530" spans="1:21">
      <c r="A530" s="13"/>
      <c r="B530" s="46" t="s">
        <v>565</v>
      </c>
      <c r="C530" s="46">
        <v>229.93</v>
      </c>
      <c r="D530" s="49">
        <v>-2.53E-2</v>
      </c>
      <c r="E530" s="13"/>
      <c r="F530" s="13"/>
      <c r="G530" s="13"/>
      <c r="H530" s="46" t="s">
        <v>565</v>
      </c>
      <c r="I530" s="48">
        <v>18015.849999999999</v>
      </c>
      <c r="J530" s="49">
        <v>4.7999999999999996E-3</v>
      </c>
      <c r="K530" s="13"/>
      <c r="L530" s="13"/>
      <c r="M530" s="13"/>
      <c r="N530" s="13"/>
      <c r="O530" s="13"/>
      <c r="P530" s="13"/>
      <c r="Q530" s="13"/>
      <c r="R530" s="13"/>
      <c r="S530" s="13"/>
      <c r="T530" s="13"/>
      <c r="U530" s="13"/>
    </row>
    <row r="531" spans="1:21">
      <c r="A531" s="13"/>
      <c r="B531" s="46" t="s">
        <v>567</v>
      </c>
      <c r="C531" s="46">
        <v>235.9</v>
      </c>
      <c r="D531" s="49">
        <v>-6.9999999999999999E-4</v>
      </c>
      <c r="E531" s="13"/>
      <c r="F531" s="13"/>
      <c r="G531" s="13"/>
      <c r="H531" s="46" t="s">
        <v>567</v>
      </c>
      <c r="I531" s="48">
        <v>17929.849999999999</v>
      </c>
      <c r="J531" s="49">
        <v>8.8999999999999999E-3</v>
      </c>
      <c r="K531" s="13"/>
      <c r="L531" s="13"/>
      <c r="M531" s="13"/>
      <c r="N531" s="13"/>
      <c r="O531" s="13"/>
      <c r="P531" s="13"/>
      <c r="Q531" s="13"/>
      <c r="R531" s="13"/>
      <c r="S531" s="13"/>
      <c r="T531" s="13"/>
      <c r="U531" s="13"/>
    </row>
    <row r="532" spans="1:21">
      <c r="A532" s="13"/>
      <c r="B532" s="46" t="s">
        <v>569</v>
      </c>
      <c r="C532" s="46">
        <v>236.06</v>
      </c>
      <c r="D532" s="49">
        <v>-2.3E-2</v>
      </c>
      <c r="E532" s="13"/>
      <c r="F532" s="13"/>
      <c r="G532" s="13"/>
      <c r="H532" s="46" t="s">
        <v>569</v>
      </c>
      <c r="I532" s="48">
        <v>17770.900000000001</v>
      </c>
      <c r="J532" s="49">
        <v>-4.7999999999999996E-3</v>
      </c>
      <c r="K532" s="13"/>
      <c r="L532" s="13"/>
      <c r="M532" s="13"/>
      <c r="N532" s="13"/>
      <c r="O532" s="13"/>
      <c r="P532" s="13"/>
      <c r="Q532" s="13"/>
      <c r="R532" s="13"/>
      <c r="S532" s="13"/>
      <c r="T532" s="13"/>
      <c r="U532" s="13"/>
    </row>
    <row r="533" spans="1:21">
      <c r="A533" s="13"/>
      <c r="B533" s="47">
        <v>45201</v>
      </c>
      <c r="C533" s="46">
        <v>241.62</v>
      </c>
      <c r="D533" s="49">
        <v>-4.2500000000000003E-2</v>
      </c>
      <c r="E533" s="13"/>
      <c r="F533" s="13"/>
      <c r="G533" s="13"/>
      <c r="H533" s="47">
        <v>45201</v>
      </c>
      <c r="I533" s="48">
        <v>17856.5</v>
      </c>
      <c r="J533" s="49">
        <v>-2.0999999999999999E-3</v>
      </c>
      <c r="K533" s="13"/>
      <c r="L533" s="13"/>
      <c r="M533" s="13"/>
      <c r="N533" s="13"/>
      <c r="O533" s="13"/>
      <c r="P533" s="13"/>
      <c r="Q533" s="13"/>
      <c r="R533" s="13"/>
      <c r="S533" s="13"/>
      <c r="T533" s="13"/>
      <c r="U533" s="13"/>
    </row>
    <row r="534" spans="1:21">
      <c r="A534" s="13"/>
      <c r="B534" s="47">
        <v>45171</v>
      </c>
      <c r="C534" s="46">
        <v>252.34</v>
      </c>
      <c r="D534" s="49">
        <v>2.0000000000000001E-4</v>
      </c>
      <c r="E534" s="13"/>
      <c r="F534" s="13"/>
      <c r="G534" s="13"/>
      <c r="H534" s="47">
        <v>45171</v>
      </c>
      <c r="I534" s="48">
        <v>17893.45</v>
      </c>
      <c r="J534" s="49">
        <v>1.1999999999999999E-3</v>
      </c>
      <c r="K534" s="13"/>
      <c r="L534" s="13"/>
      <c r="M534" s="13"/>
      <c r="N534" s="13"/>
      <c r="O534" s="13"/>
      <c r="P534" s="13"/>
      <c r="Q534" s="13"/>
      <c r="R534" s="13"/>
      <c r="S534" s="13"/>
      <c r="T534" s="13"/>
      <c r="U534" s="13"/>
    </row>
    <row r="535" spans="1:21">
      <c r="A535" s="13"/>
      <c r="B535" s="47">
        <v>45140</v>
      </c>
      <c r="C535" s="46">
        <v>252.28</v>
      </c>
      <c r="D535" s="49">
        <v>2.1499999999999998E-2</v>
      </c>
      <c r="E535" s="13"/>
      <c r="F535" s="13"/>
      <c r="G535" s="13"/>
      <c r="H535" s="47">
        <v>45140</v>
      </c>
      <c r="I535" s="48">
        <v>17871.7</v>
      </c>
      <c r="J535" s="49">
        <v>8.5000000000000006E-3</v>
      </c>
      <c r="K535" s="13"/>
      <c r="L535" s="13"/>
      <c r="M535" s="13"/>
      <c r="N535" s="13"/>
      <c r="O535" s="13"/>
      <c r="P535" s="13"/>
      <c r="Q535" s="13"/>
      <c r="R535" s="13"/>
      <c r="S535" s="13"/>
      <c r="T535" s="13"/>
      <c r="U535" s="13"/>
    </row>
    <row r="536" spans="1:21">
      <c r="A536" s="13"/>
      <c r="B536" s="47">
        <v>45109</v>
      </c>
      <c r="C536" s="46">
        <v>246.96</v>
      </c>
      <c r="D536" s="49">
        <v>2.47E-2</v>
      </c>
      <c r="E536" s="13"/>
      <c r="F536" s="13"/>
      <c r="G536" s="13"/>
      <c r="H536" s="47">
        <v>45109</v>
      </c>
      <c r="I536" s="48">
        <v>17721.5</v>
      </c>
      <c r="J536" s="49">
        <v>-2.3999999999999998E-3</v>
      </c>
      <c r="K536" s="13"/>
      <c r="L536" s="13"/>
      <c r="M536" s="13"/>
      <c r="N536" s="13"/>
      <c r="O536" s="13"/>
      <c r="P536" s="13"/>
      <c r="Q536" s="13"/>
      <c r="R536" s="13"/>
      <c r="S536" s="13"/>
      <c r="T536" s="13"/>
      <c r="U536" s="13"/>
    </row>
    <row r="537" spans="1:21">
      <c r="A537" s="13"/>
      <c r="B537" s="47">
        <v>45079</v>
      </c>
      <c r="C537" s="46">
        <v>241.01</v>
      </c>
      <c r="D537" s="49">
        <v>4.1099999999999998E-2</v>
      </c>
      <c r="E537" s="13"/>
      <c r="F537" s="13"/>
      <c r="G537" s="13"/>
      <c r="H537" s="47">
        <v>45079</v>
      </c>
      <c r="I537" s="48">
        <v>17764.599999999999</v>
      </c>
      <c r="J537" s="49">
        <v>-5.0000000000000001E-3</v>
      </c>
      <c r="K537" s="13"/>
      <c r="L537" s="13"/>
      <c r="M537" s="13"/>
      <c r="N537" s="13"/>
      <c r="O537" s="13"/>
      <c r="P537" s="13"/>
      <c r="Q537" s="13"/>
      <c r="R537" s="13"/>
      <c r="S537" s="13"/>
      <c r="T537" s="13"/>
      <c r="U537" s="13"/>
    </row>
    <row r="538" spans="1:21">
      <c r="A538" s="13"/>
      <c r="B538" s="47">
        <v>44987</v>
      </c>
      <c r="C538" s="46">
        <v>231.49</v>
      </c>
      <c r="D538" s="49">
        <v>-2.3199999999999998E-2</v>
      </c>
      <c r="E538" s="13"/>
      <c r="F538" s="13"/>
      <c r="G538" s="13"/>
      <c r="H538" s="47">
        <v>44987</v>
      </c>
      <c r="I538" s="48">
        <v>17854.05</v>
      </c>
      <c r="J538" s="49">
        <v>1.38E-2</v>
      </c>
      <c r="K538" s="13"/>
      <c r="L538" s="13"/>
      <c r="M538" s="13"/>
      <c r="N538" s="13"/>
      <c r="O538" s="13"/>
      <c r="P538" s="13"/>
      <c r="Q538" s="13"/>
      <c r="R538" s="13"/>
      <c r="S538" s="13"/>
      <c r="T538" s="13"/>
      <c r="U538" s="13"/>
    </row>
    <row r="539" spans="1:21">
      <c r="A539" s="13"/>
      <c r="B539" s="47">
        <v>44959</v>
      </c>
      <c r="C539" s="46">
        <v>236.98</v>
      </c>
      <c r="D539" s="49">
        <v>-4.2700000000000002E-2</v>
      </c>
      <c r="E539" s="13"/>
      <c r="F539" s="13"/>
      <c r="G539" s="13"/>
      <c r="H539" s="47">
        <v>44959</v>
      </c>
      <c r="I539" s="48">
        <v>17610.400000000001</v>
      </c>
      <c r="J539" s="49">
        <v>-2.9999999999999997E-4</v>
      </c>
      <c r="K539" s="13"/>
      <c r="L539" s="13"/>
      <c r="M539" s="13"/>
      <c r="N539" s="13"/>
      <c r="O539" s="13"/>
      <c r="P539" s="13"/>
      <c r="Q539" s="13"/>
      <c r="R539" s="13"/>
      <c r="S539" s="13"/>
      <c r="T539" s="13"/>
      <c r="U539" s="13"/>
    </row>
    <row r="540" spans="1:21">
      <c r="A540" s="13"/>
      <c r="B540" s="47">
        <v>44928</v>
      </c>
      <c r="C540" s="46">
        <v>247.55</v>
      </c>
      <c r="D540" s="49">
        <v>-4.5900000000000003E-2</v>
      </c>
      <c r="E540" s="13"/>
      <c r="F540" s="13"/>
      <c r="G540" s="13"/>
      <c r="H540" s="47">
        <v>44928</v>
      </c>
      <c r="I540" s="48">
        <v>17616.3</v>
      </c>
      <c r="J540" s="49">
        <v>-2.5999999999999999E-3</v>
      </c>
      <c r="K540" s="13"/>
      <c r="L540" s="13"/>
      <c r="M540" s="13"/>
      <c r="N540" s="13"/>
      <c r="O540" s="13"/>
      <c r="P540" s="13"/>
      <c r="Q540" s="13"/>
      <c r="R540" s="13"/>
      <c r="S540" s="13"/>
      <c r="T540" s="13"/>
      <c r="U540" s="13"/>
    </row>
    <row r="541" spans="1:21">
      <c r="A541" s="13"/>
      <c r="B541" s="46" t="s">
        <v>576</v>
      </c>
      <c r="C541" s="46">
        <v>259.45999999999998</v>
      </c>
      <c r="D541" s="49">
        <v>1.78E-2</v>
      </c>
      <c r="E541" s="13"/>
      <c r="F541" s="13"/>
      <c r="G541" s="13"/>
      <c r="H541" s="46" t="s">
        <v>576</v>
      </c>
      <c r="I541" s="48">
        <v>17662.150000000001</v>
      </c>
      <c r="J541" s="49">
        <v>6.9999999999999999E-4</v>
      </c>
      <c r="K541" s="13"/>
      <c r="L541" s="13"/>
      <c r="M541" s="13"/>
      <c r="N541" s="13"/>
      <c r="O541" s="13"/>
      <c r="P541" s="13"/>
      <c r="Q541" s="13"/>
      <c r="R541" s="13"/>
      <c r="S541" s="13"/>
      <c r="T541" s="13"/>
      <c r="U541" s="13"/>
    </row>
    <row r="542" spans="1:21">
      <c r="A542" s="13"/>
      <c r="B542" s="46" t="s">
        <v>577</v>
      </c>
      <c r="C542" s="46">
        <v>254.93</v>
      </c>
      <c r="D542" s="49">
        <v>-1.15E-2</v>
      </c>
      <c r="E542" s="13"/>
      <c r="F542" s="13"/>
      <c r="G542" s="13"/>
      <c r="H542" s="46" t="s">
        <v>577</v>
      </c>
      <c r="I542" s="48">
        <v>17648.95</v>
      </c>
      <c r="J542" s="49">
        <v>2.5000000000000001E-3</v>
      </c>
      <c r="K542" s="13"/>
      <c r="L542" s="13"/>
      <c r="M542" s="13"/>
      <c r="N542" s="13"/>
      <c r="O542" s="13"/>
      <c r="P542" s="13"/>
      <c r="Q542" s="13"/>
      <c r="R542" s="13"/>
      <c r="S542" s="13"/>
      <c r="T542" s="13"/>
      <c r="U542" s="13"/>
    </row>
    <row r="543" spans="1:21">
      <c r="A543" s="13"/>
      <c r="B543" s="46" t="s">
        <v>578</v>
      </c>
      <c r="C543" s="46">
        <v>257.89</v>
      </c>
      <c r="D543" s="49">
        <v>-7.4000000000000003E-3</v>
      </c>
      <c r="E543" s="13"/>
      <c r="F543" s="13"/>
      <c r="G543" s="13"/>
      <c r="H543" s="46" t="s">
        <v>578</v>
      </c>
      <c r="I543" s="48">
        <v>17604.349999999999</v>
      </c>
      <c r="J543" s="49">
        <v>-1.61E-2</v>
      </c>
      <c r="K543" s="13"/>
      <c r="L543" s="13"/>
      <c r="M543" s="13"/>
      <c r="N543" s="13"/>
      <c r="O543" s="13"/>
      <c r="P543" s="13"/>
      <c r="Q543" s="13"/>
      <c r="R543" s="13"/>
      <c r="S543" s="13"/>
      <c r="T543" s="13"/>
      <c r="U543" s="13"/>
    </row>
    <row r="544" spans="1:21">
      <c r="A544" s="13"/>
      <c r="B544" s="46" t="s">
        <v>580</v>
      </c>
      <c r="C544" s="46">
        <v>259.8</v>
      </c>
      <c r="D544" s="49">
        <v>-3.7000000000000002E-3</v>
      </c>
      <c r="E544" s="13"/>
      <c r="F544" s="13"/>
      <c r="G544" s="13"/>
      <c r="H544" s="46" t="s">
        <v>580</v>
      </c>
      <c r="I544" s="48">
        <v>17891.95</v>
      </c>
      <c r="J544" s="49">
        <v>-1.2500000000000001E-2</v>
      </c>
      <c r="K544" s="13"/>
      <c r="L544" s="13"/>
      <c r="M544" s="13"/>
      <c r="N544" s="13"/>
      <c r="O544" s="13"/>
      <c r="P544" s="13"/>
      <c r="Q544" s="13"/>
      <c r="R544" s="13"/>
      <c r="S544" s="13"/>
      <c r="T544" s="13"/>
      <c r="U544" s="13"/>
    </row>
    <row r="545" spans="1:21">
      <c r="A545" s="13"/>
      <c r="B545" s="46" t="s">
        <v>582</v>
      </c>
      <c r="C545" s="46">
        <v>260.76</v>
      </c>
      <c r="D545" s="49">
        <v>5.1999999999999998E-3</v>
      </c>
      <c r="E545" s="13"/>
      <c r="F545" s="13"/>
      <c r="G545" s="13"/>
      <c r="H545" s="46" t="s">
        <v>582</v>
      </c>
      <c r="I545" s="48">
        <v>18118.3</v>
      </c>
      <c r="J545" s="49">
        <v>0</v>
      </c>
      <c r="K545" s="13"/>
      <c r="L545" s="13"/>
      <c r="M545" s="13"/>
      <c r="N545" s="13"/>
      <c r="O545" s="13"/>
      <c r="P545" s="13"/>
      <c r="Q545" s="13"/>
      <c r="R545" s="13"/>
      <c r="S545" s="13"/>
      <c r="T545" s="13"/>
      <c r="U545" s="13"/>
    </row>
    <row r="546" spans="1:21">
      <c r="A546" s="13"/>
      <c r="B546" s="46" t="s">
        <v>584</v>
      </c>
      <c r="C546" s="46">
        <v>259.39999999999998</v>
      </c>
      <c r="D546" s="49">
        <v>1.2999999999999999E-3</v>
      </c>
      <c r="E546" s="13"/>
      <c r="F546" s="13"/>
      <c r="G546" s="13"/>
      <c r="H546" s="46" t="s">
        <v>584</v>
      </c>
      <c r="I546" s="48">
        <v>18118.55</v>
      </c>
      <c r="J546" s="49">
        <v>5.0000000000000001E-3</v>
      </c>
      <c r="K546" s="13"/>
      <c r="L546" s="13"/>
      <c r="M546" s="13"/>
      <c r="N546" s="13"/>
      <c r="O546" s="13"/>
      <c r="P546" s="13"/>
      <c r="Q546" s="13"/>
      <c r="R546" s="13"/>
      <c r="S546" s="13"/>
      <c r="T546" s="13"/>
      <c r="U546" s="13"/>
    </row>
    <row r="547" spans="1:21">
      <c r="A547" s="13"/>
      <c r="B547" s="46" t="s">
        <v>585</v>
      </c>
      <c r="C547" s="46">
        <v>259.07</v>
      </c>
      <c r="D547" s="49">
        <v>1.4E-3</v>
      </c>
      <c r="E547" s="13"/>
      <c r="F547" s="13"/>
      <c r="G547" s="13"/>
      <c r="H547" s="46" t="s">
        <v>585</v>
      </c>
      <c r="I547" s="48">
        <v>18027.650000000001</v>
      </c>
      <c r="J547" s="49">
        <v>-4.4000000000000003E-3</v>
      </c>
      <c r="K547" s="13"/>
      <c r="L547" s="13"/>
      <c r="M547" s="13"/>
      <c r="N547" s="13"/>
      <c r="O547" s="13"/>
      <c r="P547" s="13"/>
      <c r="Q547" s="13"/>
      <c r="R547" s="13"/>
      <c r="S547" s="13"/>
      <c r="T547" s="13"/>
      <c r="U547" s="13"/>
    </row>
    <row r="548" spans="1:21">
      <c r="A548" s="13"/>
      <c r="B548" s="46" t="s">
        <v>586</v>
      </c>
      <c r="C548" s="46">
        <v>258.70999999999998</v>
      </c>
      <c r="D548" s="49">
        <v>-1.1599999999999999E-2</v>
      </c>
      <c r="E548" s="13"/>
      <c r="F548" s="13"/>
      <c r="G548" s="13"/>
      <c r="H548" s="46" t="s">
        <v>586</v>
      </c>
      <c r="I548" s="48">
        <v>18107.849999999999</v>
      </c>
      <c r="J548" s="49">
        <v>-3.2000000000000002E-3</v>
      </c>
      <c r="K548" s="13"/>
      <c r="L548" s="13"/>
      <c r="M548" s="13"/>
      <c r="N548" s="13"/>
      <c r="O548" s="13"/>
      <c r="P548" s="13"/>
      <c r="Q548" s="13"/>
      <c r="R548" s="13"/>
      <c r="S548" s="13"/>
      <c r="T548" s="13"/>
      <c r="U548" s="13"/>
    </row>
    <row r="549" spans="1:21">
      <c r="A549" s="13"/>
      <c r="B549" s="46" t="s">
        <v>588</v>
      </c>
      <c r="C549" s="46">
        <v>261.75</v>
      </c>
      <c r="D549" s="49">
        <v>8.8999999999999999E-3</v>
      </c>
      <c r="E549" s="13"/>
      <c r="F549" s="13"/>
      <c r="G549" s="13"/>
      <c r="H549" s="46" t="s">
        <v>588</v>
      </c>
      <c r="I549" s="48">
        <v>18165.349999999999</v>
      </c>
      <c r="J549" s="49">
        <v>6.1999999999999998E-3</v>
      </c>
      <c r="K549" s="13"/>
      <c r="L549" s="13"/>
      <c r="M549" s="13"/>
      <c r="N549" s="13"/>
      <c r="O549" s="13"/>
      <c r="P549" s="13"/>
      <c r="Q549" s="13"/>
      <c r="R549" s="13"/>
      <c r="S549" s="13"/>
      <c r="T549" s="13"/>
      <c r="U549" s="13"/>
    </row>
    <row r="550" spans="1:21">
      <c r="A550" s="13"/>
      <c r="B550" s="46" t="s">
        <v>590</v>
      </c>
      <c r="C550" s="46">
        <v>259.43</v>
      </c>
      <c r="D550" s="49">
        <v>1.3100000000000001E-2</v>
      </c>
      <c r="E550" s="13"/>
      <c r="F550" s="13"/>
      <c r="G550" s="13"/>
      <c r="H550" s="46" t="s">
        <v>590</v>
      </c>
      <c r="I550" s="48">
        <v>18053.3</v>
      </c>
      <c r="J550" s="49">
        <v>8.8999999999999999E-3</v>
      </c>
      <c r="K550" s="13"/>
      <c r="L550" s="13"/>
      <c r="M550" s="13"/>
      <c r="N550" s="13"/>
      <c r="O550" s="13"/>
      <c r="P550" s="13"/>
      <c r="Q550" s="13"/>
      <c r="R550" s="13"/>
      <c r="S550" s="13"/>
      <c r="T550" s="13"/>
      <c r="U550" s="13"/>
    </row>
    <row r="551" spans="1:21">
      <c r="A551" s="13"/>
      <c r="B551" s="46" t="s">
        <v>591</v>
      </c>
      <c r="C551" s="46">
        <v>256.08</v>
      </c>
      <c r="D551" s="49">
        <v>-1.7500000000000002E-2</v>
      </c>
      <c r="E551" s="13"/>
      <c r="F551" s="13"/>
      <c r="G551" s="13"/>
      <c r="H551" s="46" t="s">
        <v>591</v>
      </c>
      <c r="I551" s="48">
        <v>17894.849999999999</v>
      </c>
      <c r="J551" s="49">
        <v>-3.3999999999999998E-3</v>
      </c>
      <c r="K551" s="13"/>
      <c r="L551" s="13"/>
      <c r="M551" s="13"/>
      <c r="N551" s="13"/>
      <c r="O551" s="13"/>
      <c r="P551" s="13"/>
      <c r="Q551" s="13"/>
      <c r="R551" s="13"/>
      <c r="S551" s="13"/>
      <c r="T551" s="13"/>
      <c r="U551" s="13"/>
    </row>
    <row r="552" spans="1:21">
      <c r="A552" s="13"/>
      <c r="B552" s="46" t="s">
        <v>592</v>
      </c>
      <c r="C552" s="46">
        <v>260.63</v>
      </c>
      <c r="D552" s="49">
        <v>-8.6999999999999994E-3</v>
      </c>
      <c r="E552" s="13"/>
      <c r="F552" s="13"/>
      <c r="G552" s="13"/>
      <c r="H552" s="46" t="s">
        <v>592</v>
      </c>
      <c r="I552" s="48">
        <v>17956.599999999999</v>
      </c>
      <c r="J552" s="49">
        <v>5.4999999999999997E-3</v>
      </c>
      <c r="K552" s="13"/>
      <c r="L552" s="13"/>
      <c r="M552" s="13"/>
      <c r="N552" s="13"/>
      <c r="O552" s="13"/>
      <c r="P552" s="13"/>
      <c r="Q552" s="13"/>
      <c r="R552" s="13"/>
      <c r="S552" s="13"/>
      <c r="T552" s="13"/>
      <c r="U552" s="13"/>
    </row>
    <row r="553" spans="1:21">
      <c r="A553" s="13"/>
      <c r="B553" s="47">
        <v>45261</v>
      </c>
      <c r="C553" s="46">
        <v>262.92</v>
      </c>
      <c r="D553" s="49">
        <v>-6.6E-3</v>
      </c>
      <c r="E553" s="13"/>
      <c r="F553" s="13"/>
      <c r="G553" s="13"/>
      <c r="H553" s="47">
        <v>45261</v>
      </c>
      <c r="I553" s="48">
        <v>17858.2</v>
      </c>
      <c r="J553" s="49">
        <v>-2.0999999999999999E-3</v>
      </c>
      <c r="K553" s="13"/>
      <c r="L553" s="13"/>
      <c r="M553" s="13"/>
      <c r="N553" s="13"/>
      <c r="O553" s="13"/>
      <c r="P553" s="13"/>
      <c r="Q553" s="13"/>
      <c r="R553" s="13"/>
      <c r="S553" s="13"/>
      <c r="T553" s="13"/>
      <c r="U553" s="13"/>
    </row>
    <row r="554" spans="1:21">
      <c r="A554" s="13"/>
      <c r="B554" s="47">
        <v>45231</v>
      </c>
      <c r="C554" s="46">
        <v>264.66000000000003</v>
      </c>
      <c r="D554" s="49">
        <v>-2.9999999999999997E-4</v>
      </c>
      <c r="E554" s="13"/>
      <c r="F554" s="13"/>
      <c r="G554" s="13"/>
      <c r="H554" s="47">
        <v>45231</v>
      </c>
      <c r="I554" s="48">
        <v>17895.7</v>
      </c>
      <c r="J554" s="49">
        <v>-1E-3</v>
      </c>
      <c r="K554" s="13"/>
      <c r="L554" s="13"/>
      <c r="M554" s="13"/>
      <c r="N554" s="13"/>
      <c r="O554" s="13"/>
      <c r="P554" s="13"/>
      <c r="Q554" s="13"/>
      <c r="R554" s="13"/>
      <c r="S554" s="13"/>
      <c r="T554" s="13"/>
      <c r="U554" s="13"/>
    </row>
    <row r="555" spans="1:21">
      <c r="A555" s="13"/>
      <c r="B555" s="47">
        <v>45200</v>
      </c>
      <c r="C555" s="46">
        <v>264.74</v>
      </c>
      <c r="D555" s="49">
        <v>-1.3899999999999999E-2</v>
      </c>
      <c r="E555" s="13"/>
      <c r="F555" s="13"/>
      <c r="G555" s="13"/>
      <c r="H555" s="47">
        <v>45200</v>
      </c>
      <c r="I555" s="48">
        <v>17914.150000000001</v>
      </c>
      <c r="J555" s="49">
        <v>-1.03E-2</v>
      </c>
      <c r="K555" s="13"/>
      <c r="L555" s="13"/>
      <c r="M555" s="13"/>
      <c r="N555" s="13"/>
      <c r="O555" s="13"/>
      <c r="P555" s="13"/>
      <c r="Q555" s="13"/>
      <c r="R555" s="13"/>
      <c r="S555" s="13"/>
      <c r="T555" s="13"/>
      <c r="U555" s="13"/>
    </row>
    <row r="556" spans="1:21">
      <c r="A556" s="13"/>
      <c r="B556" s="47">
        <v>45170</v>
      </c>
      <c r="C556" s="46">
        <v>268.47000000000003</v>
      </c>
      <c r="D556" s="49">
        <v>1.3899999999999999E-2</v>
      </c>
      <c r="E556" s="13"/>
      <c r="F556" s="13"/>
      <c r="G556" s="13"/>
      <c r="H556" s="47">
        <v>45170</v>
      </c>
      <c r="I556" s="48">
        <v>18101.2</v>
      </c>
      <c r="J556" s="49">
        <v>1.35E-2</v>
      </c>
      <c r="K556" s="13"/>
      <c r="L556" s="13"/>
      <c r="M556" s="13"/>
      <c r="N556" s="13"/>
      <c r="O556" s="13"/>
      <c r="P556" s="13"/>
      <c r="Q556" s="13"/>
      <c r="R556" s="13"/>
      <c r="S556" s="13"/>
      <c r="T556" s="13"/>
      <c r="U556" s="13"/>
    </row>
    <row r="557" spans="1:21">
      <c r="A557" s="13"/>
      <c r="B557" s="47">
        <v>45078</v>
      </c>
      <c r="C557" s="46">
        <v>264.79000000000002</v>
      </c>
      <c r="D557" s="49">
        <v>-5.8999999999999999E-3</v>
      </c>
      <c r="E557" s="13"/>
      <c r="F557" s="13"/>
      <c r="G557" s="13"/>
      <c r="H557" s="47">
        <v>45078</v>
      </c>
      <c r="I557" s="48">
        <v>17859.45</v>
      </c>
      <c r="J557" s="49">
        <v>-7.4000000000000003E-3</v>
      </c>
      <c r="K557" s="13"/>
      <c r="L557" s="13"/>
      <c r="M557" s="13"/>
      <c r="N557" s="13"/>
      <c r="O557" s="13"/>
      <c r="P557" s="13"/>
      <c r="Q557" s="13"/>
      <c r="R557" s="13"/>
      <c r="S557" s="13"/>
      <c r="T557" s="13"/>
      <c r="U557" s="13"/>
    </row>
    <row r="558" spans="1:21">
      <c r="A558" s="13"/>
      <c r="B558" s="47">
        <v>45047</v>
      </c>
      <c r="C558" s="46">
        <v>266.35000000000002</v>
      </c>
      <c r="D558" s="49">
        <v>-6.9999999999999999E-4</v>
      </c>
      <c r="E558" s="13"/>
      <c r="F558" s="13"/>
      <c r="G558" s="13"/>
      <c r="H558" s="47">
        <v>45047</v>
      </c>
      <c r="I558" s="48">
        <v>17992.150000000001</v>
      </c>
      <c r="J558" s="49">
        <v>-2.8E-3</v>
      </c>
      <c r="K558" s="13"/>
      <c r="L558" s="13"/>
      <c r="M558" s="13"/>
      <c r="N558" s="13"/>
      <c r="O558" s="13"/>
      <c r="P558" s="13"/>
      <c r="Q558" s="13"/>
      <c r="R558" s="13"/>
      <c r="S558" s="13"/>
      <c r="T558" s="13"/>
      <c r="U558" s="13"/>
    </row>
    <row r="559" spans="1:21">
      <c r="A559" s="13"/>
      <c r="B559" s="47">
        <v>45017</v>
      </c>
      <c r="C559" s="46">
        <v>266.54000000000002</v>
      </c>
      <c r="D559" s="49">
        <v>5.7000000000000002E-3</v>
      </c>
      <c r="E559" s="13"/>
      <c r="F559" s="13"/>
      <c r="G559" s="13"/>
      <c r="H559" s="47">
        <v>45017</v>
      </c>
      <c r="I559" s="48">
        <v>18042.95</v>
      </c>
      <c r="J559" s="49">
        <v>-1.04E-2</v>
      </c>
      <c r="K559" s="13"/>
      <c r="L559" s="13"/>
      <c r="M559" s="13"/>
      <c r="N559" s="13"/>
      <c r="O559" s="13"/>
      <c r="P559" s="13"/>
      <c r="Q559" s="13"/>
      <c r="R559" s="13"/>
      <c r="S559" s="13"/>
      <c r="T559" s="13"/>
      <c r="U559" s="13"/>
    </row>
    <row r="560" spans="1:21">
      <c r="A560" s="13"/>
      <c r="B560" s="47">
        <v>44986</v>
      </c>
      <c r="C560" s="46">
        <v>265.02</v>
      </c>
      <c r="D560" s="49">
        <v>1.67E-2</v>
      </c>
      <c r="E560" s="13"/>
      <c r="F560" s="13"/>
      <c r="G560" s="13"/>
      <c r="H560" s="47">
        <v>44986</v>
      </c>
      <c r="I560" s="48">
        <v>18232.55</v>
      </c>
      <c r="J560" s="49">
        <v>1.9E-3</v>
      </c>
      <c r="K560" s="13"/>
      <c r="L560" s="13"/>
      <c r="M560" s="13"/>
      <c r="N560" s="13"/>
      <c r="O560" s="13"/>
      <c r="P560" s="13"/>
      <c r="Q560" s="13"/>
      <c r="R560" s="13"/>
      <c r="S560" s="13"/>
      <c r="T560" s="13"/>
      <c r="U560" s="13"/>
    </row>
    <row r="561" spans="1:21">
      <c r="A561" s="13"/>
      <c r="B561" s="47">
        <v>44958</v>
      </c>
      <c r="C561" s="46">
        <v>260.66000000000003</v>
      </c>
      <c r="D561" s="49">
        <v>-2.24E-2</v>
      </c>
      <c r="E561" s="13"/>
      <c r="F561" s="13"/>
      <c r="G561" s="13"/>
      <c r="H561" s="47">
        <v>44958</v>
      </c>
      <c r="I561" s="48">
        <v>18197.45</v>
      </c>
      <c r="J561" s="49">
        <v>5.1000000000000004E-3</v>
      </c>
      <c r="K561" s="13"/>
      <c r="L561" s="13"/>
      <c r="M561" s="13"/>
      <c r="N561" s="13"/>
      <c r="O561" s="13"/>
      <c r="P561" s="13"/>
      <c r="Q561" s="13"/>
      <c r="R561" s="13"/>
      <c r="S561" s="13"/>
      <c r="T561" s="13"/>
      <c r="U561" s="13"/>
    </row>
    <row r="562" spans="1:21">
      <c r="A562" s="13"/>
      <c r="B562" s="46" t="s">
        <v>593</v>
      </c>
      <c r="C562" s="46">
        <v>266.64</v>
      </c>
      <c r="D562" s="49">
        <v>-2.5999999999999999E-2</v>
      </c>
      <c r="E562" s="13"/>
      <c r="F562" s="13"/>
      <c r="G562" s="13"/>
      <c r="H562" s="46" t="s">
        <v>593</v>
      </c>
      <c r="I562" s="48">
        <v>18105.3</v>
      </c>
      <c r="J562" s="49">
        <v>-4.7000000000000002E-3</v>
      </c>
      <c r="K562" s="13"/>
      <c r="L562" s="13"/>
      <c r="M562" s="13"/>
      <c r="N562" s="13"/>
      <c r="O562" s="13"/>
      <c r="P562" s="13"/>
      <c r="Q562" s="13"/>
      <c r="R562" s="13"/>
      <c r="S562" s="13"/>
      <c r="T562" s="13"/>
      <c r="U562" s="13"/>
    </row>
    <row r="563" spans="1:21">
      <c r="A563" s="13"/>
      <c r="B563" s="46" t="s">
        <v>594</v>
      </c>
      <c r="C563" s="46">
        <v>273.76</v>
      </c>
      <c r="D563" s="49">
        <v>-1.8E-3</v>
      </c>
      <c r="E563" s="13"/>
      <c r="F563" s="13"/>
      <c r="G563" s="13"/>
      <c r="H563" s="46" t="s">
        <v>594</v>
      </c>
      <c r="I563" s="48">
        <v>18191</v>
      </c>
      <c r="J563" s="49">
        <v>3.8E-3</v>
      </c>
      <c r="K563" s="13"/>
      <c r="L563" s="13"/>
      <c r="M563" s="13"/>
      <c r="N563" s="13"/>
      <c r="O563" s="13"/>
      <c r="P563" s="13"/>
      <c r="Q563" s="13"/>
      <c r="R563" s="13"/>
      <c r="S563" s="13"/>
      <c r="T563" s="13"/>
      <c r="U563" s="13"/>
    </row>
    <row r="564" spans="1:21">
      <c r="A564" s="13"/>
      <c r="B564" s="46" t="s">
        <v>595</v>
      </c>
      <c r="C564" s="46">
        <v>274.26</v>
      </c>
      <c r="D564" s="49">
        <v>-5.9999999999999995E-4</v>
      </c>
      <c r="E564" s="13"/>
      <c r="F564" s="13"/>
      <c r="G564" s="13"/>
      <c r="H564" s="46" t="s">
        <v>595</v>
      </c>
      <c r="I564" s="48">
        <v>18122.5</v>
      </c>
      <c r="J564" s="49">
        <v>-5.0000000000000001E-4</v>
      </c>
      <c r="K564" s="13"/>
      <c r="L564" s="13"/>
      <c r="M564" s="13"/>
      <c r="N564" s="13"/>
      <c r="O564" s="13"/>
      <c r="P564" s="13"/>
      <c r="Q564" s="13"/>
      <c r="R564" s="13"/>
      <c r="S564" s="13"/>
      <c r="T564" s="13"/>
      <c r="U564" s="13"/>
    </row>
    <row r="565" spans="1:21">
      <c r="A565" s="13"/>
      <c r="B565" s="46" t="s">
        <v>596</v>
      </c>
      <c r="C565" s="46">
        <v>274.42</v>
      </c>
      <c r="D565" s="49">
        <v>1.15E-2</v>
      </c>
      <c r="E565" s="13"/>
      <c r="F565" s="13"/>
      <c r="G565" s="13"/>
      <c r="H565" s="46" t="s">
        <v>596</v>
      </c>
      <c r="I565" s="48">
        <v>18132.3</v>
      </c>
      <c r="J565" s="49">
        <v>6.4999999999999997E-3</v>
      </c>
      <c r="K565" s="13"/>
      <c r="L565" s="13"/>
      <c r="M565" s="13"/>
      <c r="N565" s="13"/>
      <c r="O565" s="13"/>
      <c r="P565" s="13"/>
      <c r="Q565" s="13"/>
      <c r="R565" s="13"/>
      <c r="S565" s="13"/>
      <c r="T565" s="13"/>
      <c r="U565" s="13"/>
    </row>
    <row r="566" spans="1:21">
      <c r="A566" s="13"/>
      <c r="B566" s="46" t="s">
        <v>597</v>
      </c>
      <c r="C566" s="46">
        <v>271.3</v>
      </c>
      <c r="D566" s="49">
        <v>2.0899999999999998E-2</v>
      </c>
      <c r="E566" s="13"/>
      <c r="F566" s="13"/>
      <c r="G566" s="13"/>
      <c r="H566" s="46" t="s">
        <v>597</v>
      </c>
      <c r="I566" s="48">
        <v>18014.599999999999</v>
      </c>
      <c r="J566" s="49">
        <v>1.17E-2</v>
      </c>
      <c r="K566" s="13"/>
      <c r="L566" s="13"/>
      <c r="M566" s="13"/>
      <c r="N566" s="13"/>
      <c r="O566" s="13"/>
      <c r="P566" s="13"/>
      <c r="Q566" s="13"/>
      <c r="R566" s="13"/>
      <c r="S566" s="13"/>
      <c r="T566" s="13"/>
      <c r="U566" s="13"/>
    </row>
    <row r="567" spans="1:21">
      <c r="A567" s="13"/>
      <c r="B567" s="46" t="s">
        <v>598</v>
      </c>
      <c r="C567" s="46">
        <v>265.75</v>
      </c>
      <c r="D567" s="49">
        <v>-1.34E-2</v>
      </c>
      <c r="E567" s="13"/>
      <c r="F567" s="13"/>
      <c r="G567" s="13"/>
      <c r="H567" s="46" t="s">
        <v>598</v>
      </c>
      <c r="I567" s="48">
        <v>17806.8</v>
      </c>
      <c r="J567" s="49">
        <v>-1.77E-2</v>
      </c>
      <c r="K567" s="13"/>
      <c r="L567" s="13"/>
      <c r="M567" s="13"/>
      <c r="N567" s="13"/>
      <c r="O567" s="13"/>
      <c r="P567" s="13"/>
      <c r="Q567" s="13"/>
      <c r="R567" s="13"/>
      <c r="S567" s="13"/>
      <c r="T567" s="13"/>
      <c r="U567" s="13"/>
    </row>
    <row r="568" spans="1:21">
      <c r="A568" s="13"/>
      <c r="B568" s="46" t="s">
        <v>599</v>
      </c>
      <c r="C568" s="46">
        <v>269.35000000000002</v>
      </c>
      <c r="D568" s="49">
        <v>-1.0500000000000001E-2</v>
      </c>
      <c r="E568" s="13"/>
      <c r="F568" s="13"/>
      <c r="G568" s="13"/>
      <c r="H568" s="46" t="s">
        <v>599</v>
      </c>
      <c r="I568" s="48">
        <v>18127.349999999999</v>
      </c>
      <c r="J568" s="49">
        <v>-3.8999999999999998E-3</v>
      </c>
      <c r="K568" s="13"/>
      <c r="L568" s="13"/>
      <c r="M568" s="13"/>
      <c r="N568" s="13"/>
      <c r="O568" s="13"/>
      <c r="P568" s="13"/>
      <c r="Q568" s="13"/>
      <c r="R568" s="13"/>
      <c r="S568" s="13"/>
      <c r="T568" s="13"/>
      <c r="U568" s="13"/>
    </row>
    <row r="569" spans="1:21">
      <c r="A569" s="13"/>
      <c r="B569" s="46" t="s">
        <v>600</v>
      </c>
      <c r="C569" s="46">
        <v>272.2</v>
      </c>
      <c r="D569" s="49">
        <v>-1.49E-2</v>
      </c>
      <c r="E569" s="13"/>
      <c r="F569" s="13"/>
      <c r="G569" s="13"/>
      <c r="H569" s="46" t="s">
        <v>600</v>
      </c>
      <c r="I569" s="48">
        <v>18199.099999999999</v>
      </c>
      <c r="J569" s="49">
        <v>-1.01E-2</v>
      </c>
      <c r="K569" s="13"/>
      <c r="L569" s="13"/>
      <c r="M569" s="13"/>
      <c r="N569" s="13"/>
      <c r="O569" s="13"/>
      <c r="P569" s="13"/>
      <c r="Q569" s="13"/>
      <c r="R569" s="13"/>
      <c r="S569" s="13"/>
      <c r="T569" s="13"/>
      <c r="U569" s="13"/>
    </row>
    <row r="570" spans="1:21">
      <c r="A570" s="13"/>
      <c r="B570" s="46" t="s">
        <v>601</v>
      </c>
      <c r="C570" s="46">
        <v>276.32</v>
      </c>
      <c r="D570" s="49">
        <v>-6.9999999999999999E-4</v>
      </c>
      <c r="E570" s="13"/>
      <c r="F570" s="13"/>
      <c r="G570" s="13"/>
      <c r="H570" s="46" t="s">
        <v>601</v>
      </c>
      <c r="I570" s="48">
        <v>18385.3</v>
      </c>
      <c r="J570" s="49">
        <v>-1.9E-3</v>
      </c>
      <c r="K570" s="13"/>
      <c r="L570" s="13"/>
      <c r="M570" s="13"/>
      <c r="N570" s="13"/>
      <c r="O570" s="13"/>
      <c r="P570" s="13"/>
      <c r="Q570" s="13"/>
      <c r="R570" s="13"/>
      <c r="S570" s="13"/>
      <c r="T570" s="13"/>
      <c r="U570" s="13"/>
    </row>
    <row r="571" spans="1:21">
      <c r="A571" s="13"/>
      <c r="B571" s="46" t="s">
        <v>602</v>
      </c>
      <c r="C571" s="46">
        <v>276.51</v>
      </c>
      <c r="D571" s="49">
        <v>7.1000000000000004E-3</v>
      </c>
      <c r="E571" s="13"/>
      <c r="F571" s="13"/>
      <c r="G571" s="13"/>
      <c r="H571" s="46" t="s">
        <v>602</v>
      </c>
      <c r="I571" s="48">
        <v>18420.45</v>
      </c>
      <c r="J571" s="49">
        <v>8.3000000000000001E-3</v>
      </c>
      <c r="K571" s="13"/>
      <c r="L571" s="13"/>
      <c r="M571" s="13"/>
      <c r="N571" s="13"/>
      <c r="O571" s="13"/>
      <c r="P571" s="13"/>
      <c r="Q571" s="13"/>
      <c r="R571" s="13"/>
      <c r="S571" s="13"/>
      <c r="T571" s="13"/>
      <c r="U571" s="13"/>
    </row>
    <row r="572" spans="1:21">
      <c r="A572" s="13"/>
      <c r="B572" s="46" t="s">
        <v>603</v>
      </c>
      <c r="C572" s="46">
        <v>274.57</v>
      </c>
      <c r="D572" s="49">
        <v>-1.83E-2</v>
      </c>
      <c r="E572" s="13"/>
      <c r="F572" s="13"/>
      <c r="G572" s="13"/>
      <c r="H572" s="46" t="s">
        <v>603</v>
      </c>
      <c r="I572" s="48">
        <v>18269</v>
      </c>
      <c r="J572" s="49">
        <v>-7.9000000000000008E-3</v>
      </c>
      <c r="K572" s="13"/>
      <c r="L572" s="13"/>
      <c r="M572" s="13"/>
      <c r="N572" s="13"/>
      <c r="O572" s="13"/>
      <c r="P572" s="13"/>
      <c r="Q572" s="13"/>
      <c r="R572" s="13"/>
      <c r="S572" s="13"/>
      <c r="T572" s="13"/>
      <c r="U572" s="13"/>
    </row>
    <row r="573" spans="1:21">
      <c r="A573" s="13"/>
      <c r="B573" s="46" t="s">
        <v>604</v>
      </c>
      <c r="C573" s="46">
        <v>279.7</v>
      </c>
      <c r="D573" s="49">
        <v>2.8299999999999999E-2</v>
      </c>
      <c r="E573" s="13"/>
      <c r="F573" s="13"/>
      <c r="G573" s="13"/>
      <c r="H573" s="46" t="s">
        <v>604</v>
      </c>
      <c r="I573" s="48">
        <v>18414.900000000001</v>
      </c>
      <c r="J573" s="49">
        <v>-1.32E-2</v>
      </c>
      <c r="K573" s="13"/>
      <c r="L573" s="13"/>
      <c r="M573" s="13"/>
      <c r="N573" s="13"/>
      <c r="O573" s="13"/>
      <c r="P573" s="13"/>
      <c r="Q573" s="13"/>
      <c r="R573" s="13"/>
      <c r="S573" s="13"/>
      <c r="T573" s="13"/>
      <c r="U573" s="13"/>
    </row>
    <row r="574" spans="1:21">
      <c r="A574" s="13"/>
      <c r="B574" s="46" t="s">
        <v>605</v>
      </c>
      <c r="C574" s="46">
        <v>271.99</v>
      </c>
      <c r="D574" s="49">
        <v>-1.5699999999999999E-2</v>
      </c>
      <c r="E574" s="13"/>
      <c r="F574" s="13"/>
      <c r="G574" s="13"/>
      <c r="H574" s="46" t="s">
        <v>605</v>
      </c>
      <c r="I574" s="48">
        <v>18660.3</v>
      </c>
      <c r="J574" s="49">
        <v>2.8E-3</v>
      </c>
      <c r="K574" s="13"/>
      <c r="L574" s="13"/>
      <c r="M574" s="13"/>
      <c r="N574" s="13"/>
      <c r="O574" s="13"/>
      <c r="P574" s="13"/>
      <c r="Q574" s="13"/>
      <c r="R574" s="13"/>
      <c r="S574" s="13"/>
      <c r="T574" s="13"/>
      <c r="U574" s="13"/>
    </row>
    <row r="575" spans="1:21">
      <c r="A575" s="13"/>
      <c r="B575" s="46" t="s">
        <v>606</v>
      </c>
      <c r="C575" s="46">
        <v>276.33999999999997</v>
      </c>
      <c r="D575" s="49">
        <v>-6.4000000000000003E-3</v>
      </c>
      <c r="E575" s="13"/>
      <c r="F575" s="13"/>
      <c r="G575" s="13"/>
      <c r="H575" s="46" t="s">
        <v>606</v>
      </c>
      <c r="I575" s="48">
        <v>18608</v>
      </c>
      <c r="J575" s="49">
        <v>6.0000000000000001E-3</v>
      </c>
      <c r="K575" s="13"/>
      <c r="L575" s="13"/>
      <c r="M575" s="13"/>
      <c r="N575" s="13"/>
      <c r="O575" s="13"/>
      <c r="P575" s="13"/>
      <c r="Q575" s="13"/>
      <c r="R575" s="13"/>
      <c r="S575" s="13"/>
      <c r="T575" s="13"/>
      <c r="U575" s="13"/>
    </row>
    <row r="576" spans="1:21">
      <c r="A576" s="13"/>
      <c r="B576" s="47">
        <v>44907</v>
      </c>
      <c r="C576" s="46">
        <v>278.13</v>
      </c>
      <c r="D576" s="49">
        <v>3.7000000000000002E-3</v>
      </c>
      <c r="E576" s="13"/>
      <c r="F576" s="13"/>
      <c r="G576" s="13"/>
      <c r="H576" s="47">
        <v>44907</v>
      </c>
      <c r="I576" s="48">
        <v>18497.150000000001</v>
      </c>
      <c r="J576" s="49">
        <v>0</v>
      </c>
      <c r="K576" s="13"/>
      <c r="L576" s="13"/>
      <c r="M576" s="13"/>
      <c r="N576" s="13"/>
      <c r="O576" s="13"/>
      <c r="P576" s="13"/>
      <c r="Q576" s="13"/>
      <c r="R576" s="13"/>
      <c r="S576" s="13"/>
      <c r="T576" s="13"/>
      <c r="U576" s="13"/>
    </row>
    <row r="577" spans="1:21">
      <c r="A577" s="13"/>
      <c r="B577" s="47">
        <v>44816</v>
      </c>
      <c r="C577" s="46">
        <v>277.10000000000002</v>
      </c>
      <c r="D577" s="49">
        <v>-1.61E-2</v>
      </c>
      <c r="E577" s="13"/>
      <c r="F577" s="13"/>
      <c r="G577" s="13"/>
      <c r="H577" s="47">
        <v>44816</v>
      </c>
      <c r="I577" s="48">
        <v>18496.599999999999</v>
      </c>
      <c r="J577" s="49">
        <v>-6.1000000000000004E-3</v>
      </c>
      <c r="K577" s="13"/>
      <c r="L577" s="13"/>
      <c r="M577" s="13"/>
      <c r="N577" s="13"/>
      <c r="O577" s="13"/>
      <c r="P577" s="13"/>
      <c r="Q577" s="13"/>
      <c r="R577" s="13"/>
      <c r="S577" s="13"/>
      <c r="T577" s="13"/>
      <c r="U577" s="13"/>
    </row>
    <row r="578" spans="1:21">
      <c r="A578" s="13"/>
      <c r="B578" s="47">
        <v>44785</v>
      </c>
      <c r="C578" s="46">
        <v>281.64</v>
      </c>
      <c r="D578" s="49">
        <v>9.5999999999999992E-3</v>
      </c>
      <c r="E578" s="13"/>
      <c r="F578" s="13"/>
      <c r="G578" s="13"/>
      <c r="H578" s="47">
        <v>44785</v>
      </c>
      <c r="I578" s="48">
        <v>18609.349999999999</v>
      </c>
      <c r="J578" s="49">
        <v>2.5999999999999999E-3</v>
      </c>
      <c r="K578" s="13"/>
      <c r="L578" s="13"/>
      <c r="M578" s="13"/>
      <c r="N578" s="13"/>
      <c r="O578" s="13"/>
      <c r="P578" s="13"/>
      <c r="Q578" s="13"/>
      <c r="R578" s="13"/>
      <c r="S578" s="13"/>
      <c r="T578" s="13"/>
      <c r="U578" s="13"/>
    </row>
    <row r="579" spans="1:21">
      <c r="A579" s="13"/>
      <c r="B579" s="47">
        <v>44754</v>
      </c>
      <c r="C579" s="46">
        <v>278.95</v>
      </c>
      <c r="D579" s="49">
        <v>-1E-3</v>
      </c>
      <c r="E579" s="13"/>
      <c r="F579" s="13"/>
      <c r="G579" s="13"/>
      <c r="H579" s="47">
        <v>44754</v>
      </c>
      <c r="I579" s="48">
        <v>18560.5</v>
      </c>
      <c r="J579" s="49">
        <v>-4.4000000000000003E-3</v>
      </c>
      <c r="K579" s="13"/>
      <c r="L579" s="13"/>
      <c r="M579" s="13"/>
      <c r="N579" s="13"/>
      <c r="O579" s="13"/>
      <c r="P579" s="13"/>
      <c r="Q579" s="13"/>
      <c r="R579" s="13"/>
      <c r="S579" s="13"/>
      <c r="T579" s="13"/>
      <c r="U579" s="13"/>
    </row>
    <row r="580" spans="1:21">
      <c r="A580" s="13"/>
      <c r="B580" s="47">
        <v>44724</v>
      </c>
      <c r="C580" s="46">
        <v>279.22000000000003</v>
      </c>
      <c r="D580" s="49">
        <v>1.6400000000000001E-2</v>
      </c>
      <c r="E580" s="13"/>
      <c r="F580" s="13"/>
      <c r="G580" s="13"/>
      <c r="H580" s="47">
        <v>44724</v>
      </c>
      <c r="I580" s="48">
        <v>18642.75</v>
      </c>
      <c r="J580" s="49">
        <v>-3.0999999999999999E-3</v>
      </c>
      <c r="K580" s="13"/>
      <c r="L580" s="13"/>
      <c r="M580" s="13"/>
      <c r="N580" s="13"/>
      <c r="O580" s="13"/>
      <c r="P580" s="13"/>
      <c r="Q580" s="13"/>
      <c r="R580" s="13"/>
      <c r="S580" s="13"/>
      <c r="T580" s="13"/>
      <c r="U580" s="13"/>
    </row>
    <row r="581" spans="1:21">
      <c r="A581" s="13"/>
      <c r="B581" s="47">
        <v>44693</v>
      </c>
      <c r="C581" s="46">
        <v>274.72000000000003</v>
      </c>
      <c r="D581" s="49">
        <v>1.29E-2</v>
      </c>
      <c r="E581" s="13"/>
      <c r="F581" s="13"/>
      <c r="G581" s="13"/>
      <c r="H581" s="47">
        <v>44693</v>
      </c>
      <c r="I581" s="48">
        <v>18701.05</v>
      </c>
      <c r="J581" s="49">
        <v>2.9999999999999997E-4</v>
      </c>
      <c r="K581" s="13"/>
      <c r="L581" s="13"/>
      <c r="M581" s="13"/>
      <c r="N581" s="13"/>
      <c r="O581" s="13"/>
      <c r="P581" s="13"/>
      <c r="Q581" s="13"/>
      <c r="R581" s="13"/>
      <c r="S581" s="13"/>
      <c r="T581" s="13"/>
      <c r="U581" s="13"/>
    </row>
    <row r="582" spans="1:21">
      <c r="A582" s="13"/>
      <c r="B582" s="47">
        <v>44604</v>
      </c>
      <c r="C582" s="46">
        <v>271.23</v>
      </c>
      <c r="D582" s="49">
        <v>-2.9999999999999997E-4</v>
      </c>
      <c r="E582" s="13"/>
      <c r="F582" s="13"/>
      <c r="G582" s="13"/>
      <c r="H582" s="47">
        <v>44604</v>
      </c>
      <c r="I582" s="48">
        <v>18696.099999999999</v>
      </c>
      <c r="J582" s="49">
        <v>-6.1999999999999998E-3</v>
      </c>
      <c r="K582" s="13"/>
      <c r="L582" s="13"/>
      <c r="M582" s="13"/>
      <c r="N582" s="13"/>
      <c r="O582" s="13"/>
      <c r="P582" s="13"/>
      <c r="Q582" s="13"/>
      <c r="R582" s="13"/>
      <c r="S582" s="13"/>
      <c r="T582" s="13"/>
      <c r="U582" s="13"/>
    </row>
    <row r="583" spans="1:21">
      <c r="A583" s="13"/>
      <c r="B583" s="47">
        <v>44573</v>
      </c>
      <c r="C583" s="46">
        <v>271.3</v>
      </c>
      <c r="D583" s="49">
        <v>3.3E-3</v>
      </c>
      <c r="E583" s="13"/>
      <c r="F583" s="13"/>
      <c r="G583" s="13"/>
      <c r="H583" s="47">
        <v>44573</v>
      </c>
      <c r="I583" s="48">
        <v>18812.5</v>
      </c>
      <c r="J583" s="49">
        <v>2.8999999999999998E-3</v>
      </c>
      <c r="K583" s="13"/>
      <c r="L583" s="13"/>
      <c r="M583" s="13"/>
      <c r="N583" s="13"/>
      <c r="O583" s="13"/>
      <c r="P583" s="13"/>
      <c r="Q583" s="13"/>
      <c r="R583" s="13"/>
      <c r="S583" s="13"/>
      <c r="T583" s="13"/>
      <c r="U583" s="13"/>
    </row>
    <row r="584" spans="1:21">
      <c r="A584" s="13"/>
      <c r="B584" s="46" t="s">
        <v>607</v>
      </c>
      <c r="C584" s="46">
        <v>270.39999999999998</v>
      </c>
      <c r="D584" s="49">
        <v>-5.5999999999999999E-3</v>
      </c>
      <c r="E584" s="13"/>
      <c r="F584" s="13"/>
      <c r="G584" s="13"/>
      <c r="H584" s="46" t="s">
        <v>607</v>
      </c>
      <c r="I584" s="48">
        <v>18758.349999999999</v>
      </c>
      <c r="J584" s="49">
        <v>7.4999999999999997E-3</v>
      </c>
      <c r="K584" s="13"/>
      <c r="L584" s="13"/>
      <c r="M584" s="13"/>
      <c r="N584" s="13"/>
      <c r="O584" s="13"/>
      <c r="P584" s="13"/>
      <c r="Q584" s="13"/>
      <c r="R584" s="13"/>
      <c r="S584" s="13"/>
      <c r="T584" s="13"/>
      <c r="U584" s="13"/>
    </row>
    <row r="585" spans="1:21">
      <c r="A585" s="13"/>
      <c r="B585" s="46" t="s">
        <v>608</v>
      </c>
      <c r="C585" s="46">
        <v>271.93</v>
      </c>
      <c r="D585" s="49">
        <v>2.01E-2</v>
      </c>
      <c r="E585" s="13"/>
      <c r="F585" s="13"/>
      <c r="G585" s="13"/>
      <c r="H585" s="46" t="s">
        <v>608</v>
      </c>
      <c r="I585" s="48">
        <v>18618.05</v>
      </c>
      <c r="J585" s="49">
        <v>3.0000000000000001E-3</v>
      </c>
      <c r="K585" s="13"/>
      <c r="L585" s="13"/>
      <c r="M585" s="13"/>
      <c r="N585" s="13"/>
      <c r="O585" s="13"/>
      <c r="P585" s="13"/>
      <c r="Q585" s="13"/>
      <c r="R585" s="13"/>
      <c r="S585" s="13"/>
      <c r="T585" s="13"/>
      <c r="U585" s="13"/>
    </row>
    <row r="586" spans="1:21">
      <c r="A586" s="13"/>
      <c r="B586" s="46" t="s">
        <v>609</v>
      </c>
      <c r="C586" s="46">
        <v>266.57</v>
      </c>
      <c r="D586" s="49">
        <v>4.4999999999999997E-3</v>
      </c>
      <c r="E586" s="13"/>
      <c r="F586" s="13"/>
      <c r="G586" s="13"/>
      <c r="H586" s="46" t="s">
        <v>609</v>
      </c>
      <c r="I586" s="48">
        <v>18562.75</v>
      </c>
      <c r="J586" s="49">
        <v>2.7000000000000001E-3</v>
      </c>
      <c r="K586" s="13"/>
      <c r="L586" s="13"/>
      <c r="M586" s="13"/>
      <c r="N586" s="13"/>
      <c r="O586" s="13"/>
      <c r="P586" s="13"/>
      <c r="Q586" s="13"/>
      <c r="R586" s="13"/>
      <c r="S586" s="13"/>
      <c r="T586" s="13"/>
      <c r="U586" s="13"/>
    </row>
    <row r="587" spans="1:21">
      <c r="A587" s="13"/>
      <c r="B587" s="46" t="s">
        <v>610</v>
      </c>
      <c r="C587" s="46">
        <v>265.38</v>
      </c>
      <c r="D587" s="49">
        <v>-8.5000000000000006E-3</v>
      </c>
      <c r="E587" s="13"/>
      <c r="F587" s="13"/>
      <c r="G587" s="13"/>
      <c r="H587" s="46" t="s">
        <v>610</v>
      </c>
      <c r="I587" s="48">
        <v>18512.75</v>
      </c>
      <c r="J587" s="49">
        <v>1.6000000000000001E-3</v>
      </c>
      <c r="K587" s="13"/>
      <c r="L587" s="13"/>
      <c r="M587" s="13"/>
      <c r="N587" s="13"/>
      <c r="O587" s="13"/>
      <c r="P587" s="13"/>
      <c r="Q587" s="13"/>
      <c r="R587" s="13"/>
      <c r="S587" s="13"/>
      <c r="T587" s="13"/>
      <c r="U587" s="13"/>
    </row>
    <row r="588" spans="1:21">
      <c r="A588" s="13"/>
      <c r="B588" s="46" t="s">
        <v>611</v>
      </c>
      <c r="C588" s="46">
        <v>267.64999999999998</v>
      </c>
      <c r="D588" s="49">
        <v>8.9999999999999998E-4</v>
      </c>
      <c r="E588" s="13"/>
      <c r="F588" s="13"/>
      <c r="G588" s="13"/>
      <c r="H588" s="46" t="s">
        <v>611</v>
      </c>
      <c r="I588" s="48">
        <v>18484.099999999999</v>
      </c>
      <c r="J588" s="49">
        <v>1.1900000000000001E-2</v>
      </c>
      <c r="K588" s="13"/>
      <c r="L588" s="13"/>
      <c r="M588" s="13"/>
      <c r="N588" s="13"/>
      <c r="O588" s="13"/>
      <c r="P588" s="13"/>
      <c r="Q588" s="13"/>
      <c r="R588" s="13"/>
      <c r="S588" s="13"/>
      <c r="T588" s="13"/>
      <c r="U588" s="13"/>
    </row>
    <row r="589" spans="1:21">
      <c r="A589" s="13"/>
      <c r="B589" s="46" t="s">
        <v>612</v>
      </c>
      <c r="C589" s="46">
        <v>267.42</v>
      </c>
      <c r="D589" s="49">
        <v>-1.18E-2</v>
      </c>
      <c r="E589" s="13"/>
      <c r="F589" s="13"/>
      <c r="G589" s="13"/>
      <c r="H589" s="46" t="s">
        <v>612</v>
      </c>
      <c r="I589" s="48">
        <v>18267.25</v>
      </c>
      <c r="J589" s="49">
        <v>1.2999999999999999E-3</v>
      </c>
      <c r="K589" s="13"/>
      <c r="L589" s="13"/>
      <c r="M589" s="13"/>
      <c r="N589" s="13"/>
      <c r="O589" s="13"/>
      <c r="P589" s="13"/>
      <c r="Q589" s="13"/>
      <c r="R589" s="13"/>
      <c r="S589" s="13"/>
      <c r="T589" s="13"/>
      <c r="U589" s="13"/>
    </row>
    <row r="590" spans="1:21">
      <c r="A590" s="13"/>
      <c r="B590" s="46" t="s">
        <v>613</v>
      </c>
      <c r="C590" s="46">
        <v>270.61</v>
      </c>
      <c r="D590" s="49">
        <v>8.2000000000000007E-3</v>
      </c>
      <c r="E590" s="13"/>
      <c r="F590" s="13"/>
      <c r="G590" s="13"/>
      <c r="H590" s="46" t="s">
        <v>613</v>
      </c>
      <c r="I590" s="48">
        <v>18244.2</v>
      </c>
      <c r="J590" s="49">
        <v>4.5999999999999999E-3</v>
      </c>
      <c r="K590" s="13"/>
      <c r="L590" s="13"/>
      <c r="M590" s="13"/>
      <c r="N590" s="13"/>
      <c r="O590" s="13"/>
      <c r="P590" s="13"/>
      <c r="Q590" s="13"/>
      <c r="R590" s="13"/>
      <c r="S590" s="13"/>
      <c r="T590" s="13"/>
      <c r="U590" s="13"/>
    </row>
    <row r="591" spans="1:21">
      <c r="A591" s="13"/>
      <c r="B591" s="46" t="s">
        <v>614</v>
      </c>
      <c r="C591" s="46">
        <v>268.41000000000003</v>
      </c>
      <c r="D591" s="49">
        <v>-1.1000000000000001E-3</v>
      </c>
      <c r="E591" s="13"/>
      <c r="F591" s="13"/>
      <c r="G591" s="13"/>
      <c r="H591" s="46" t="s">
        <v>614</v>
      </c>
      <c r="I591" s="48">
        <v>18159.95</v>
      </c>
      <c r="J591" s="49">
        <v>-8.0999999999999996E-3</v>
      </c>
      <c r="K591" s="13"/>
      <c r="L591" s="13"/>
      <c r="M591" s="13"/>
      <c r="N591" s="13"/>
      <c r="O591" s="13"/>
      <c r="P591" s="13"/>
      <c r="Q591" s="13"/>
      <c r="R591" s="13"/>
      <c r="S591" s="13"/>
      <c r="T591" s="13"/>
      <c r="U591" s="13"/>
    </row>
    <row r="592" spans="1:21">
      <c r="A592" s="13"/>
      <c r="B592" s="46" t="s">
        <v>615</v>
      </c>
      <c r="C592" s="46">
        <v>268.7</v>
      </c>
      <c r="D592" s="49">
        <v>5.0000000000000001E-4</v>
      </c>
      <c r="E592" s="13"/>
      <c r="F592" s="13"/>
      <c r="G592" s="13"/>
      <c r="H592" s="46" t="s">
        <v>615</v>
      </c>
      <c r="I592" s="48">
        <v>18307.650000000001</v>
      </c>
      <c r="J592" s="49">
        <v>-2E-3</v>
      </c>
      <c r="K592" s="13"/>
      <c r="L592" s="13"/>
      <c r="M592" s="13"/>
      <c r="N592" s="13"/>
      <c r="O592" s="13"/>
      <c r="P592" s="13"/>
      <c r="Q592" s="13"/>
      <c r="R592" s="13"/>
      <c r="S592" s="13"/>
      <c r="T592" s="13"/>
      <c r="U592" s="13"/>
    </row>
    <row r="593" spans="1:21">
      <c r="A593" s="13"/>
      <c r="B593" s="46" t="s">
        <v>616</v>
      </c>
      <c r="C593" s="46">
        <v>268.56</v>
      </c>
      <c r="D593" s="49">
        <v>1.4800000000000001E-2</v>
      </c>
      <c r="E593" s="13"/>
      <c r="F593" s="13"/>
      <c r="G593" s="13"/>
      <c r="H593" s="46" t="s">
        <v>616</v>
      </c>
      <c r="I593" s="48">
        <v>18343.900000000001</v>
      </c>
      <c r="J593" s="49">
        <v>-3.5999999999999999E-3</v>
      </c>
      <c r="K593" s="13"/>
      <c r="L593" s="13"/>
      <c r="M593" s="13"/>
      <c r="N593" s="13"/>
      <c r="O593" s="13"/>
      <c r="P593" s="13"/>
      <c r="Q593" s="13"/>
      <c r="R593" s="13"/>
      <c r="S593" s="13"/>
      <c r="T593" s="13"/>
      <c r="U593" s="13"/>
    </row>
    <row r="594" spans="1:21">
      <c r="A594" s="13"/>
      <c r="B594" s="46" t="s">
        <v>617</v>
      </c>
      <c r="C594" s="46">
        <v>264.64</v>
      </c>
      <c r="D594" s="49">
        <v>-1.9199999999999998E-2</v>
      </c>
      <c r="E594" s="13"/>
      <c r="F594" s="13"/>
      <c r="G594" s="13"/>
      <c r="H594" s="46" t="s">
        <v>617</v>
      </c>
      <c r="I594" s="48">
        <v>18409.650000000001</v>
      </c>
      <c r="J594" s="49">
        <v>2.9999999999999997E-4</v>
      </c>
      <c r="K594" s="13"/>
      <c r="L594" s="13"/>
      <c r="M594" s="13"/>
      <c r="N594" s="13"/>
      <c r="O594" s="13"/>
      <c r="P594" s="13"/>
      <c r="Q594" s="13"/>
      <c r="R594" s="13"/>
      <c r="S594" s="13"/>
      <c r="T594" s="13"/>
      <c r="U594" s="13"/>
    </row>
    <row r="595" spans="1:21">
      <c r="A595" s="13"/>
      <c r="B595" s="46" t="s">
        <v>618</v>
      </c>
      <c r="C595" s="46">
        <v>269.81</v>
      </c>
      <c r="D595" s="49">
        <v>-2.0799999999999999E-2</v>
      </c>
      <c r="E595" s="13"/>
      <c r="F595" s="13"/>
      <c r="G595" s="13"/>
      <c r="H595" s="46" t="s">
        <v>618</v>
      </c>
      <c r="I595" s="48">
        <v>18403.400000000001</v>
      </c>
      <c r="J595" s="49">
        <v>4.1000000000000003E-3</v>
      </c>
      <c r="K595" s="13"/>
      <c r="L595" s="13"/>
      <c r="M595" s="13"/>
      <c r="N595" s="13"/>
      <c r="O595" s="13"/>
      <c r="P595" s="13"/>
      <c r="Q595" s="13"/>
      <c r="R595" s="13"/>
      <c r="S595" s="13"/>
      <c r="T595" s="13"/>
      <c r="U595" s="13"/>
    </row>
    <row r="596" spans="1:21">
      <c r="A596" s="13"/>
      <c r="B596" s="46" t="s">
        <v>619</v>
      </c>
      <c r="C596" s="46">
        <v>275.52999999999997</v>
      </c>
      <c r="D596" s="49">
        <v>8.3000000000000001E-3</v>
      </c>
      <c r="E596" s="13"/>
      <c r="F596" s="13"/>
      <c r="G596" s="13"/>
      <c r="H596" s="46" t="s">
        <v>619</v>
      </c>
      <c r="I596" s="48">
        <v>18329.150000000001</v>
      </c>
      <c r="J596" s="49">
        <v>-1.1000000000000001E-3</v>
      </c>
      <c r="K596" s="13"/>
      <c r="L596" s="13"/>
      <c r="M596" s="13"/>
      <c r="N596" s="13"/>
      <c r="O596" s="13"/>
      <c r="P596" s="13"/>
      <c r="Q596" s="13"/>
      <c r="R596" s="13"/>
      <c r="S596" s="13"/>
      <c r="T596" s="13"/>
      <c r="U596" s="13"/>
    </row>
    <row r="597" spans="1:21">
      <c r="A597" s="13"/>
      <c r="B597" s="47">
        <v>44876</v>
      </c>
      <c r="C597" s="46">
        <v>273.25</v>
      </c>
      <c r="D597" s="49">
        <v>1.6E-2</v>
      </c>
      <c r="E597" s="13"/>
      <c r="F597" s="13"/>
      <c r="G597" s="13"/>
      <c r="H597" s="47">
        <v>44876</v>
      </c>
      <c r="I597" s="48">
        <v>18349.7</v>
      </c>
      <c r="J597" s="49">
        <v>1.78E-2</v>
      </c>
      <c r="K597" s="13"/>
      <c r="L597" s="13"/>
      <c r="M597" s="13"/>
      <c r="N597" s="13"/>
      <c r="O597" s="13"/>
      <c r="P597" s="13"/>
      <c r="Q597" s="13"/>
      <c r="R597" s="13"/>
      <c r="S597" s="13"/>
      <c r="T597" s="13"/>
      <c r="U597" s="13"/>
    </row>
    <row r="598" spans="1:21">
      <c r="A598" s="13"/>
      <c r="B598" s="47">
        <v>44845</v>
      </c>
      <c r="C598" s="46">
        <v>268.95999999999998</v>
      </c>
      <c r="D598" s="49">
        <v>-2.8500000000000001E-2</v>
      </c>
      <c r="E598" s="13"/>
      <c r="F598" s="13"/>
      <c r="G598" s="13"/>
      <c r="H598" s="47">
        <v>44845</v>
      </c>
      <c r="I598" s="48">
        <v>18028.2</v>
      </c>
      <c r="J598" s="49">
        <v>-7.1000000000000004E-3</v>
      </c>
      <c r="K598" s="13"/>
      <c r="L598" s="13"/>
      <c r="M598" s="13"/>
      <c r="N598" s="13"/>
      <c r="O598" s="13"/>
      <c r="P598" s="13"/>
      <c r="Q598" s="13"/>
      <c r="R598" s="13"/>
      <c r="S598" s="13"/>
      <c r="T598" s="13"/>
      <c r="U598" s="13"/>
    </row>
    <row r="599" spans="1:21">
      <c r="A599" s="13"/>
      <c r="B599" s="47">
        <v>44815</v>
      </c>
      <c r="C599" s="46">
        <v>276.86</v>
      </c>
      <c r="D599" s="49">
        <v>-3.9399999999999998E-2</v>
      </c>
      <c r="E599" s="13"/>
      <c r="F599" s="13"/>
      <c r="G599" s="13"/>
      <c r="H599" s="47">
        <v>44815</v>
      </c>
      <c r="I599" s="48">
        <v>18157</v>
      </c>
      <c r="J599" s="49">
        <v>-2.5000000000000001E-3</v>
      </c>
      <c r="K599" s="13"/>
      <c r="L599" s="13"/>
      <c r="M599" s="13"/>
      <c r="N599" s="13"/>
      <c r="O599" s="13"/>
      <c r="P599" s="13"/>
      <c r="Q599" s="13"/>
      <c r="R599" s="13"/>
      <c r="S599" s="13"/>
      <c r="T599" s="13"/>
      <c r="U599" s="13"/>
    </row>
    <row r="600" spans="1:21">
      <c r="A600" s="13"/>
      <c r="B600" s="47">
        <v>44753</v>
      </c>
      <c r="C600" s="46">
        <v>288.22000000000003</v>
      </c>
      <c r="D600" s="49">
        <v>1.15E-2</v>
      </c>
      <c r="E600" s="13"/>
      <c r="F600" s="13"/>
      <c r="G600" s="13"/>
      <c r="H600" s="47">
        <v>44753</v>
      </c>
      <c r="I600" s="48">
        <v>18202.8</v>
      </c>
      <c r="J600" s="49">
        <v>4.7000000000000002E-3</v>
      </c>
      <c r="K600" s="13"/>
      <c r="L600" s="13"/>
      <c r="M600" s="13"/>
      <c r="N600" s="13"/>
      <c r="O600" s="13"/>
      <c r="P600" s="13"/>
      <c r="Q600" s="13"/>
      <c r="R600" s="13"/>
      <c r="S600" s="13"/>
      <c r="T600" s="13"/>
      <c r="U600" s="13"/>
    </row>
    <row r="601" spans="1:21">
      <c r="A601" s="13"/>
      <c r="B601" s="47">
        <v>44662</v>
      </c>
      <c r="C601" s="46">
        <v>284.95</v>
      </c>
      <c r="D601" s="49">
        <v>-2.1000000000000001E-2</v>
      </c>
      <c r="E601" s="13"/>
      <c r="F601" s="13"/>
      <c r="G601" s="13"/>
      <c r="H601" s="47">
        <v>44662</v>
      </c>
      <c r="I601" s="48">
        <v>18117.150000000001</v>
      </c>
      <c r="J601" s="49">
        <v>3.5999999999999999E-3</v>
      </c>
      <c r="K601" s="13"/>
      <c r="L601" s="13"/>
      <c r="M601" s="13"/>
      <c r="N601" s="13"/>
      <c r="O601" s="13"/>
      <c r="P601" s="13"/>
      <c r="Q601" s="13"/>
      <c r="R601" s="13"/>
      <c r="S601" s="13"/>
      <c r="T601" s="13"/>
      <c r="U601" s="13"/>
    </row>
    <row r="602" spans="1:21">
      <c r="A602" s="13"/>
      <c r="B602" s="47">
        <v>44631</v>
      </c>
      <c r="C602" s="46">
        <v>291.06</v>
      </c>
      <c r="D602" s="49">
        <v>-9.7000000000000003E-3</v>
      </c>
      <c r="E602" s="13"/>
      <c r="F602" s="13"/>
      <c r="G602" s="13"/>
      <c r="H602" s="47">
        <v>44631</v>
      </c>
      <c r="I602" s="48">
        <v>18052.7</v>
      </c>
      <c r="J602" s="49">
        <v>-1.6999999999999999E-3</v>
      </c>
      <c r="K602" s="13"/>
      <c r="L602" s="13"/>
      <c r="M602" s="13"/>
      <c r="N602" s="13"/>
      <c r="O602" s="13"/>
      <c r="P602" s="13"/>
      <c r="Q602" s="13"/>
      <c r="R602" s="13"/>
      <c r="S602" s="13"/>
      <c r="T602" s="13"/>
      <c r="U602" s="13"/>
    </row>
    <row r="603" spans="1:21">
      <c r="A603" s="13"/>
      <c r="B603" s="47">
        <v>44603</v>
      </c>
      <c r="C603" s="46">
        <v>293.91000000000003</v>
      </c>
      <c r="D603" s="49">
        <v>-1.6999999999999999E-3</v>
      </c>
      <c r="E603" s="13"/>
      <c r="F603" s="13"/>
      <c r="G603" s="13"/>
      <c r="H603" s="47">
        <v>44603</v>
      </c>
      <c r="I603" s="48">
        <v>18082.849999999999</v>
      </c>
      <c r="J603" s="49">
        <v>-3.3999999999999998E-3</v>
      </c>
      <c r="K603" s="13"/>
      <c r="L603" s="13"/>
      <c r="M603" s="13"/>
      <c r="N603" s="13"/>
      <c r="O603" s="13"/>
      <c r="P603" s="13"/>
      <c r="Q603" s="13"/>
      <c r="R603" s="13"/>
      <c r="S603" s="13"/>
      <c r="T603" s="13"/>
      <c r="U603" s="13"/>
    </row>
    <row r="604" spans="1:21">
      <c r="A604" s="13"/>
      <c r="B604" s="47">
        <v>44572</v>
      </c>
      <c r="C604" s="46">
        <v>294.39999999999998</v>
      </c>
      <c r="D604" s="49">
        <v>1.8200000000000001E-2</v>
      </c>
      <c r="E604" s="13"/>
      <c r="F604" s="13"/>
      <c r="G604" s="13"/>
      <c r="H604" s="47">
        <v>44572</v>
      </c>
      <c r="I604" s="48">
        <v>18145.400000000001</v>
      </c>
      <c r="J604" s="49">
        <v>7.4000000000000003E-3</v>
      </c>
      <c r="K604" s="13"/>
      <c r="L604" s="13"/>
      <c r="M604" s="13"/>
      <c r="N604" s="13"/>
      <c r="O604" s="13"/>
      <c r="P604" s="13"/>
      <c r="Q604" s="13"/>
      <c r="R604" s="13"/>
      <c r="S604" s="13"/>
      <c r="T604" s="13"/>
      <c r="U604" s="13"/>
    </row>
    <row r="605" spans="1:21">
      <c r="A605" s="13"/>
      <c r="B605" s="46" t="s">
        <v>620</v>
      </c>
      <c r="C605" s="46">
        <v>289.14</v>
      </c>
      <c r="D605" s="49">
        <v>-1.8100000000000002E-2</v>
      </c>
      <c r="E605" s="13"/>
      <c r="F605" s="13"/>
      <c r="G605" s="13"/>
      <c r="H605" s="46" t="s">
        <v>620</v>
      </c>
      <c r="I605" s="48">
        <v>18012.2</v>
      </c>
      <c r="J605" s="49">
        <v>1.2699999999999999E-2</v>
      </c>
      <c r="K605" s="13"/>
      <c r="L605" s="13"/>
      <c r="M605" s="13"/>
      <c r="N605" s="13"/>
      <c r="O605" s="13"/>
      <c r="P605" s="13"/>
      <c r="Q605" s="13"/>
      <c r="R605" s="13"/>
      <c r="S605" s="13"/>
      <c r="T605" s="13"/>
      <c r="U605" s="13"/>
    </row>
    <row r="606" spans="1:21">
      <c r="A606" s="13"/>
      <c r="B606" s="46" t="s">
        <v>621</v>
      </c>
      <c r="C606" s="46">
        <v>294.48</v>
      </c>
      <c r="D606" s="49">
        <v>-4.7000000000000002E-3</v>
      </c>
      <c r="E606" s="13"/>
      <c r="F606" s="13"/>
      <c r="G606" s="13"/>
      <c r="H606" s="46" t="s">
        <v>621</v>
      </c>
      <c r="I606" s="48">
        <v>17786.8</v>
      </c>
      <c r="J606" s="49">
        <v>2.8E-3</v>
      </c>
      <c r="K606" s="13"/>
      <c r="L606" s="13"/>
      <c r="M606" s="13"/>
      <c r="N606" s="13"/>
      <c r="O606" s="13"/>
      <c r="P606" s="13"/>
      <c r="Q606" s="13"/>
      <c r="R606" s="13"/>
      <c r="S606" s="13"/>
      <c r="T606" s="13"/>
      <c r="U606" s="13"/>
    </row>
    <row r="607" spans="1:21">
      <c r="A607" s="13"/>
      <c r="B607" s="46" t="s">
        <v>622</v>
      </c>
      <c r="C607" s="46">
        <v>295.87</v>
      </c>
      <c r="D607" s="49">
        <v>1.3100000000000001E-2</v>
      </c>
      <c r="E607" s="13"/>
      <c r="F607" s="13"/>
      <c r="G607" s="13"/>
      <c r="H607" s="46" t="s">
        <v>622</v>
      </c>
      <c r="I607" s="48">
        <v>17736.95</v>
      </c>
      <c r="J607" s="49">
        <v>4.5999999999999999E-3</v>
      </c>
      <c r="K607" s="13"/>
      <c r="L607" s="13"/>
      <c r="M607" s="13"/>
      <c r="N607" s="13"/>
      <c r="O607" s="13"/>
      <c r="P607" s="13"/>
      <c r="Q607" s="13"/>
      <c r="R607" s="13"/>
      <c r="S607" s="13"/>
      <c r="T607" s="13"/>
      <c r="U607" s="13"/>
    </row>
    <row r="608" spans="1:21">
      <c r="A608" s="13"/>
      <c r="B608" s="46" t="s">
        <v>623</v>
      </c>
      <c r="C608" s="46">
        <v>292.04000000000002</v>
      </c>
      <c r="D608" s="49">
        <v>5.1999999999999998E-3</v>
      </c>
      <c r="E608" s="13"/>
      <c r="F608" s="13"/>
      <c r="G608" s="13"/>
      <c r="H608" s="46" t="s">
        <v>623</v>
      </c>
      <c r="I608" s="48">
        <v>17656.349999999999</v>
      </c>
      <c r="J608" s="49">
        <v>-4.1999999999999997E-3</v>
      </c>
      <c r="K608" s="13"/>
      <c r="L608" s="13"/>
      <c r="M608" s="13"/>
      <c r="N608" s="13"/>
      <c r="O608" s="13"/>
      <c r="P608" s="13"/>
      <c r="Q608" s="13"/>
      <c r="R608" s="13"/>
      <c r="S608" s="13"/>
      <c r="T608" s="13"/>
      <c r="U608" s="13"/>
    </row>
    <row r="609" spans="1:21">
      <c r="A609" s="13"/>
      <c r="B609" s="46" t="s">
        <v>624</v>
      </c>
      <c r="C609" s="46">
        <v>290.52999999999997</v>
      </c>
      <c r="D609" s="49">
        <v>4.7999999999999996E-3</v>
      </c>
      <c r="E609" s="13"/>
      <c r="F609" s="13"/>
      <c r="G609" s="13"/>
      <c r="H609" s="46" t="s">
        <v>624</v>
      </c>
      <c r="I609" s="48">
        <v>17730.75</v>
      </c>
      <c r="J609" s="49">
        <v>8.8000000000000005E-3</v>
      </c>
      <c r="K609" s="13"/>
      <c r="L609" s="13"/>
      <c r="M609" s="13"/>
      <c r="N609" s="13"/>
      <c r="O609" s="13"/>
      <c r="P609" s="13"/>
      <c r="Q609" s="13"/>
      <c r="R609" s="13"/>
      <c r="S609" s="13"/>
      <c r="T609" s="13"/>
      <c r="U609" s="13"/>
    </row>
    <row r="610" spans="1:21">
      <c r="A610" s="13"/>
      <c r="B610" s="46" t="s">
        <v>625</v>
      </c>
      <c r="C610" s="46">
        <v>289.14</v>
      </c>
      <c r="D610" s="49">
        <v>1.5E-3</v>
      </c>
      <c r="E610" s="13"/>
      <c r="F610" s="13"/>
      <c r="G610" s="13"/>
      <c r="H610" s="46" t="s">
        <v>625</v>
      </c>
      <c r="I610" s="48">
        <v>17576.3</v>
      </c>
      <c r="J610" s="49">
        <v>6.9999999999999999E-4</v>
      </c>
      <c r="K610" s="13"/>
      <c r="L610" s="13"/>
      <c r="M610" s="13"/>
      <c r="N610" s="13"/>
      <c r="O610" s="13"/>
      <c r="P610" s="13"/>
      <c r="Q610" s="13"/>
      <c r="R610" s="13"/>
      <c r="S610" s="13"/>
      <c r="T610" s="13"/>
      <c r="U610" s="13"/>
    </row>
    <row r="611" spans="1:21">
      <c r="A611" s="13"/>
      <c r="B611" s="46" t="s">
        <v>626</v>
      </c>
      <c r="C611" s="46">
        <v>288.70999999999998</v>
      </c>
      <c r="D611" s="49">
        <v>-1.44E-2</v>
      </c>
      <c r="E611" s="13"/>
      <c r="F611" s="13"/>
      <c r="G611" s="13"/>
      <c r="H611" s="46" t="s">
        <v>626</v>
      </c>
      <c r="I611" s="48">
        <v>17563.95</v>
      </c>
      <c r="J611" s="49">
        <v>3.0000000000000001E-3</v>
      </c>
      <c r="K611" s="13"/>
      <c r="L611" s="13"/>
      <c r="M611" s="13"/>
      <c r="N611" s="13"/>
      <c r="O611" s="13"/>
      <c r="P611" s="13"/>
      <c r="Q611" s="13"/>
      <c r="R611" s="13"/>
      <c r="S611" s="13"/>
      <c r="T611" s="13"/>
      <c r="U611" s="13"/>
    </row>
    <row r="612" spans="1:21">
      <c r="A612" s="13"/>
      <c r="B612" s="46" t="s">
        <v>627</v>
      </c>
      <c r="C612" s="46">
        <v>292.93</v>
      </c>
      <c r="D612" s="49">
        <v>2.24E-2</v>
      </c>
      <c r="E612" s="13"/>
      <c r="F612" s="13"/>
      <c r="G612" s="13"/>
      <c r="H612" s="46" t="s">
        <v>627</v>
      </c>
      <c r="I612" s="48">
        <v>17512.25</v>
      </c>
      <c r="J612" s="49">
        <v>1.4E-3</v>
      </c>
      <c r="K612" s="13"/>
      <c r="L612" s="13"/>
      <c r="M612" s="13"/>
      <c r="N612" s="13"/>
      <c r="O612" s="13"/>
      <c r="P612" s="13"/>
      <c r="Q612" s="13"/>
      <c r="R612" s="13"/>
      <c r="S612" s="13"/>
      <c r="T612" s="13"/>
      <c r="U612" s="13"/>
    </row>
    <row r="613" spans="1:21">
      <c r="A613" s="13"/>
      <c r="B613" s="46" t="s">
        <v>628</v>
      </c>
      <c r="C613" s="46">
        <v>286.5</v>
      </c>
      <c r="D613" s="49">
        <v>5.7000000000000002E-3</v>
      </c>
      <c r="E613" s="13"/>
      <c r="F613" s="13"/>
      <c r="G613" s="13"/>
      <c r="H613" s="46" t="s">
        <v>628</v>
      </c>
      <c r="I613" s="48">
        <v>17486.95</v>
      </c>
      <c r="J613" s="49">
        <v>1.01E-2</v>
      </c>
      <c r="K613" s="13"/>
      <c r="L613" s="13"/>
      <c r="M613" s="13"/>
      <c r="N613" s="13"/>
      <c r="O613" s="13"/>
      <c r="P613" s="13"/>
      <c r="Q613" s="13"/>
      <c r="R613" s="13"/>
      <c r="S613" s="13"/>
      <c r="T613" s="13"/>
      <c r="U613" s="13"/>
    </row>
    <row r="614" spans="1:21">
      <c r="A614" s="13"/>
      <c r="B614" s="46" t="s">
        <v>629</v>
      </c>
      <c r="C614" s="46">
        <v>284.89</v>
      </c>
      <c r="D614" s="49">
        <v>-2.2000000000000001E-3</v>
      </c>
      <c r="E614" s="13"/>
      <c r="F614" s="13"/>
      <c r="G614" s="13"/>
      <c r="H614" s="46" t="s">
        <v>629</v>
      </c>
      <c r="I614" s="48">
        <v>17311.8</v>
      </c>
      <c r="J614" s="49">
        <v>7.3000000000000001E-3</v>
      </c>
      <c r="K614" s="13"/>
      <c r="L614" s="13"/>
      <c r="M614" s="13"/>
      <c r="N614" s="13"/>
      <c r="O614" s="13"/>
      <c r="P614" s="13"/>
      <c r="Q614" s="13"/>
      <c r="R614" s="13"/>
      <c r="S614" s="13"/>
      <c r="T614" s="13"/>
      <c r="U614" s="13"/>
    </row>
    <row r="615" spans="1:21">
      <c r="A615" s="13"/>
      <c r="B615" s="46" t="s">
        <v>630</v>
      </c>
      <c r="C615" s="46">
        <v>285.51</v>
      </c>
      <c r="D615" s="49">
        <v>1.67E-2</v>
      </c>
      <c r="E615" s="13"/>
      <c r="F615" s="13"/>
      <c r="G615" s="13"/>
      <c r="H615" s="46" t="s">
        <v>630</v>
      </c>
      <c r="I615" s="48">
        <v>17185.7</v>
      </c>
      <c r="J615" s="49">
        <v>1.01E-2</v>
      </c>
      <c r="K615" s="13"/>
      <c r="L615" s="13"/>
      <c r="M615" s="13"/>
      <c r="N615" s="13"/>
      <c r="O615" s="13"/>
      <c r="P615" s="13"/>
      <c r="Q615" s="13"/>
      <c r="R615" s="13"/>
      <c r="S615" s="13"/>
      <c r="T615" s="13"/>
      <c r="U615" s="13"/>
    </row>
    <row r="616" spans="1:21">
      <c r="A616" s="13"/>
      <c r="B616" s="46" t="s">
        <v>631</v>
      </c>
      <c r="C616" s="46">
        <v>280.83</v>
      </c>
      <c r="D616" s="49">
        <v>-3.1399999999999997E-2</v>
      </c>
      <c r="E616" s="13"/>
      <c r="F616" s="13"/>
      <c r="G616" s="13"/>
      <c r="H616" s="46" t="s">
        <v>631</v>
      </c>
      <c r="I616" s="48">
        <v>17014.349999999999</v>
      </c>
      <c r="J616" s="49">
        <v>-6.4000000000000003E-3</v>
      </c>
      <c r="K616" s="13"/>
      <c r="L616" s="13"/>
      <c r="M616" s="13"/>
      <c r="N616" s="13"/>
      <c r="O616" s="13"/>
      <c r="P616" s="13"/>
      <c r="Q616" s="13"/>
      <c r="R616" s="13"/>
      <c r="S616" s="13"/>
      <c r="T616" s="13"/>
      <c r="U616" s="13"/>
    </row>
    <row r="617" spans="1:21">
      <c r="A617" s="13"/>
      <c r="B617" s="47">
        <v>44905</v>
      </c>
      <c r="C617" s="46">
        <v>289.94</v>
      </c>
      <c r="D617" s="49">
        <v>-2.06E-2</v>
      </c>
      <c r="E617" s="13"/>
      <c r="F617" s="13"/>
      <c r="G617" s="13"/>
      <c r="H617" s="47">
        <v>44905</v>
      </c>
      <c r="I617" s="48">
        <v>17123.599999999999</v>
      </c>
      <c r="J617" s="49">
        <v>8.2000000000000007E-3</v>
      </c>
      <c r="K617" s="13"/>
      <c r="L617" s="13"/>
      <c r="M617" s="13"/>
      <c r="N617" s="13"/>
      <c r="O617" s="13"/>
      <c r="P617" s="13"/>
      <c r="Q617" s="13"/>
      <c r="R617" s="13"/>
      <c r="S617" s="13"/>
      <c r="T617" s="13"/>
      <c r="U617" s="13"/>
    </row>
    <row r="618" spans="1:21">
      <c r="A618" s="13"/>
      <c r="B618" s="47">
        <v>44875</v>
      </c>
      <c r="C618" s="46">
        <v>296.04000000000002</v>
      </c>
      <c r="D618" s="49">
        <v>2.5899999999999999E-2</v>
      </c>
      <c r="E618" s="13"/>
      <c r="F618" s="13"/>
      <c r="G618" s="13"/>
      <c r="H618" s="47">
        <v>44875</v>
      </c>
      <c r="I618" s="48">
        <v>16983.55</v>
      </c>
      <c r="J618" s="49">
        <v>-1.49E-2</v>
      </c>
      <c r="K618" s="13"/>
      <c r="L618" s="13"/>
      <c r="M618" s="13"/>
      <c r="N618" s="13"/>
      <c r="O618" s="13"/>
      <c r="P618" s="13"/>
      <c r="Q618" s="13"/>
      <c r="R618" s="13"/>
      <c r="S618" s="13"/>
      <c r="T618" s="13"/>
      <c r="U618" s="13"/>
    </row>
    <row r="619" spans="1:21">
      <c r="A619" s="13"/>
      <c r="B619" s="47">
        <v>44844</v>
      </c>
      <c r="C619" s="46">
        <v>288.58</v>
      </c>
      <c r="D619" s="49">
        <v>-2.1600000000000001E-2</v>
      </c>
      <c r="E619" s="13"/>
      <c r="F619" s="13"/>
      <c r="G619" s="13"/>
      <c r="H619" s="47">
        <v>44844</v>
      </c>
      <c r="I619" s="48">
        <v>17241</v>
      </c>
      <c r="J619" s="49">
        <v>-4.3E-3</v>
      </c>
      <c r="K619" s="13"/>
      <c r="L619" s="13"/>
      <c r="M619" s="13"/>
      <c r="N619" s="13"/>
      <c r="O619" s="13"/>
      <c r="P619" s="13"/>
      <c r="Q619" s="13"/>
      <c r="R619" s="13"/>
      <c r="S619" s="13"/>
      <c r="T619" s="13"/>
      <c r="U619" s="13"/>
    </row>
    <row r="620" spans="1:21">
      <c r="A620" s="13"/>
      <c r="B620" s="47">
        <v>44752</v>
      </c>
      <c r="C620" s="46">
        <v>294.95999999999998</v>
      </c>
      <c r="D620" s="49">
        <v>-1.9099999999999999E-2</v>
      </c>
      <c r="E620" s="13"/>
      <c r="F620" s="13"/>
      <c r="G620" s="13"/>
      <c r="H620" s="47">
        <v>44752</v>
      </c>
      <c r="I620" s="48">
        <v>17314.650000000001</v>
      </c>
      <c r="J620" s="49">
        <v>-1E-3</v>
      </c>
      <c r="K620" s="13"/>
      <c r="L620" s="13"/>
      <c r="M620" s="13"/>
      <c r="N620" s="13"/>
      <c r="O620" s="13"/>
      <c r="P620" s="13"/>
      <c r="Q620" s="13"/>
      <c r="R620" s="13"/>
      <c r="S620" s="13"/>
      <c r="T620" s="13"/>
      <c r="U620" s="13"/>
    </row>
    <row r="621" spans="1:21">
      <c r="A621" s="13"/>
      <c r="B621" s="47">
        <v>44722</v>
      </c>
      <c r="C621" s="46">
        <v>300.69</v>
      </c>
      <c r="D621" s="49">
        <v>1.4200000000000001E-2</v>
      </c>
      <c r="E621" s="13"/>
      <c r="F621" s="13"/>
      <c r="G621" s="13"/>
      <c r="H621" s="47">
        <v>44722</v>
      </c>
      <c r="I621" s="48">
        <v>17331.8</v>
      </c>
      <c r="J621" s="49">
        <v>3.3E-3</v>
      </c>
      <c r="K621" s="13"/>
      <c r="L621" s="13"/>
      <c r="M621" s="13"/>
      <c r="N621" s="13"/>
      <c r="O621" s="13"/>
      <c r="P621" s="13"/>
      <c r="Q621" s="13"/>
      <c r="R621" s="13"/>
      <c r="S621" s="13"/>
      <c r="T621" s="13"/>
      <c r="U621" s="13"/>
    </row>
    <row r="622" spans="1:21">
      <c r="A622" s="13"/>
      <c r="B622" s="47">
        <v>44661</v>
      </c>
      <c r="C622" s="46">
        <v>296.49</v>
      </c>
      <c r="D622" s="49">
        <v>3.5999999999999999E-3</v>
      </c>
      <c r="E622" s="13"/>
      <c r="F622" s="13"/>
      <c r="G622" s="13"/>
      <c r="H622" s="47">
        <v>44661</v>
      </c>
      <c r="I622" s="48">
        <v>17274.3</v>
      </c>
      <c r="J622" s="49">
        <v>2.29E-2</v>
      </c>
      <c r="K622" s="13"/>
      <c r="L622" s="13"/>
      <c r="M622" s="13"/>
      <c r="N622" s="13"/>
      <c r="O622" s="13"/>
      <c r="P622" s="13"/>
      <c r="Q622" s="13"/>
      <c r="R622" s="13"/>
      <c r="S622" s="13"/>
      <c r="T622" s="13"/>
      <c r="U622" s="13"/>
    </row>
    <row r="623" spans="1:21">
      <c r="A623" s="13"/>
      <c r="B623" s="47">
        <v>44630</v>
      </c>
      <c r="C623" s="46">
        <v>295.43</v>
      </c>
      <c r="D623" s="49">
        <v>-1.2800000000000001E-2</v>
      </c>
      <c r="E623" s="13"/>
      <c r="F623" s="13"/>
      <c r="G623" s="13"/>
      <c r="H623" s="47">
        <v>44630</v>
      </c>
      <c r="I623" s="48">
        <v>16887.349999999999</v>
      </c>
      <c r="J623" s="49">
        <v>-1.21E-2</v>
      </c>
      <c r="K623" s="13"/>
      <c r="L623" s="13"/>
      <c r="M623" s="13"/>
      <c r="N623" s="13"/>
      <c r="O623" s="13"/>
      <c r="P623" s="13"/>
      <c r="Q623" s="13"/>
      <c r="R623" s="13"/>
      <c r="S623" s="13"/>
      <c r="T623" s="13"/>
      <c r="U623" s="13"/>
    </row>
  </sheetData>
  <mergeCells count="2">
    <mergeCell ref="B3:D3"/>
    <mergeCell ref="Y3:AA3"/>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725521-67A0-4C35-928D-D66154C6F4F2}">
  <dimension ref="A2:BP220"/>
  <sheetViews>
    <sheetView workbookViewId="0">
      <selection activeCell="BH22" sqref="BH22"/>
    </sheetView>
  </sheetViews>
  <sheetFormatPr defaultRowHeight="15"/>
  <cols>
    <col min="2" max="2" width="13.28515625" customWidth="1"/>
    <col min="8" max="8" width="14.42578125" customWidth="1"/>
    <col min="13" max="13" width="9.7109375" customWidth="1"/>
    <col min="25" max="25" width="12.5703125" customWidth="1"/>
    <col min="31" max="31" width="13.85546875" customWidth="1"/>
    <col min="48" max="48" width="13" customWidth="1"/>
    <col min="53" max="53" width="14.5703125" customWidth="1"/>
    <col min="54" max="54" width="12.5703125" customWidth="1"/>
    <col min="59" max="59" width="11.140625" customWidth="1"/>
  </cols>
  <sheetData>
    <row r="2" spans="1:68">
      <c r="A2" s="58" t="s">
        <v>125</v>
      </c>
      <c r="B2" s="51" t="s">
        <v>344</v>
      </c>
      <c r="C2" s="13"/>
      <c r="D2" s="13"/>
      <c r="E2" s="13"/>
      <c r="F2" s="13"/>
      <c r="G2" s="13"/>
      <c r="H2" s="13"/>
      <c r="I2" s="13"/>
      <c r="J2" s="13"/>
      <c r="K2" s="13"/>
      <c r="L2" s="13"/>
      <c r="M2" s="13"/>
      <c r="N2" s="13"/>
      <c r="O2" s="13"/>
      <c r="P2" s="13"/>
      <c r="Q2" s="13"/>
      <c r="R2" s="13"/>
      <c r="S2" s="13"/>
      <c r="T2" s="13"/>
      <c r="U2" s="13"/>
      <c r="X2" s="59" t="s">
        <v>127</v>
      </c>
      <c r="Y2" s="60" t="s">
        <v>345</v>
      </c>
      <c r="AU2" s="59" t="s">
        <v>779</v>
      </c>
      <c r="AV2" s="60" t="s">
        <v>130</v>
      </c>
    </row>
    <row r="3" spans="1:68" ht="18.75">
      <c r="A3" s="13"/>
      <c r="B3" s="96" t="s">
        <v>131</v>
      </c>
      <c r="C3" s="96"/>
      <c r="D3" s="96"/>
      <c r="E3" s="13"/>
      <c r="F3" s="13"/>
      <c r="G3" s="13"/>
      <c r="H3" s="13"/>
      <c r="I3" s="96" t="s">
        <v>132</v>
      </c>
      <c r="J3" s="13"/>
      <c r="K3" s="13"/>
      <c r="L3" s="13"/>
      <c r="M3" s="13"/>
      <c r="N3" s="13"/>
      <c r="O3" s="13"/>
      <c r="P3" s="13"/>
      <c r="Q3" s="13"/>
      <c r="R3" s="13"/>
      <c r="S3" s="13"/>
      <c r="T3" s="13"/>
      <c r="U3" s="13"/>
      <c r="Y3" s="111" t="s">
        <v>131</v>
      </c>
      <c r="Z3" s="111"/>
      <c r="AA3" s="111"/>
      <c r="AB3" s="13"/>
      <c r="AC3" s="13"/>
      <c r="AD3" s="13"/>
      <c r="AE3" s="13"/>
      <c r="AF3" s="96" t="s">
        <v>132</v>
      </c>
      <c r="AG3" s="13"/>
      <c r="AH3" s="13"/>
      <c r="AI3" s="13"/>
      <c r="AJ3" s="13"/>
      <c r="AK3" s="13"/>
      <c r="AL3" s="13"/>
      <c r="AM3" s="13"/>
      <c r="AN3" s="13"/>
      <c r="AO3" s="13"/>
      <c r="AP3" s="13"/>
      <c r="AQ3" s="13"/>
      <c r="AR3" s="13"/>
      <c r="AV3" s="111" t="s">
        <v>131</v>
      </c>
      <c r="AW3" s="111"/>
      <c r="AX3" s="111"/>
      <c r="AY3" s="13"/>
      <c r="AZ3" s="13"/>
      <c r="BA3" s="13"/>
      <c r="BB3" s="13"/>
      <c r="BC3" s="96" t="s">
        <v>132</v>
      </c>
      <c r="BD3" s="13"/>
      <c r="BE3" s="13"/>
      <c r="BF3" s="13"/>
      <c r="BG3" s="13" t="s">
        <v>137</v>
      </c>
      <c r="BH3" s="42"/>
      <c r="BI3" s="13"/>
      <c r="BJ3" s="13"/>
      <c r="BK3" s="13"/>
      <c r="BL3" s="13"/>
      <c r="BM3" s="13"/>
      <c r="BN3" s="13"/>
      <c r="BO3" s="13"/>
      <c r="BP3" s="13"/>
    </row>
    <row r="4" spans="1:68" ht="15.75">
      <c r="A4" s="13"/>
      <c r="B4" s="41" t="s">
        <v>133</v>
      </c>
      <c r="C4" s="41" t="s">
        <v>134</v>
      </c>
      <c r="D4" s="41" t="s">
        <v>135</v>
      </c>
      <c r="E4" s="13"/>
      <c r="F4" s="13"/>
      <c r="G4" s="13"/>
      <c r="H4" s="41" t="s">
        <v>133</v>
      </c>
      <c r="I4" s="41" t="s">
        <v>134</v>
      </c>
      <c r="J4" s="41" t="s">
        <v>136</v>
      </c>
      <c r="K4" s="13"/>
      <c r="L4" s="13"/>
      <c r="M4" s="13"/>
      <c r="N4" s="13"/>
      <c r="O4" s="13"/>
      <c r="P4" s="13"/>
      <c r="Q4" s="13"/>
      <c r="R4" s="13"/>
      <c r="S4" s="13"/>
      <c r="T4" s="13"/>
      <c r="U4" s="13"/>
      <c r="Y4" s="50" t="s">
        <v>133</v>
      </c>
      <c r="Z4" s="50" t="s">
        <v>134</v>
      </c>
      <c r="AA4" s="50" t="s">
        <v>135</v>
      </c>
      <c r="AB4" s="13"/>
      <c r="AC4" s="13"/>
      <c r="AD4" s="13"/>
      <c r="AE4" s="50" t="s">
        <v>133</v>
      </c>
      <c r="AF4" s="50" t="s">
        <v>134</v>
      </c>
      <c r="AG4" s="50" t="s">
        <v>136</v>
      </c>
      <c r="AH4" s="13"/>
      <c r="AI4" s="13"/>
      <c r="AJ4" s="13" t="s">
        <v>137</v>
      </c>
      <c r="AK4" s="42"/>
      <c r="AL4" s="13"/>
      <c r="AM4" s="13"/>
      <c r="AN4" s="13"/>
      <c r="AO4" s="13"/>
      <c r="AP4" s="13"/>
      <c r="AQ4" s="13"/>
      <c r="AR4" s="13"/>
      <c r="AV4" s="50" t="s">
        <v>133</v>
      </c>
      <c r="AW4" s="50" t="s">
        <v>134</v>
      </c>
      <c r="AX4" s="50" t="s">
        <v>135</v>
      </c>
      <c r="AY4" s="13"/>
      <c r="AZ4" s="13"/>
      <c r="BA4" s="13"/>
      <c r="BB4" s="50" t="s">
        <v>133</v>
      </c>
      <c r="BC4" s="50" t="s">
        <v>134</v>
      </c>
      <c r="BD4" s="50" t="s">
        <v>136</v>
      </c>
      <c r="BE4" s="13"/>
      <c r="BF4" s="13"/>
      <c r="BG4" s="13"/>
      <c r="BH4" s="13"/>
      <c r="BI4" s="13"/>
      <c r="BJ4" s="13"/>
      <c r="BK4" s="13"/>
      <c r="BL4" s="13"/>
      <c r="BM4" s="13"/>
      <c r="BN4" s="13"/>
      <c r="BO4" s="13"/>
      <c r="BP4" s="13"/>
    </row>
    <row r="5" spans="1:68">
      <c r="A5" s="13"/>
      <c r="B5" s="46" t="s">
        <v>632</v>
      </c>
      <c r="C5" s="46">
        <v>299.25</v>
      </c>
      <c r="D5" s="49">
        <v>5.4699999999999999E-2</v>
      </c>
      <c r="E5" s="13"/>
      <c r="F5" s="13"/>
      <c r="G5" s="13"/>
      <c r="H5" s="46" t="s">
        <v>632</v>
      </c>
      <c r="I5" s="48">
        <v>17094.349999999999</v>
      </c>
      <c r="J5" s="49">
        <v>1.6400000000000001E-2</v>
      </c>
      <c r="K5" s="13"/>
      <c r="L5" s="13"/>
      <c r="M5" s="51" t="s">
        <v>137</v>
      </c>
      <c r="N5" s="42"/>
      <c r="O5" s="13"/>
      <c r="P5" s="13"/>
      <c r="Q5" s="13"/>
      <c r="R5" s="13"/>
      <c r="S5" s="13"/>
      <c r="T5" s="13"/>
      <c r="U5" s="13"/>
      <c r="Y5" s="46" t="s">
        <v>560</v>
      </c>
      <c r="Z5" s="46">
        <v>299.25</v>
      </c>
      <c r="AA5" s="49">
        <v>3.2199999999999999E-2</v>
      </c>
      <c r="AB5" s="13"/>
      <c r="AC5" s="13"/>
      <c r="AD5" s="13"/>
      <c r="AE5" s="46" t="s">
        <v>560</v>
      </c>
      <c r="AF5" s="48">
        <v>17094.349999999999</v>
      </c>
      <c r="AG5" s="49">
        <v>-1.34E-2</v>
      </c>
      <c r="AH5" s="13"/>
      <c r="AI5" s="13"/>
      <c r="AJ5" s="13"/>
      <c r="AK5" s="13"/>
      <c r="AL5" s="13"/>
      <c r="AM5" s="13"/>
      <c r="AN5" s="13"/>
      <c r="AO5" s="13"/>
      <c r="AP5" s="13"/>
      <c r="AQ5" s="13"/>
      <c r="AR5" s="13"/>
      <c r="AV5" s="47">
        <v>44570</v>
      </c>
      <c r="AW5" s="46">
        <v>299.25</v>
      </c>
      <c r="AX5" s="49">
        <v>0.1099</v>
      </c>
      <c r="AY5" s="13"/>
      <c r="AZ5" s="13"/>
      <c r="BA5" s="13"/>
      <c r="BB5" s="47">
        <v>44570</v>
      </c>
      <c r="BC5" s="48">
        <v>17094.349999999999</v>
      </c>
      <c r="BD5" s="49">
        <v>-3.7400000000000003E-2</v>
      </c>
      <c r="BE5" s="13"/>
      <c r="BF5" s="13"/>
      <c r="BG5" s="43" t="s">
        <v>142</v>
      </c>
      <c r="BH5" s="44"/>
      <c r="BI5" s="13"/>
      <c r="BJ5" s="13"/>
      <c r="BK5" s="13"/>
      <c r="BL5" s="13"/>
      <c r="BM5" s="13"/>
      <c r="BN5" s="13"/>
      <c r="BO5" s="13"/>
      <c r="BP5" s="13"/>
    </row>
    <row r="6" spans="1:68">
      <c r="A6" s="13"/>
      <c r="B6" s="46" t="s">
        <v>633</v>
      </c>
      <c r="C6" s="46">
        <v>283.74</v>
      </c>
      <c r="D6" s="49">
        <v>-1.1599999999999999E-2</v>
      </c>
      <c r="E6" s="13"/>
      <c r="F6" s="13"/>
      <c r="G6" s="13"/>
      <c r="H6" s="46" t="s">
        <v>633</v>
      </c>
      <c r="I6" s="48">
        <v>16818.099999999999</v>
      </c>
      <c r="J6" s="49">
        <v>-2.3999999999999998E-3</v>
      </c>
      <c r="K6" s="13"/>
      <c r="L6" s="13"/>
      <c r="M6" s="13"/>
      <c r="N6" s="13"/>
      <c r="O6" s="13"/>
      <c r="P6" s="13"/>
      <c r="Q6" s="13"/>
      <c r="R6" s="13"/>
      <c r="S6" s="13"/>
      <c r="T6" s="13"/>
      <c r="U6" s="13"/>
      <c r="Y6" s="46" t="s">
        <v>562</v>
      </c>
      <c r="Z6" s="46">
        <v>289.92</v>
      </c>
      <c r="AA6" s="49">
        <v>-3.5999999999999999E-3</v>
      </c>
      <c r="AB6" s="13"/>
      <c r="AC6" s="13"/>
      <c r="AD6" s="13"/>
      <c r="AE6" s="46" t="s">
        <v>562</v>
      </c>
      <c r="AF6" s="48">
        <v>17327.349999999999</v>
      </c>
      <c r="AG6" s="49">
        <v>-1.1599999999999999E-2</v>
      </c>
      <c r="AH6" s="13"/>
      <c r="AI6" s="13"/>
      <c r="AJ6" s="43" t="s">
        <v>142</v>
      </c>
      <c r="AK6" s="44"/>
      <c r="AL6" s="13"/>
      <c r="AM6" s="13"/>
      <c r="AN6" s="13"/>
      <c r="AO6" s="13"/>
      <c r="AP6" s="13"/>
      <c r="AQ6" s="13"/>
      <c r="AR6" s="13"/>
      <c r="AV6" s="47">
        <v>44569</v>
      </c>
      <c r="AW6" s="46">
        <v>269.61</v>
      </c>
      <c r="AX6" s="49">
        <v>0.17169999999999999</v>
      </c>
      <c r="AY6" s="13"/>
      <c r="AZ6" s="13"/>
      <c r="BA6" s="13"/>
      <c r="BB6" s="47">
        <v>44569</v>
      </c>
      <c r="BC6" s="48">
        <v>17759.3</v>
      </c>
      <c r="BD6" s="49">
        <v>3.5000000000000003E-2</v>
      </c>
      <c r="BE6" s="13"/>
      <c r="BF6" s="13"/>
      <c r="BG6" s="13" t="s">
        <v>145</v>
      </c>
      <c r="BH6" s="13">
        <v>0.51059699999999997</v>
      </c>
      <c r="BI6" s="13"/>
      <c r="BJ6" s="13"/>
      <c r="BK6" s="13"/>
      <c r="BL6" s="13"/>
      <c r="BM6" s="13"/>
      <c r="BN6" s="13"/>
      <c r="BO6" s="13"/>
      <c r="BP6" s="13"/>
    </row>
    <row r="7" spans="1:68">
      <c r="A7" s="13"/>
      <c r="B7" s="46" t="s">
        <v>634</v>
      </c>
      <c r="C7" s="46">
        <v>287.07</v>
      </c>
      <c r="D7" s="49">
        <v>7.6E-3</v>
      </c>
      <c r="E7" s="13"/>
      <c r="F7" s="13"/>
      <c r="G7" s="13"/>
      <c r="H7" s="46" t="s">
        <v>634</v>
      </c>
      <c r="I7" s="48">
        <v>16858.599999999999</v>
      </c>
      <c r="J7" s="49">
        <v>-8.6999999999999994E-3</v>
      </c>
      <c r="K7" s="13"/>
      <c r="L7" s="13"/>
      <c r="M7" s="43" t="s">
        <v>142</v>
      </c>
      <c r="N7" s="44"/>
      <c r="O7" s="13"/>
      <c r="P7" s="13"/>
      <c r="Q7" s="13"/>
      <c r="R7" s="13"/>
      <c r="S7" s="13"/>
      <c r="T7" s="13"/>
      <c r="U7" s="13"/>
      <c r="Y7" s="47">
        <v>44874</v>
      </c>
      <c r="Z7" s="46">
        <v>290.95999999999998</v>
      </c>
      <c r="AA7" s="49">
        <v>2.98E-2</v>
      </c>
      <c r="AB7" s="13"/>
      <c r="AC7" s="13"/>
      <c r="AD7" s="13"/>
      <c r="AE7" s="47">
        <v>44874</v>
      </c>
      <c r="AF7" s="48">
        <v>17530.849999999999</v>
      </c>
      <c r="AG7" s="49">
        <v>-1.7000000000000001E-2</v>
      </c>
      <c r="AH7" s="13"/>
      <c r="AI7" s="13"/>
      <c r="AJ7" s="13" t="s">
        <v>145</v>
      </c>
      <c r="AK7" s="13">
        <v>0.58860299999999999</v>
      </c>
      <c r="AL7" s="13"/>
      <c r="AM7" s="13"/>
      <c r="AN7" s="13"/>
      <c r="AO7" s="13"/>
      <c r="AP7" s="13"/>
      <c r="AQ7" s="13"/>
      <c r="AR7" s="13"/>
      <c r="AV7" s="47">
        <v>44568</v>
      </c>
      <c r="AW7" s="46">
        <v>230.1</v>
      </c>
      <c r="AX7" s="49">
        <v>5.9799999999999999E-2</v>
      </c>
      <c r="AY7" s="13"/>
      <c r="AZ7" s="13"/>
      <c r="BA7" s="13"/>
      <c r="BB7" s="47">
        <v>44568</v>
      </c>
      <c r="BC7" s="48">
        <v>17158.25</v>
      </c>
      <c r="BD7" s="49">
        <v>8.7300000000000003E-2</v>
      </c>
      <c r="BE7" s="13"/>
      <c r="BF7" s="13"/>
      <c r="BG7" s="13" t="s">
        <v>147</v>
      </c>
      <c r="BH7" s="13">
        <v>0.26070900000000002</v>
      </c>
      <c r="BI7" s="13"/>
      <c r="BJ7" s="13"/>
      <c r="BK7" s="13"/>
      <c r="BL7" s="13"/>
      <c r="BM7" s="13"/>
      <c r="BN7" s="13"/>
      <c r="BO7" s="13"/>
      <c r="BP7" s="13"/>
    </row>
    <row r="8" spans="1:68">
      <c r="A8" s="13"/>
      <c r="B8" s="46" t="s">
        <v>635</v>
      </c>
      <c r="C8" s="46">
        <v>284.89999999999998</v>
      </c>
      <c r="D8" s="49">
        <v>1.41E-2</v>
      </c>
      <c r="E8" s="13"/>
      <c r="F8" s="13"/>
      <c r="G8" s="13"/>
      <c r="H8" s="46" t="s">
        <v>635</v>
      </c>
      <c r="I8" s="48">
        <v>17007.400000000001</v>
      </c>
      <c r="J8" s="49">
        <v>-5.0000000000000001E-4</v>
      </c>
      <c r="K8" s="13"/>
      <c r="L8" s="13"/>
      <c r="M8" s="13" t="s">
        <v>145</v>
      </c>
      <c r="N8" s="13">
        <v>0.38688099999999997</v>
      </c>
      <c r="O8" s="13"/>
      <c r="P8" s="13"/>
      <c r="Q8" s="13"/>
      <c r="R8" s="13"/>
      <c r="S8" s="13"/>
      <c r="T8" s="13"/>
      <c r="U8" s="13"/>
      <c r="Y8" s="47">
        <v>44660</v>
      </c>
      <c r="Z8" s="46">
        <v>282.52999999999997</v>
      </c>
      <c r="AA8" s="49">
        <v>4.2999999999999997E-2</v>
      </c>
      <c r="AB8" s="13"/>
      <c r="AC8" s="13"/>
      <c r="AD8" s="13"/>
      <c r="AE8" s="47">
        <v>44660</v>
      </c>
      <c r="AF8" s="48">
        <v>17833.349999999999</v>
      </c>
      <c r="AG8" s="49">
        <v>1.6799999999999999E-2</v>
      </c>
      <c r="AH8" s="13"/>
      <c r="AI8" s="13"/>
      <c r="AJ8" s="13" t="s">
        <v>147</v>
      </c>
      <c r="AK8" s="13">
        <v>0.34645399999999998</v>
      </c>
      <c r="AL8" s="13"/>
      <c r="AM8" s="13"/>
      <c r="AN8" s="13"/>
      <c r="AO8" s="13"/>
      <c r="AP8" s="13"/>
      <c r="AQ8" s="13"/>
      <c r="AR8" s="13"/>
      <c r="AV8" s="47">
        <v>44567</v>
      </c>
      <c r="AW8" s="46">
        <v>217.11</v>
      </c>
      <c r="AX8" s="49">
        <v>1.9199999999999998E-2</v>
      </c>
      <c r="AY8" s="13"/>
      <c r="AZ8" s="13"/>
      <c r="BA8" s="13"/>
      <c r="BB8" s="47">
        <v>44567</v>
      </c>
      <c r="BC8" s="48">
        <v>15780.25</v>
      </c>
      <c r="BD8" s="49">
        <v>-4.8500000000000001E-2</v>
      </c>
      <c r="BE8" s="13"/>
      <c r="BF8" s="13"/>
      <c r="BG8" s="13" t="s">
        <v>149</v>
      </c>
      <c r="BH8" s="13">
        <v>0.168298</v>
      </c>
      <c r="BI8" s="13"/>
      <c r="BJ8" s="13"/>
      <c r="BK8" s="13"/>
      <c r="BL8" s="13"/>
      <c r="BM8" s="13"/>
      <c r="BN8" s="13"/>
      <c r="BO8" s="13"/>
      <c r="BP8" s="13"/>
    </row>
    <row r="9" spans="1:68">
      <c r="A9" s="13"/>
      <c r="B9" s="46" t="s">
        <v>636</v>
      </c>
      <c r="C9" s="46">
        <v>280.94</v>
      </c>
      <c r="D9" s="49">
        <v>-3.1E-2</v>
      </c>
      <c r="E9" s="13"/>
      <c r="F9" s="13"/>
      <c r="G9" s="13"/>
      <c r="H9" s="46" t="s">
        <v>636</v>
      </c>
      <c r="I9" s="48">
        <v>17016.3</v>
      </c>
      <c r="J9" s="49">
        <v>-1.7999999999999999E-2</v>
      </c>
      <c r="K9" s="13"/>
      <c r="L9" s="13"/>
      <c r="M9" s="13" t="s">
        <v>147</v>
      </c>
      <c r="N9" s="13">
        <v>0.149677</v>
      </c>
      <c r="O9" s="13"/>
      <c r="P9" s="13"/>
      <c r="Q9" s="13"/>
      <c r="R9" s="13"/>
      <c r="S9" s="13"/>
      <c r="T9" s="13"/>
      <c r="U9" s="13"/>
      <c r="Y9" s="46" t="s">
        <v>566</v>
      </c>
      <c r="Z9" s="46">
        <v>270.87</v>
      </c>
      <c r="AA9" s="49">
        <v>7.7200000000000005E-2</v>
      </c>
      <c r="AB9" s="13"/>
      <c r="AC9" s="13"/>
      <c r="AD9" s="13"/>
      <c r="AE9" s="46" t="s">
        <v>566</v>
      </c>
      <c r="AF9" s="48">
        <v>17539.45</v>
      </c>
      <c r="AG9" s="49">
        <v>-1.1000000000000001E-3</v>
      </c>
      <c r="AH9" s="13"/>
      <c r="AI9" s="13"/>
      <c r="AJ9" s="13" t="s">
        <v>149</v>
      </c>
      <c r="AK9" s="13">
        <v>0.33089299999999999</v>
      </c>
      <c r="AL9" s="13"/>
      <c r="AM9" s="13"/>
      <c r="AN9" s="13"/>
      <c r="AO9" s="13"/>
      <c r="AP9" s="13"/>
      <c r="AQ9" s="13"/>
      <c r="AR9" s="13"/>
      <c r="AV9" s="47">
        <v>44566</v>
      </c>
      <c r="AW9" s="46">
        <v>213.03</v>
      </c>
      <c r="AX9" s="49">
        <v>-0.19739999999999999</v>
      </c>
      <c r="AY9" s="13"/>
      <c r="AZ9" s="13"/>
      <c r="BA9" s="13"/>
      <c r="BB9" s="47">
        <v>44566</v>
      </c>
      <c r="BC9" s="48">
        <v>16584.55</v>
      </c>
      <c r="BD9" s="49">
        <v>-3.0300000000000001E-2</v>
      </c>
      <c r="BE9" s="13"/>
      <c r="BF9" s="13"/>
      <c r="BG9" s="13" t="s">
        <v>152</v>
      </c>
      <c r="BH9" s="13">
        <v>0.11795</v>
      </c>
      <c r="BI9" s="13"/>
      <c r="BJ9" s="13"/>
      <c r="BK9" s="13"/>
      <c r="BL9" s="13"/>
      <c r="BM9" s="13"/>
      <c r="BN9" s="13"/>
      <c r="BO9" s="13"/>
      <c r="BP9" s="13"/>
    </row>
    <row r="10" spans="1:68">
      <c r="A10" s="13"/>
      <c r="B10" s="46" t="s">
        <v>637</v>
      </c>
      <c r="C10" s="46">
        <v>289.92</v>
      </c>
      <c r="D10" s="49">
        <v>6.0000000000000001E-3</v>
      </c>
      <c r="E10" s="13"/>
      <c r="F10" s="13"/>
      <c r="G10" s="13"/>
      <c r="H10" s="46" t="s">
        <v>637</v>
      </c>
      <c r="I10" s="48">
        <v>17327.349999999999</v>
      </c>
      <c r="J10" s="49">
        <v>-1.72E-2</v>
      </c>
      <c r="K10" s="13"/>
      <c r="L10" s="13"/>
      <c r="M10" s="13" t="s">
        <v>149</v>
      </c>
      <c r="N10" s="13">
        <v>0.145703</v>
      </c>
      <c r="O10" s="13"/>
      <c r="P10" s="13"/>
      <c r="Q10" s="13"/>
      <c r="R10" s="13"/>
      <c r="S10" s="13"/>
      <c r="T10" s="13"/>
      <c r="U10" s="13"/>
      <c r="Y10" s="46" t="s">
        <v>568</v>
      </c>
      <c r="Z10" s="46">
        <v>251.45</v>
      </c>
      <c r="AA10" s="49">
        <v>-1.5800000000000002E-2</v>
      </c>
      <c r="AB10" s="13"/>
      <c r="AC10" s="13"/>
      <c r="AD10" s="13"/>
      <c r="AE10" s="46" t="s">
        <v>568</v>
      </c>
      <c r="AF10" s="48">
        <v>17558.900000000001</v>
      </c>
      <c r="AG10" s="49">
        <v>-1.12E-2</v>
      </c>
      <c r="AH10" s="13"/>
      <c r="AI10" s="13"/>
      <c r="AJ10" s="13" t="s">
        <v>152</v>
      </c>
      <c r="AK10" s="13">
        <v>4.9687000000000002E-2</v>
      </c>
      <c r="AL10" s="13"/>
      <c r="AM10" s="13"/>
      <c r="AN10" s="13"/>
      <c r="AO10" s="13"/>
      <c r="AP10" s="13"/>
      <c r="AQ10" s="13"/>
      <c r="AR10" s="13"/>
      <c r="AV10" s="47">
        <v>44565</v>
      </c>
      <c r="AW10" s="46">
        <v>265.42</v>
      </c>
      <c r="AX10" s="49">
        <v>-0.10150000000000001</v>
      </c>
      <c r="AY10" s="13"/>
      <c r="AZ10" s="13"/>
      <c r="BA10" s="13"/>
      <c r="BB10" s="47">
        <v>44565</v>
      </c>
      <c r="BC10" s="48">
        <v>17102.55</v>
      </c>
      <c r="BD10" s="49">
        <v>-2.07E-2</v>
      </c>
      <c r="BE10" s="13"/>
      <c r="BF10" s="13"/>
      <c r="BG10" s="45" t="s">
        <v>155</v>
      </c>
      <c r="BH10" s="45">
        <v>10</v>
      </c>
      <c r="BI10" s="13"/>
      <c r="BJ10" s="13"/>
      <c r="BK10" s="13"/>
      <c r="BL10" s="13"/>
      <c r="BM10" s="13"/>
      <c r="BN10" s="13"/>
      <c r="BO10" s="13"/>
      <c r="BP10" s="13"/>
    </row>
    <row r="11" spans="1:68">
      <c r="A11" s="13"/>
      <c r="B11" s="46" t="s">
        <v>638</v>
      </c>
      <c r="C11" s="46">
        <v>288.18</v>
      </c>
      <c r="D11" s="49">
        <v>-2.2100000000000002E-2</v>
      </c>
      <c r="E11" s="13"/>
      <c r="F11" s="13"/>
      <c r="G11" s="13"/>
      <c r="H11" s="46" t="s">
        <v>638</v>
      </c>
      <c r="I11" s="48">
        <v>17629.8</v>
      </c>
      <c r="J11" s="49">
        <v>-5.0000000000000001E-3</v>
      </c>
      <c r="K11" s="13"/>
      <c r="L11" s="13"/>
      <c r="M11" s="13" t="s">
        <v>152</v>
      </c>
      <c r="N11" s="13">
        <v>2.7275000000000001E-2</v>
      </c>
      <c r="O11" s="13"/>
      <c r="P11" s="13"/>
      <c r="Q11" s="13"/>
      <c r="R11" s="13"/>
      <c r="S11" s="13"/>
      <c r="T11" s="13"/>
      <c r="U11" s="13"/>
      <c r="Y11" s="46" t="s">
        <v>570</v>
      </c>
      <c r="Z11" s="46">
        <v>255.48</v>
      </c>
      <c r="AA11" s="49">
        <v>-3.3799999999999997E-2</v>
      </c>
      <c r="AB11" s="13"/>
      <c r="AC11" s="13"/>
      <c r="AD11" s="13"/>
      <c r="AE11" s="46" t="s">
        <v>570</v>
      </c>
      <c r="AF11" s="48">
        <v>17758.45</v>
      </c>
      <c r="AG11" s="49">
        <v>3.3999999999999998E-3</v>
      </c>
      <c r="AH11" s="13"/>
      <c r="AI11" s="13"/>
      <c r="AJ11" s="45" t="s">
        <v>155</v>
      </c>
      <c r="AK11" s="45">
        <v>44</v>
      </c>
      <c r="AL11" s="13"/>
      <c r="AM11" s="13"/>
      <c r="AN11" s="13"/>
      <c r="AO11" s="13"/>
      <c r="AP11" s="13"/>
      <c r="AQ11" s="13"/>
      <c r="AR11" s="13"/>
      <c r="AV11" s="47">
        <v>44564</v>
      </c>
      <c r="AW11" s="46">
        <v>295.41000000000003</v>
      </c>
      <c r="AX11" s="49">
        <v>0.15909999999999999</v>
      </c>
      <c r="AY11" s="13"/>
      <c r="AZ11" s="13"/>
      <c r="BA11" s="13"/>
      <c r="BB11" s="47">
        <v>44564</v>
      </c>
      <c r="BC11" s="48">
        <v>17464.75</v>
      </c>
      <c r="BD11" s="49">
        <v>3.9899999999999998E-2</v>
      </c>
      <c r="BE11" s="13"/>
      <c r="BF11" s="13"/>
      <c r="BG11" s="13"/>
      <c r="BH11" s="13"/>
      <c r="BI11" s="13"/>
      <c r="BJ11" s="13"/>
      <c r="BK11" s="13"/>
      <c r="BL11" s="13"/>
      <c r="BM11" s="13"/>
      <c r="BN11" s="13"/>
      <c r="BO11" s="13"/>
      <c r="BP11" s="13"/>
    </row>
    <row r="12" spans="1:68">
      <c r="A12" s="13"/>
      <c r="B12" s="46" t="s">
        <v>639</v>
      </c>
      <c r="C12" s="46">
        <v>294.7</v>
      </c>
      <c r="D12" s="49">
        <v>6.7999999999999996E-3</v>
      </c>
      <c r="E12" s="13"/>
      <c r="F12" s="13"/>
      <c r="G12" s="13"/>
      <c r="H12" s="46" t="s">
        <v>639</v>
      </c>
      <c r="I12" s="48">
        <v>17718.349999999999</v>
      </c>
      <c r="J12" s="49">
        <v>-5.4999999999999997E-3</v>
      </c>
      <c r="K12" s="13"/>
      <c r="L12" s="13"/>
      <c r="M12" s="45" t="s">
        <v>155</v>
      </c>
      <c r="N12" s="45">
        <v>216</v>
      </c>
      <c r="O12" s="13"/>
      <c r="P12" s="13"/>
      <c r="Q12" s="13"/>
      <c r="R12" s="13"/>
      <c r="S12" s="13"/>
      <c r="T12" s="13"/>
      <c r="U12" s="13"/>
      <c r="Y12" s="47">
        <v>44750</v>
      </c>
      <c r="Z12" s="46">
        <v>264.41000000000003</v>
      </c>
      <c r="AA12" s="49">
        <v>2.92E-2</v>
      </c>
      <c r="AB12" s="13"/>
      <c r="AC12" s="13"/>
      <c r="AD12" s="13"/>
      <c r="AE12" s="47">
        <v>44750</v>
      </c>
      <c r="AF12" s="48">
        <v>17698.150000000001</v>
      </c>
      <c r="AG12" s="49">
        <v>1.7299999999999999E-2</v>
      </c>
      <c r="AH12" s="13"/>
      <c r="AI12" s="13"/>
      <c r="AJ12" s="13"/>
      <c r="AK12" s="13"/>
      <c r="AL12" s="13"/>
      <c r="AM12" s="13"/>
      <c r="AN12" s="13"/>
      <c r="AO12" s="13"/>
      <c r="AP12" s="13"/>
      <c r="AQ12" s="13"/>
      <c r="AR12" s="13"/>
      <c r="AV12" s="47">
        <v>44563</v>
      </c>
      <c r="AW12" s="46">
        <v>254.86</v>
      </c>
      <c r="AX12" s="49">
        <v>-5.4300000000000001E-2</v>
      </c>
      <c r="AY12" s="13"/>
      <c r="AZ12" s="13"/>
      <c r="BA12" s="13"/>
      <c r="BB12" s="47">
        <v>44563</v>
      </c>
      <c r="BC12" s="48">
        <v>16793.900000000001</v>
      </c>
      <c r="BD12" s="49">
        <v>-3.15E-2</v>
      </c>
      <c r="BE12" s="13"/>
      <c r="BF12" s="13"/>
      <c r="BG12" s="13" t="s">
        <v>158</v>
      </c>
      <c r="BH12" s="13"/>
      <c r="BI12" s="13"/>
      <c r="BJ12" s="13"/>
      <c r="BK12" s="13"/>
      <c r="BL12" s="13"/>
      <c r="BM12" s="13"/>
      <c r="BN12" s="13"/>
      <c r="BO12" s="13"/>
      <c r="BP12" s="13"/>
    </row>
    <row r="13" spans="1:68">
      <c r="A13" s="13"/>
      <c r="B13" s="46" t="s">
        <v>640</v>
      </c>
      <c r="C13" s="46">
        <v>292.70999999999998</v>
      </c>
      <c r="D13" s="49">
        <v>2.9999999999999997E-4</v>
      </c>
      <c r="E13" s="13"/>
      <c r="F13" s="13"/>
      <c r="G13" s="13"/>
      <c r="H13" s="46" t="s">
        <v>640</v>
      </c>
      <c r="I13" s="48">
        <v>17816.25</v>
      </c>
      <c r="J13" s="49">
        <v>1.0999999999999999E-2</v>
      </c>
      <c r="K13" s="13"/>
      <c r="L13" s="13"/>
      <c r="M13" s="13"/>
      <c r="N13" s="13"/>
      <c r="O13" s="13"/>
      <c r="P13" s="13"/>
      <c r="Q13" s="13"/>
      <c r="R13" s="13"/>
      <c r="S13" s="13"/>
      <c r="T13" s="13"/>
      <c r="U13" s="13"/>
      <c r="Y13" s="46" t="s">
        <v>571</v>
      </c>
      <c r="Z13" s="46">
        <v>256.91000000000003</v>
      </c>
      <c r="AA13" s="49">
        <v>0.11650000000000001</v>
      </c>
      <c r="AB13" s="13"/>
      <c r="AC13" s="13"/>
      <c r="AD13" s="13"/>
      <c r="AE13" s="46" t="s">
        <v>571</v>
      </c>
      <c r="AF13" s="48">
        <v>17397.5</v>
      </c>
      <c r="AG13" s="49">
        <v>1.3899999999999999E-2</v>
      </c>
      <c r="AH13" s="13"/>
      <c r="AI13" s="13"/>
      <c r="AJ13" s="13" t="s">
        <v>158</v>
      </c>
      <c r="AK13" s="13"/>
      <c r="AL13" s="13"/>
      <c r="AM13" s="13"/>
      <c r="AN13" s="13"/>
      <c r="AO13" s="13"/>
      <c r="AP13" s="13"/>
      <c r="AQ13" s="13"/>
      <c r="AR13" s="13"/>
      <c r="AV13" s="47">
        <v>44562</v>
      </c>
      <c r="AW13" s="46">
        <v>269.48</v>
      </c>
      <c r="AX13" s="49">
        <v>0.10539999999999999</v>
      </c>
      <c r="AY13" s="13"/>
      <c r="AZ13" s="13"/>
      <c r="BA13" s="13"/>
      <c r="BB13" s="47">
        <v>44562</v>
      </c>
      <c r="BC13" s="48">
        <v>17339.849999999999</v>
      </c>
      <c r="BD13" s="49">
        <v>-8.0000000000000004E-4</v>
      </c>
      <c r="BE13" s="13"/>
      <c r="BF13" s="13"/>
      <c r="BG13" s="43" t="s">
        <v>161</v>
      </c>
      <c r="BH13" s="43" t="s">
        <v>162</v>
      </c>
      <c r="BI13" s="43" t="s">
        <v>163</v>
      </c>
      <c r="BJ13" s="43" t="s">
        <v>164</v>
      </c>
      <c r="BK13" s="43" t="s">
        <v>165</v>
      </c>
      <c r="BL13" s="43" t="s">
        <v>166</v>
      </c>
      <c r="BM13" s="13"/>
      <c r="BN13" s="13"/>
      <c r="BO13" s="13"/>
      <c r="BP13" s="13"/>
    </row>
    <row r="14" spans="1:68">
      <c r="A14" s="13"/>
      <c r="B14" s="46" t="s">
        <v>641</v>
      </c>
      <c r="C14" s="46">
        <v>292.61</v>
      </c>
      <c r="D14" s="49">
        <v>5.7000000000000002E-3</v>
      </c>
      <c r="E14" s="13"/>
      <c r="F14" s="13"/>
      <c r="G14" s="13"/>
      <c r="H14" s="46" t="s">
        <v>641</v>
      </c>
      <c r="I14" s="48">
        <v>17622.25</v>
      </c>
      <c r="J14" s="49">
        <v>5.1999999999999998E-3</v>
      </c>
      <c r="K14" s="13"/>
      <c r="L14" s="13"/>
      <c r="M14" s="13" t="s">
        <v>158</v>
      </c>
      <c r="N14" s="13"/>
      <c r="O14" s="13"/>
      <c r="P14" s="13"/>
      <c r="Q14" s="13"/>
      <c r="R14" s="13"/>
      <c r="S14" s="13"/>
      <c r="T14" s="13"/>
      <c r="U14" s="13"/>
      <c r="Y14" s="46" t="s">
        <v>572</v>
      </c>
      <c r="Z14" s="46">
        <v>230.1</v>
      </c>
      <c r="AA14" s="49">
        <v>3.7199999999999997E-2</v>
      </c>
      <c r="AB14" s="13"/>
      <c r="AC14" s="13"/>
      <c r="AD14" s="13"/>
      <c r="AE14" s="46" t="s">
        <v>572</v>
      </c>
      <c r="AF14" s="48">
        <v>17158.25</v>
      </c>
      <c r="AG14" s="49">
        <v>2.6200000000000001E-2</v>
      </c>
      <c r="AH14" s="13"/>
      <c r="AI14" s="13"/>
      <c r="AJ14" s="43" t="s">
        <v>161</v>
      </c>
      <c r="AK14" s="43" t="s">
        <v>162</v>
      </c>
      <c r="AL14" s="43" t="s">
        <v>163</v>
      </c>
      <c r="AM14" s="43" t="s">
        <v>164</v>
      </c>
      <c r="AN14" s="43" t="s">
        <v>165</v>
      </c>
      <c r="AO14" s="43" t="s">
        <v>166</v>
      </c>
      <c r="AP14" s="13"/>
      <c r="AQ14" s="13"/>
      <c r="AR14" s="13"/>
      <c r="AV14" s="47">
        <v>44208</v>
      </c>
      <c r="AW14" s="46">
        <v>243.79</v>
      </c>
      <c r="AX14" s="49">
        <v>0.1956</v>
      </c>
      <c r="AY14" s="13"/>
      <c r="AZ14" s="13"/>
      <c r="BA14" s="13"/>
      <c r="BB14" s="47">
        <v>44208</v>
      </c>
      <c r="BC14" s="48">
        <v>17354.05</v>
      </c>
      <c r="BD14" s="49">
        <v>2.18E-2</v>
      </c>
      <c r="BE14" s="13"/>
      <c r="BF14" s="13"/>
      <c r="BG14" s="13" t="s">
        <v>169</v>
      </c>
      <c r="BH14" s="13">
        <v>1</v>
      </c>
      <c r="BI14" s="13">
        <v>3.9248999999999999E-2</v>
      </c>
      <c r="BJ14" s="13">
        <v>3.9248999999999999E-2</v>
      </c>
      <c r="BK14" s="13">
        <v>2.8211840000000001</v>
      </c>
      <c r="BL14" s="13">
        <v>0.13153999999999999</v>
      </c>
      <c r="BM14" s="13"/>
      <c r="BN14" s="13"/>
      <c r="BO14" s="13"/>
      <c r="BP14" s="13"/>
    </row>
    <row r="15" spans="1:68">
      <c r="A15" s="13"/>
      <c r="B15" s="46" t="s">
        <v>642</v>
      </c>
      <c r="C15" s="46">
        <v>290.95999999999998</v>
      </c>
      <c r="D15" s="49">
        <v>9.2999999999999992E-3</v>
      </c>
      <c r="E15" s="13"/>
      <c r="F15" s="13"/>
      <c r="G15" s="13"/>
      <c r="H15" s="46" t="s">
        <v>642</v>
      </c>
      <c r="I15" s="48">
        <v>17530.849999999999</v>
      </c>
      <c r="J15" s="49">
        <v>-1.9400000000000001E-2</v>
      </c>
      <c r="K15" s="13"/>
      <c r="L15" s="13"/>
      <c r="M15" s="43" t="s">
        <v>161</v>
      </c>
      <c r="N15" s="43" t="s">
        <v>162</v>
      </c>
      <c r="O15" s="43" t="s">
        <v>163</v>
      </c>
      <c r="P15" s="43" t="s">
        <v>164</v>
      </c>
      <c r="Q15" s="43" t="s">
        <v>165</v>
      </c>
      <c r="R15" s="43" t="s">
        <v>166</v>
      </c>
      <c r="S15" s="13"/>
      <c r="T15" s="13"/>
      <c r="U15" s="13"/>
      <c r="Y15" s="46" t="s">
        <v>573</v>
      </c>
      <c r="Z15" s="46">
        <v>221.85</v>
      </c>
      <c r="AA15" s="49">
        <v>7.7000000000000002E-3</v>
      </c>
      <c r="AB15" s="13"/>
      <c r="AC15" s="13"/>
      <c r="AD15" s="13"/>
      <c r="AE15" s="46" t="s">
        <v>573</v>
      </c>
      <c r="AF15" s="48">
        <v>16719.45</v>
      </c>
      <c r="AG15" s="49">
        <v>4.1799999999999997E-2</v>
      </c>
      <c r="AH15" s="13"/>
      <c r="AI15" s="13"/>
      <c r="AJ15" s="13" t="s">
        <v>169</v>
      </c>
      <c r="AK15" s="13">
        <v>1</v>
      </c>
      <c r="AL15" s="13">
        <v>5.4968000000000003E-2</v>
      </c>
      <c r="AM15" s="13">
        <v>5.4968000000000003E-2</v>
      </c>
      <c r="AN15" s="13">
        <v>22.264779999999998</v>
      </c>
      <c r="AO15" s="55">
        <v>2.6400000000000001E-5</v>
      </c>
      <c r="AP15" s="13"/>
      <c r="AQ15" s="13"/>
      <c r="AR15" s="13"/>
      <c r="AV15" s="13"/>
      <c r="AW15" s="13"/>
      <c r="AX15" s="13"/>
      <c r="AY15" s="13"/>
      <c r="AZ15" s="13"/>
      <c r="BA15" s="13"/>
      <c r="BB15" s="13"/>
      <c r="BC15" s="13"/>
      <c r="BD15" s="13"/>
      <c r="BE15" s="13"/>
      <c r="BF15" s="13"/>
      <c r="BG15" s="13" t="s">
        <v>170</v>
      </c>
      <c r="BH15" s="13">
        <v>8</v>
      </c>
      <c r="BI15" s="13">
        <v>0.11129799999999999</v>
      </c>
      <c r="BJ15" s="13">
        <v>1.3912000000000001E-2</v>
      </c>
      <c r="BK15" s="13"/>
      <c r="BL15" s="13"/>
      <c r="BM15" s="13"/>
      <c r="BN15" s="13"/>
      <c r="BO15" s="13"/>
      <c r="BP15" s="13"/>
    </row>
    <row r="16" spans="1:68">
      <c r="A16" s="13"/>
      <c r="B16" s="46" t="s">
        <v>643</v>
      </c>
      <c r="C16" s="46">
        <v>288.29000000000002</v>
      </c>
      <c r="D16" s="49">
        <v>4.1999999999999997E-3</v>
      </c>
      <c r="E16" s="13"/>
      <c r="F16" s="13"/>
      <c r="G16" s="13"/>
      <c r="H16" s="46" t="s">
        <v>643</v>
      </c>
      <c r="I16" s="48">
        <v>17877.400000000001</v>
      </c>
      <c r="J16" s="49">
        <v>-7.0000000000000001E-3</v>
      </c>
      <c r="K16" s="13"/>
      <c r="L16" s="13"/>
      <c r="M16" s="13" t="s">
        <v>169</v>
      </c>
      <c r="N16" s="13">
        <v>1</v>
      </c>
      <c r="O16" s="13">
        <v>2.8021999999999998E-2</v>
      </c>
      <c r="P16" s="13">
        <v>2.8021999999999998E-2</v>
      </c>
      <c r="Q16" s="13">
        <v>37.669040000000003</v>
      </c>
      <c r="R16" s="55">
        <v>4.01E-9</v>
      </c>
      <c r="S16" s="13"/>
      <c r="T16" s="13"/>
      <c r="U16" s="13"/>
      <c r="Y16" s="47">
        <v>44841</v>
      </c>
      <c r="Z16" s="46">
        <v>220.15</v>
      </c>
      <c r="AA16" s="49">
        <v>-1.8100000000000002E-2</v>
      </c>
      <c r="AB16" s="13"/>
      <c r="AC16" s="13"/>
      <c r="AD16" s="13"/>
      <c r="AE16" s="47">
        <v>44841</v>
      </c>
      <c r="AF16" s="48">
        <v>16049.2</v>
      </c>
      <c r="AG16" s="49">
        <v>-1.06E-2</v>
      </c>
      <c r="AH16" s="13"/>
      <c r="AI16" s="13"/>
      <c r="AJ16" s="13" t="s">
        <v>170</v>
      </c>
      <c r="AK16" s="13">
        <v>42</v>
      </c>
      <c r="AL16" s="13">
        <v>0.10369100000000001</v>
      </c>
      <c r="AM16" s="13">
        <v>2.4689999999999998E-3</v>
      </c>
      <c r="AN16" s="13"/>
      <c r="AO16" s="13"/>
      <c r="AP16" s="13"/>
      <c r="AQ16" s="13"/>
      <c r="AR16" s="13"/>
      <c r="AV16" s="13"/>
      <c r="AW16" s="13"/>
      <c r="AX16" s="13"/>
      <c r="AY16" s="13"/>
      <c r="AZ16" s="13"/>
      <c r="BA16" s="13"/>
      <c r="BB16" s="13"/>
      <c r="BC16" s="13"/>
      <c r="BD16" s="13"/>
      <c r="BE16" s="13"/>
      <c r="BF16" s="13"/>
      <c r="BG16" s="45" t="s">
        <v>171</v>
      </c>
      <c r="BH16" s="45">
        <v>9</v>
      </c>
      <c r="BI16" s="45">
        <v>0.15054699999999999</v>
      </c>
      <c r="BJ16" s="45" t="s">
        <v>161</v>
      </c>
      <c r="BK16" s="45" t="s">
        <v>161</v>
      </c>
      <c r="BL16" s="45" t="s">
        <v>161</v>
      </c>
      <c r="BM16" s="13"/>
      <c r="BN16" s="13"/>
      <c r="BO16" s="13"/>
      <c r="BP16" s="13"/>
    </row>
    <row r="17" spans="1:68">
      <c r="A17" s="13"/>
      <c r="B17" s="46" t="s">
        <v>644</v>
      </c>
      <c r="C17" s="46">
        <v>287.08999999999997</v>
      </c>
      <c r="D17" s="49">
        <v>2.0400000000000001E-2</v>
      </c>
      <c r="E17" s="13"/>
      <c r="F17" s="13"/>
      <c r="G17" s="13"/>
      <c r="H17" s="46" t="s">
        <v>644</v>
      </c>
      <c r="I17" s="48">
        <v>18003.75</v>
      </c>
      <c r="J17" s="49">
        <v>-3.7000000000000002E-3</v>
      </c>
      <c r="K17" s="13"/>
      <c r="L17" s="13"/>
      <c r="M17" s="13" t="s">
        <v>170</v>
      </c>
      <c r="N17" s="13">
        <v>214</v>
      </c>
      <c r="O17" s="13">
        <v>0.159196</v>
      </c>
      <c r="P17" s="13">
        <v>7.4399999999999998E-4</v>
      </c>
      <c r="Q17" s="13"/>
      <c r="R17" s="13"/>
      <c r="S17" s="13"/>
      <c r="T17" s="13"/>
      <c r="U17" s="13"/>
      <c r="Y17" s="47">
        <v>44627</v>
      </c>
      <c r="Z17" s="46">
        <v>224.2</v>
      </c>
      <c r="AA17" s="49">
        <v>3.5000000000000003E-2</v>
      </c>
      <c r="AB17" s="13"/>
      <c r="AC17" s="13"/>
      <c r="AD17" s="13"/>
      <c r="AE17" s="47">
        <v>44627</v>
      </c>
      <c r="AF17" s="48">
        <v>16220.6</v>
      </c>
      <c r="AG17" s="49">
        <v>2.9700000000000001E-2</v>
      </c>
      <c r="AH17" s="13"/>
      <c r="AI17" s="13"/>
      <c r="AJ17" s="45" t="s">
        <v>171</v>
      </c>
      <c r="AK17" s="45">
        <v>43</v>
      </c>
      <c r="AL17" s="45">
        <v>0.15865899999999999</v>
      </c>
      <c r="AM17" s="45" t="s">
        <v>161</v>
      </c>
      <c r="AN17" s="45" t="s">
        <v>161</v>
      </c>
      <c r="AO17" s="45" t="s">
        <v>161</v>
      </c>
      <c r="AP17" s="13"/>
      <c r="AQ17" s="13"/>
      <c r="AR17" s="13"/>
      <c r="AV17" s="13"/>
      <c r="AW17" s="13"/>
      <c r="AX17" s="13"/>
      <c r="AY17" s="13"/>
      <c r="AZ17" s="13"/>
      <c r="BA17" s="13"/>
      <c r="BB17" s="13"/>
      <c r="BC17" s="13"/>
      <c r="BD17" s="13"/>
      <c r="BE17" s="13"/>
      <c r="BF17" s="13"/>
      <c r="BG17" s="13"/>
      <c r="BH17" s="13"/>
      <c r="BI17" s="13"/>
      <c r="BJ17" s="13"/>
      <c r="BK17" s="13"/>
      <c r="BL17" s="13"/>
      <c r="BM17" s="13"/>
      <c r="BN17" s="13"/>
      <c r="BO17" s="13"/>
      <c r="BP17" s="13"/>
    </row>
    <row r="18" spans="1:68">
      <c r="A18" s="13"/>
      <c r="B18" s="46" t="s">
        <v>645</v>
      </c>
      <c r="C18" s="46">
        <v>281.35000000000002</v>
      </c>
      <c r="D18" s="49">
        <v>-1.6899999999999998E-2</v>
      </c>
      <c r="E18" s="13"/>
      <c r="F18" s="13"/>
      <c r="G18" s="13"/>
      <c r="H18" s="46" t="s">
        <v>645</v>
      </c>
      <c r="I18" s="48">
        <v>18070.05</v>
      </c>
      <c r="J18" s="49">
        <v>7.4999999999999997E-3</v>
      </c>
      <c r="K18" s="13"/>
      <c r="L18" s="13"/>
      <c r="M18" s="45" t="s">
        <v>171</v>
      </c>
      <c r="N18" s="45">
        <v>215</v>
      </c>
      <c r="O18" s="45">
        <v>0.187218</v>
      </c>
      <c r="P18" s="45" t="s">
        <v>161</v>
      </c>
      <c r="Q18" s="45" t="s">
        <v>161</v>
      </c>
      <c r="R18" s="45" t="s">
        <v>161</v>
      </c>
      <c r="S18" s="13"/>
      <c r="T18" s="13"/>
      <c r="U18" s="13"/>
      <c r="Y18" s="46" t="s">
        <v>574</v>
      </c>
      <c r="Z18" s="46">
        <v>216.61</v>
      </c>
      <c r="AA18" s="49">
        <v>2.8799999999999999E-2</v>
      </c>
      <c r="AB18" s="13"/>
      <c r="AC18" s="13"/>
      <c r="AD18" s="13"/>
      <c r="AE18" s="46" t="s">
        <v>574</v>
      </c>
      <c r="AF18" s="48">
        <v>15752.05</v>
      </c>
      <c r="AG18" s="49">
        <v>3.3999999999999998E-3</v>
      </c>
      <c r="AH18" s="13"/>
      <c r="AI18" s="13"/>
      <c r="AJ18" s="13"/>
      <c r="AK18" s="13"/>
      <c r="AL18" s="13"/>
      <c r="AM18" s="13"/>
      <c r="AN18" s="13"/>
      <c r="AO18" s="13"/>
      <c r="AP18" s="13"/>
      <c r="AQ18" s="13"/>
      <c r="AR18" s="13"/>
      <c r="AV18" s="13"/>
      <c r="AW18" s="13"/>
      <c r="AX18" s="13"/>
      <c r="AY18" s="13"/>
      <c r="AZ18" s="13"/>
      <c r="BA18" s="13"/>
      <c r="BB18" s="13"/>
      <c r="BC18" s="13"/>
      <c r="BD18" s="13"/>
      <c r="BE18" s="13"/>
      <c r="BF18" s="13"/>
      <c r="BG18" s="43" t="s">
        <v>161</v>
      </c>
      <c r="BH18" s="43" t="s">
        <v>174</v>
      </c>
      <c r="BI18" s="43" t="s">
        <v>152</v>
      </c>
      <c r="BJ18" s="43" t="s">
        <v>175</v>
      </c>
      <c r="BK18" s="43" t="s">
        <v>176</v>
      </c>
      <c r="BL18" s="43" t="s">
        <v>177</v>
      </c>
      <c r="BM18" s="43" t="s">
        <v>178</v>
      </c>
      <c r="BN18" s="43" t="s">
        <v>179</v>
      </c>
      <c r="BO18" s="43" t="s">
        <v>180</v>
      </c>
      <c r="BP18" s="13"/>
    </row>
    <row r="19" spans="1:68">
      <c r="A19" s="13"/>
      <c r="B19" s="47">
        <v>44904</v>
      </c>
      <c r="C19" s="46">
        <v>286.18</v>
      </c>
      <c r="D19" s="49">
        <v>1.29E-2</v>
      </c>
      <c r="E19" s="13"/>
      <c r="F19" s="13"/>
      <c r="G19" s="13"/>
      <c r="H19" s="47">
        <v>44904</v>
      </c>
      <c r="I19" s="48">
        <v>17936.349999999999</v>
      </c>
      <c r="J19" s="49">
        <v>5.7999999999999996E-3</v>
      </c>
      <c r="K19" s="13"/>
      <c r="L19" s="13"/>
      <c r="M19" s="13"/>
      <c r="N19" s="13"/>
      <c r="O19" s="13"/>
      <c r="P19" s="13"/>
      <c r="Q19" s="13"/>
      <c r="R19" s="13"/>
      <c r="S19" s="13"/>
      <c r="T19" s="13"/>
      <c r="U19" s="13"/>
      <c r="Y19" s="46" t="s">
        <v>575</v>
      </c>
      <c r="Z19" s="46">
        <v>210.55</v>
      </c>
      <c r="AA19" s="49">
        <v>0.1079</v>
      </c>
      <c r="AB19" s="13"/>
      <c r="AC19" s="13"/>
      <c r="AD19" s="13"/>
      <c r="AE19" s="46" t="s">
        <v>575</v>
      </c>
      <c r="AF19" s="48">
        <v>15699.25</v>
      </c>
      <c r="AG19" s="49">
        <v>2.6499999999999999E-2</v>
      </c>
      <c r="AH19" s="13"/>
      <c r="AI19" s="13"/>
      <c r="AJ19" s="43" t="s">
        <v>161</v>
      </c>
      <c r="AK19" s="43" t="s">
        <v>174</v>
      </c>
      <c r="AL19" s="43" t="s">
        <v>152</v>
      </c>
      <c r="AM19" s="43" t="s">
        <v>175</v>
      </c>
      <c r="AN19" s="43" t="s">
        <v>176</v>
      </c>
      <c r="AO19" s="43" t="s">
        <v>177</v>
      </c>
      <c r="AP19" s="43" t="s">
        <v>178</v>
      </c>
      <c r="AQ19" s="43" t="s">
        <v>179</v>
      </c>
      <c r="AR19" s="43" t="s">
        <v>180</v>
      </c>
      <c r="AV19" s="13"/>
      <c r="AW19" s="13"/>
      <c r="AX19" s="13"/>
      <c r="AY19" s="13"/>
      <c r="AZ19" s="13"/>
      <c r="BA19" s="13"/>
      <c r="BB19" s="13"/>
      <c r="BC19" s="13"/>
      <c r="BD19" s="13"/>
      <c r="BE19" s="13"/>
      <c r="BF19" s="13"/>
      <c r="BG19" s="13" t="s">
        <v>182</v>
      </c>
      <c r="BH19" s="13">
        <v>4.4499999999999998E-2</v>
      </c>
      <c r="BI19" s="13">
        <v>3.7323000000000002E-2</v>
      </c>
      <c r="BJ19" s="13">
        <v>1.1922900000000001</v>
      </c>
      <c r="BK19" s="13">
        <v>0.26731100000000002</v>
      </c>
      <c r="BL19" s="13">
        <v>-4.1570000000000003E-2</v>
      </c>
      <c r="BM19" s="13">
        <v>0.13056699999999999</v>
      </c>
      <c r="BN19" s="13">
        <v>-4.1570000000000003E-2</v>
      </c>
      <c r="BO19" s="13">
        <v>0.13056699999999999</v>
      </c>
      <c r="BP19" s="13"/>
    </row>
    <row r="20" spans="1:68">
      <c r="A20" s="13"/>
      <c r="B20" s="47">
        <v>44813</v>
      </c>
      <c r="C20" s="46">
        <v>282.52999999999997</v>
      </c>
      <c r="D20" s="49">
        <v>-1.34E-2</v>
      </c>
      <c r="E20" s="13"/>
      <c r="F20" s="13"/>
      <c r="G20" s="13"/>
      <c r="H20" s="47">
        <v>44813</v>
      </c>
      <c r="I20" s="48">
        <v>17833.349999999999</v>
      </c>
      <c r="J20" s="49">
        <v>1.9E-3</v>
      </c>
      <c r="K20" s="13"/>
      <c r="L20" s="13"/>
      <c r="M20" s="43" t="s">
        <v>161</v>
      </c>
      <c r="N20" s="43" t="s">
        <v>174</v>
      </c>
      <c r="O20" s="43" t="s">
        <v>152</v>
      </c>
      <c r="P20" s="43" t="s">
        <v>175</v>
      </c>
      <c r="Q20" s="43" t="s">
        <v>176</v>
      </c>
      <c r="R20" s="43" t="s">
        <v>177</v>
      </c>
      <c r="S20" s="43" t="s">
        <v>178</v>
      </c>
      <c r="T20" s="43" t="s">
        <v>179</v>
      </c>
      <c r="U20" s="43" t="s">
        <v>180</v>
      </c>
      <c r="Y20" s="47">
        <v>44901</v>
      </c>
      <c r="Z20" s="46">
        <v>190.04</v>
      </c>
      <c r="AA20" s="49">
        <v>-5.8999999999999997E-2</v>
      </c>
      <c r="AB20" s="13"/>
      <c r="AC20" s="13"/>
      <c r="AD20" s="13"/>
      <c r="AE20" s="47">
        <v>44901</v>
      </c>
      <c r="AF20" s="48">
        <v>15293.5</v>
      </c>
      <c r="AG20" s="49">
        <v>-5.6099999999999997E-2</v>
      </c>
      <c r="AH20" s="13"/>
      <c r="AI20" s="13"/>
      <c r="AJ20" s="13" t="s">
        <v>182</v>
      </c>
      <c r="AK20" s="13">
        <v>7.9340000000000001E-3</v>
      </c>
      <c r="AL20" s="13">
        <v>7.4920000000000004E-3</v>
      </c>
      <c r="AM20" s="13">
        <v>1.0590120000000001</v>
      </c>
      <c r="AN20" s="13">
        <v>0.29564699999999999</v>
      </c>
      <c r="AO20" s="13">
        <v>-7.1799999999999998E-3</v>
      </c>
      <c r="AP20" s="13">
        <v>2.3052E-2</v>
      </c>
      <c r="AQ20" s="13">
        <v>-7.1799999999999998E-3</v>
      </c>
      <c r="AR20" s="13">
        <v>2.3052E-2</v>
      </c>
      <c r="AV20" s="13"/>
      <c r="AW20" s="13"/>
      <c r="AX20" s="13"/>
      <c r="AY20" s="13"/>
      <c r="AZ20" s="13"/>
      <c r="BA20" s="13"/>
      <c r="BB20" s="13"/>
      <c r="BC20" s="13"/>
      <c r="BD20" s="13"/>
      <c r="BE20" s="13"/>
      <c r="BF20" s="13"/>
      <c r="BG20" s="45" t="s">
        <v>183</v>
      </c>
      <c r="BH20" s="45">
        <v>1.5202610000000001</v>
      </c>
      <c r="BI20" s="45">
        <v>0.90511200000000003</v>
      </c>
      <c r="BJ20" s="45">
        <v>1.679638</v>
      </c>
      <c r="BK20" s="45">
        <v>0.13153999999999999</v>
      </c>
      <c r="BL20" s="45">
        <v>-0.56693000000000005</v>
      </c>
      <c r="BM20" s="45">
        <v>3.6074540000000002</v>
      </c>
      <c r="BN20" s="45">
        <v>-0.56693000000000005</v>
      </c>
      <c r="BO20" s="45">
        <v>3.6074540000000002</v>
      </c>
      <c r="BP20" s="13"/>
    </row>
    <row r="21" spans="1:68">
      <c r="A21" s="13"/>
      <c r="B21" s="47">
        <v>44782</v>
      </c>
      <c r="C21" s="46">
        <v>286.38</v>
      </c>
      <c r="D21" s="49">
        <v>-2.53E-2</v>
      </c>
      <c r="E21" s="13"/>
      <c r="F21" s="13"/>
      <c r="G21" s="13"/>
      <c r="H21" s="47">
        <v>44782</v>
      </c>
      <c r="I21" s="48">
        <v>17798.75</v>
      </c>
      <c r="J21" s="49">
        <v>9.9000000000000008E-3</v>
      </c>
      <c r="K21" s="13"/>
      <c r="L21" s="13"/>
      <c r="M21" s="13" t="s">
        <v>182</v>
      </c>
      <c r="N21" s="13">
        <v>1.4920000000000001E-3</v>
      </c>
      <c r="O21" s="13">
        <v>1.856E-3</v>
      </c>
      <c r="P21" s="13">
        <v>0.80375600000000003</v>
      </c>
      <c r="Q21" s="13">
        <v>0.42243000000000003</v>
      </c>
      <c r="R21" s="13">
        <v>-2.1700000000000001E-3</v>
      </c>
      <c r="S21" s="13">
        <v>5.1500000000000001E-3</v>
      </c>
      <c r="T21" s="13">
        <v>-2.1700000000000001E-3</v>
      </c>
      <c r="U21" s="13">
        <v>5.1500000000000001E-3</v>
      </c>
      <c r="Y21" s="47">
        <v>44687</v>
      </c>
      <c r="Z21" s="46">
        <v>201.95</v>
      </c>
      <c r="AA21" s="49">
        <v>9.9000000000000008E-3</v>
      </c>
      <c r="AB21" s="13"/>
      <c r="AC21" s="13"/>
      <c r="AD21" s="13"/>
      <c r="AE21" s="47">
        <v>44687</v>
      </c>
      <c r="AF21" s="48">
        <v>16201.8</v>
      </c>
      <c r="AG21" s="49">
        <v>-2.3099999999999999E-2</v>
      </c>
      <c r="AH21" s="13"/>
      <c r="AI21" s="13"/>
      <c r="AJ21" s="45" t="s">
        <v>183</v>
      </c>
      <c r="AK21" s="45">
        <v>1.4799469999999999</v>
      </c>
      <c r="AL21" s="45">
        <v>0.31364399999999998</v>
      </c>
      <c r="AM21" s="45">
        <v>4.7185569999999997</v>
      </c>
      <c r="AN21" s="56">
        <v>2.6400000000000001E-5</v>
      </c>
      <c r="AO21" s="45">
        <v>0.84698799999999996</v>
      </c>
      <c r="AP21" s="45">
        <v>2.1129060000000002</v>
      </c>
      <c r="AQ21" s="45">
        <v>0.84698799999999996</v>
      </c>
      <c r="AR21" s="45">
        <v>2.1129060000000002</v>
      </c>
      <c r="AV21" s="13"/>
      <c r="AW21" s="13"/>
      <c r="AX21" s="13"/>
      <c r="AY21" s="13"/>
      <c r="AZ21" s="13"/>
      <c r="BA21" s="13"/>
      <c r="BB21" s="13"/>
      <c r="BC21" s="13"/>
      <c r="BD21" s="13"/>
      <c r="BE21" s="13"/>
      <c r="BF21" s="13"/>
      <c r="BG21" s="13"/>
      <c r="BH21" s="13"/>
      <c r="BI21" s="13"/>
      <c r="BJ21" s="13"/>
      <c r="BK21" s="13"/>
      <c r="BL21" s="13"/>
      <c r="BM21" s="13"/>
      <c r="BN21" s="13"/>
      <c r="BO21" s="13"/>
      <c r="BP21" s="13"/>
    </row>
    <row r="22" spans="1:68">
      <c r="A22" s="13"/>
      <c r="B22" s="47">
        <v>44751</v>
      </c>
      <c r="C22" s="46">
        <v>293.8</v>
      </c>
      <c r="D22" s="49">
        <v>5.9799999999999999E-2</v>
      </c>
      <c r="E22" s="13"/>
      <c r="F22" s="13"/>
      <c r="G22" s="13"/>
      <c r="H22" s="47">
        <v>44751</v>
      </c>
      <c r="I22" s="48">
        <v>17624.400000000001</v>
      </c>
      <c r="J22" s="49">
        <v>-1.8E-3</v>
      </c>
      <c r="K22" s="13"/>
      <c r="L22" s="13"/>
      <c r="M22" s="45" t="s">
        <v>183</v>
      </c>
      <c r="N22" s="45">
        <v>0.96965900000000005</v>
      </c>
      <c r="O22" s="45">
        <v>0.15798899999999999</v>
      </c>
      <c r="P22" s="45">
        <v>6.1375109999999999</v>
      </c>
      <c r="Q22" s="56">
        <v>4.01E-9</v>
      </c>
      <c r="R22" s="45">
        <v>0.65824499999999997</v>
      </c>
      <c r="S22" s="45">
        <v>1.281072</v>
      </c>
      <c r="T22" s="45">
        <v>0.65824499999999997</v>
      </c>
      <c r="U22" s="45">
        <v>1.281072</v>
      </c>
      <c r="Y22" s="46" t="s">
        <v>579</v>
      </c>
      <c r="Z22" s="46">
        <v>199.97</v>
      </c>
      <c r="AA22" s="49">
        <v>-4.8599999999999997E-2</v>
      </c>
      <c r="AB22" s="13"/>
      <c r="AC22" s="13"/>
      <c r="AD22" s="13"/>
      <c r="AE22" s="46" t="s">
        <v>579</v>
      </c>
      <c r="AF22" s="48">
        <v>16584.3</v>
      </c>
      <c r="AG22" s="49">
        <v>1.4200000000000001E-2</v>
      </c>
      <c r="AH22" s="13"/>
      <c r="AI22" s="13"/>
      <c r="AJ22" s="13"/>
      <c r="AK22" s="13"/>
      <c r="AL22" s="13"/>
      <c r="AM22" s="13"/>
      <c r="AN22" s="13"/>
      <c r="AO22" s="13"/>
      <c r="AP22" s="13"/>
      <c r="AQ22" s="13"/>
      <c r="AR22" s="13"/>
      <c r="AV22" s="13"/>
      <c r="AW22" s="13"/>
      <c r="AX22" s="13"/>
      <c r="AY22" s="13"/>
      <c r="AZ22" s="13"/>
      <c r="BA22" s="13"/>
      <c r="BB22" s="13"/>
      <c r="BC22" s="13"/>
      <c r="BD22" s="13"/>
      <c r="BE22" s="13"/>
      <c r="BF22" s="13"/>
      <c r="BG22" s="51" t="s">
        <v>185</v>
      </c>
      <c r="BH22" s="51">
        <v>1.5202610000000001</v>
      </c>
      <c r="BI22" s="13"/>
      <c r="BJ22" s="13"/>
      <c r="BK22" s="13"/>
      <c r="BL22" s="13"/>
      <c r="BM22" s="13"/>
      <c r="BN22" s="13"/>
      <c r="BO22" s="13"/>
      <c r="BP22" s="13"/>
    </row>
    <row r="23" spans="1:68">
      <c r="A23" s="13"/>
      <c r="B23" s="47">
        <v>44721</v>
      </c>
      <c r="C23" s="46">
        <v>277.20999999999998</v>
      </c>
      <c r="D23" s="49">
        <v>2.01E-2</v>
      </c>
      <c r="E23" s="13"/>
      <c r="F23" s="13"/>
      <c r="G23" s="13"/>
      <c r="H23" s="47">
        <v>44721</v>
      </c>
      <c r="I23" s="48">
        <v>17655.599999999999</v>
      </c>
      <c r="J23" s="49">
        <v>-5.9999999999999995E-4</v>
      </c>
      <c r="K23" s="13"/>
      <c r="L23" s="13"/>
      <c r="M23" s="13"/>
      <c r="N23" s="13"/>
      <c r="O23" s="13"/>
      <c r="P23" s="13"/>
      <c r="Q23" s="13"/>
      <c r="R23" s="13"/>
      <c r="S23" s="13"/>
      <c r="T23" s="13"/>
      <c r="U23" s="13"/>
      <c r="Y23" s="46" t="s">
        <v>581</v>
      </c>
      <c r="Z23" s="46">
        <v>210.18</v>
      </c>
      <c r="AA23" s="49">
        <v>-1.03E-2</v>
      </c>
      <c r="AB23" s="13"/>
      <c r="AC23" s="13"/>
      <c r="AD23" s="13"/>
      <c r="AE23" s="46" t="s">
        <v>581</v>
      </c>
      <c r="AF23" s="48">
        <v>16352.45</v>
      </c>
      <c r="AG23" s="49">
        <v>5.3E-3</v>
      </c>
      <c r="AH23" s="13"/>
      <c r="AI23" s="13"/>
      <c r="AJ23" s="51" t="s">
        <v>185</v>
      </c>
      <c r="AK23" s="51">
        <v>1.4799469999999999</v>
      </c>
      <c r="AL23" s="13"/>
      <c r="AM23" s="13"/>
      <c r="AN23" s="13"/>
      <c r="AO23" s="13"/>
      <c r="AP23" s="13"/>
      <c r="AQ23" s="13"/>
      <c r="AR23" s="13"/>
    </row>
    <row r="24" spans="1:68">
      <c r="A24" s="13"/>
      <c r="B24" s="47">
        <v>44690</v>
      </c>
      <c r="C24" s="46">
        <v>271.74</v>
      </c>
      <c r="D24" s="49">
        <v>3.2000000000000002E-3</v>
      </c>
      <c r="E24" s="13"/>
      <c r="F24" s="13"/>
      <c r="G24" s="13"/>
      <c r="H24" s="47">
        <v>44690</v>
      </c>
      <c r="I24" s="48">
        <v>17665.8</v>
      </c>
      <c r="J24" s="49">
        <v>7.1999999999999998E-3</v>
      </c>
      <c r="K24" s="13"/>
      <c r="L24" s="13"/>
      <c r="M24" s="51" t="s">
        <v>781</v>
      </c>
      <c r="N24" s="51">
        <v>0.96965900000000005</v>
      </c>
      <c r="O24" s="13"/>
      <c r="P24" s="13"/>
      <c r="Q24" s="13"/>
      <c r="R24" s="13"/>
      <c r="S24" s="13"/>
      <c r="T24" s="13"/>
      <c r="U24" s="13"/>
      <c r="Y24" s="46" t="s">
        <v>583</v>
      </c>
      <c r="Z24" s="46">
        <v>212.36</v>
      </c>
      <c r="AA24" s="49">
        <v>5.3199999999999997E-2</v>
      </c>
      <c r="AB24" s="13"/>
      <c r="AC24" s="13"/>
      <c r="AD24" s="13"/>
      <c r="AE24" s="46" t="s">
        <v>583</v>
      </c>
      <c r="AF24" s="48">
        <v>16266.15</v>
      </c>
      <c r="AG24" s="49">
        <v>3.0700000000000002E-2</v>
      </c>
      <c r="AH24" s="13"/>
      <c r="AI24" s="13"/>
      <c r="AJ24" s="13"/>
      <c r="AK24" s="13"/>
      <c r="AL24" s="13"/>
      <c r="AM24" s="13"/>
      <c r="AN24" s="13"/>
      <c r="AO24" s="13"/>
      <c r="AP24" s="13"/>
      <c r="AQ24" s="13"/>
      <c r="AR24" s="13"/>
    </row>
    <row r="25" spans="1:68">
      <c r="A25" s="13"/>
      <c r="B25" s="47">
        <v>44601</v>
      </c>
      <c r="C25" s="46">
        <v>270.87</v>
      </c>
      <c r="D25" s="49">
        <v>-2.92E-2</v>
      </c>
      <c r="E25" s="13"/>
      <c r="F25" s="13"/>
      <c r="G25" s="13"/>
      <c r="H25" s="47">
        <v>44601</v>
      </c>
      <c r="I25" s="48">
        <v>17539.45</v>
      </c>
      <c r="J25" s="49">
        <v>-2.0000000000000001E-4</v>
      </c>
      <c r="K25" s="13"/>
      <c r="L25" s="13"/>
      <c r="M25" s="13"/>
      <c r="N25" s="13"/>
      <c r="O25" s="13"/>
      <c r="P25" s="13"/>
      <c r="Q25" s="13"/>
      <c r="R25" s="13"/>
      <c r="S25" s="13"/>
      <c r="T25" s="13"/>
      <c r="U25" s="13"/>
      <c r="Y25" s="47">
        <v>44778</v>
      </c>
      <c r="Z25" s="46">
        <v>201.63</v>
      </c>
      <c r="AA25" s="49">
        <v>-0.1595</v>
      </c>
      <c r="AB25" s="13"/>
      <c r="AC25" s="13"/>
      <c r="AD25" s="13"/>
      <c r="AE25" s="47">
        <v>44778</v>
      </c>
      <c r="AF25" s="48">
        <v>15782.15</v>
      </c>
      <c r="AG25" s="49">
        <v>-3.8300000000000001E-2</v>
      </c>
      <c r="AH25" s="13"/>
      <c r="AI25" s="13"/>
      <c r="AJ25" s="13"/>
      <c r="AK25" s="13"/>
      <c r="AL25" s="13"/>
      <c r="AM25" s="13"/>
      <c r="AN25" s="13"/>
      <c r="AO25" s="13"/>
      <c r="AP25" s="13"/>
      <c r="AQ25" s="13"/>
      <c r="AR25" s="13"/>
    </row>
    <row r="26" spans="1:68">
      <c r="A26" s="13"/>
      <c r="B26" s="47">
        <v>44570</v>
      </c>
      <c r="C26" s="46">
        <v>279.02</v>
      </c>
      <c r="D26" s="49">
        <v>3.49E-2</v>
      </c>
      <c r="E26" s="13"/>
      <c r="F26" s="13"/>
      <c r="G26" s="13"/>
      <c r="H26" s="47">
        <v>44570</v>
      </c>
      <c r="I26" s="48">
        <v>17542.8</v>
      </c>
      <c r="J26" s="49">
        <v>-1.2200000000000001E-2</v>
      </c>
      <c r="K26" s="13"/>
      <c r="L26" s="13"/>
      <c r="M26" s="13"/>
      <c r="N26" s="13"/>
      <c r="O26" s="13"/>
      <c r="P26" s="13"/>
      <c r="Q26" s="13"/>
      <c r="R26" s="13"/>
      <c r="S26" s="13"/>
      <c r="T26" s="13"/>
      <c r="U26" s="13"/>
      <c r="Y26" s="47">
        <v>44566</v>
      </c>
      <c r="Z26" s="46">
        <v>239.89</v>
      </c>
      <c r="AA26" s="49">
        <v>-9.6199999999999994E-2</v>
      </c>
      <c r="AB26" s="13"/>
      <c r="AC26" s="13"/>
      <c r="AD26" s="13"/>
      <c r="AE26" s="47">
        <v>44566</v>
      </c>
      <c r="AF26" s="48">
        <v>16411.25</v>
      </c>
      <c r="AG26" s="49">
        <v>-4.0399999999999998E-2</v>
      </c>
      <c r="AH26" s="13"/>
      <c r="AI26" s="13"/>
      <c r="AJ26" s="13"/>
      <c r="AK26" s="13"/>
      <c r="AL26" s="13"/>
      <c r="AM26" s="13"/>
      <c r="AN26" s="13"/>
      <c r="AO26" s="13"/>
      <c r="AP26" s="13"/>
      <c r="AQ26" s="13"/>
      <c r="AR26" s="13"/>
      <c r="BH26" s="61"/>
    </row>
    <row r="27" spans="1:68">
      <c r="A27" s="13"/>
      <c r="B27" s="46" t="s">
        <v>646</v>
      </c>
      <c r="C27" s="46">
        <v>269.61</v>
      </c>
      <c r="D27" s="49">
        <v>4.41E-2</v>
      </c>
      <c r="E27" s="13"/>
      <c r="F27" s="13"/>
      <c r="G27" s="13"/>
      <c r="H27" s="46" t="s">
        <v>646</v>
      </c>
      <c r="I27" s="48">
        <v>17759.3</v>
      </c>
      <c r="J27" s="49">
        <v>2.58E-2</v>
      </c>
      <c r="K27" s="13"/>
      <c r="L27" s="13"/>
      <c r="M27" s="13"/>
      <c r="N27" s="13"/>
      <c r="O27" s="13"/>
      <c r="P27" s="13"/>
      <c r="Q27" s="13"/>
      <c r="R27" s="13"/>
      <c r="S27" s="13"/>
      <c r="T27" s="13"/>
      <c r="U27" s="13"/>
      <c r="Y27" s="46" t="s">
        <v>587</v>
      </c>
      <c r="Z27" s="46">
        <v>265.42</v>
      </c>
      <c r="AA27" s="49">
        <v>5.0500000000000003E-2</v>
      </c>
      <c r="AB27" s="13"/>
      <c r="AC27" s="13"/>
      <c r="AD27" s="13"/>
      <c r="AE27" s="46" t="s">
        <v>587</v>
      </c>
      <c r="AF27" s="48">
        <v>17102.55</v>
      </c>
      <c r="AG27" s="49">
        <v>-4.0000000000000001E-3</v>
      </c>
      <c r="AH27" s="13"/>
      <c r="AI27" s="13"/>
      <c r="AJ27" s="13"/>
      <c r="AK27" s="13"/>
      <c r="AL27" s="13"/>
      <c r="AM27" s="13"/>
      <c r="AN27" s="13"/>
      <c r="AO27" s="13"/>
      <c r="AP27" s="13"/>
      <c r="AQ27" s="13"/>
      <c r="AR27" s="13"/>
    </row>
    <row r="28" spans="1:68">
      <c r="A28" s="13"/>
      <c r="B28" s="46" t="s">
        <v>647</v>
      </c>
      <c r="C28" s="46">
        <v>258.22000000000003</v>
      </c>
      <c r="D28" s="49">
        <v>2.69E-2</v>
      </c>
      <c r="E28" s="13"/>
      <c r="F28" s="13"/>
      <c r="G28" s="13"/>
      <c r="H28" s="46" t="s">
        <v>647</v>
      </c>
      <c r="I28" s="48">
        <v>17312.900000000001</v>
      </c>
      <c r="J28" s="49">
        <v>-1.4E-2</v>
      </c>
      <c r="K28" s="13"/>
      <c r="L28" s="13"/>
      <c r="M28" s="13"/>
      <c r="N28" s="13"/>
      <c r="O28" s="13"/>
      <c r="P28" s="13"/>
      <c r="Q28" s="13"/>
      <c r="R28" s="13"/>
      <c r="S28" s="13"/>
      <c r="T28" s="13"/>
      <c r="U28" s="13"/>
      <c r="Y28" s="46" t="s">
        <v>589</v>
      </c>
      <c r="Z28" s="46">
        <v>252.66</v>
      </c>
      <c r="AA28" s="49">
        <v>-6.3E-3</v>
      </c>
      <c r="AB28" s="13"/>
      <c r="AC28" s="13"/>
      <c r="AD28" s="13"/>
      <c r="AE28" s="46" t="s">
        <v>589</v>
      </c>
      <c r="AF28" s="48">
        <v>17171.95</v>
      </c>
      <c r="AG28" s="49">
        <v>-1.7399999999999999E-2</v>
      </c>
      <c r="AH28" s="13"/>
      <c r="AI28" s="13"/>
      <c r="AJ28" s="13"/>
      <c r="AK28" s="13"/>
      <c r="AL28" s="13"/>
      <c r="AM28" s="13"/>
      <c r="AN28" s="13"/>
      <c r="AO28" s="13"/>
      <c r="AP28" s="13"/>
      <c r="AQ28" s="13"/>
      <c r="AR28" s="13"/>
    </row>
    <row r="29" spans="1:68">
      <c r="A29" s="13"/>
      <c r="B29" s="46" t="s">
        <v>648</v>
      </c>
      <c r="C29" s="46">
        <v>251.45</v>
      </c>
      <c r="D29" s="49">
        <v>2.7E-2</v>
      </c>
      <c r="E29" s="13"/>
      <c r="F29" s="13"/>
      <c r="G29" s="13"/>
      <c r="H29" s="46" t="s">
        <v>648</v>
      </c>
      <c r="I29" s="48">
        <v>17558.900000000001</v>
      </c>
      <c r="J29" s="49">
        <v>2.0999999999999999E-3</v>
      </c>
      <c r="K29" s="13"/>
      <c r="L29" s="13"/>
      <c r="M29" s="13"/>
      <c r="N29" s="13"/>
      <c r="O29" s="13"/>
      <c r="P29" s="13"/>
      <c r="Q29" s="13"/>
      <c r="R29" s="13"/>
      <c r="S29" s="13"/>
      <c r="T29" s="13"/>
      <c r="U29" s="13"/>
      <c r="Y29" s="47">
        <v>44838</v>
      </c>
      <c r="Z29" s="46">
        <v>254.25</v>
      </c>
      <c r="AA29" s="49">
        <v>-6.0699999999999997E-2</v>
      </c>
      <c r="AB29" s="13"/>
      <c r="AC29" s="13"/>
      <c r="AD29" s="13"/>
      <c r="AE29" s="47">
        <v>44838</v>
      </c>
      <c r="AF29" s="48">
        <v>17475.650000000001</v>
      </c>
      <c r="AG29" s="49">
        <v>-1.7399999999999999E-2</v>
      </c>
      <c r="AH29" s="13"/>
      <c r="AI29" s="13"/>
      <c r="AJ29" s="13"/>
      <c r="AK29" s="13"/>
      <c r="AL29" s="13"/>
      <c r="AM29" s="13"/>
      <c r="AN29" s="13"/>
      <c r="AO29" s="13"/>
      <c r="AP29" s="13"/>
      <c r="AQ29" s="13"/>
      <c r="AR29" s="13"/>
    </row>
    <row r="30" spans="1:68">
      <c r="A30" s="13"/>
      <c r="B30" s="46" t="s">
        <v>649</v>
      </c>
      <c r="C30" s="46">
        <v>244.84</v>
      </c>
      <c r="D30" s="49">
        <v>6.0000000000000001E-3</v>
      </c>
      <c r="E30" s="13"/>
      <c r="F30" s="13"/>
      <c r="G30" s="13"/>
      <c r="H30" s="46" t="s">
        <v>649</v>
      </c>
      <c r="I30" s="48">
        <v>17522.45</v>
      </c>
      <c r="J30" s="49">
        <v>-4.7000000000000002E-3</v>
      </c>
      <c r="K30" s="13"/>
      <c r="L30" s="13"/>
      <c r="M30" s="13"/>
      <c r="N30" s="13"/>
      <c r="O30" s="13"/>
      <c r="P30" s="13"/>
      <c r="Q30" s="13"/>
      <c r="R30" s="13"/>
      <c r="S30" s="13"/>
      <c r="T30" s="13"/>
      <c r="U30" s="13"/>
      <c r="Y30" s="47">
        <v>44624</v>
      </c>
      <c r="Z30" s="46">
        <v>270.67</v>
      </c>
      <c r="AA30" s="49">
        <v>-6.2899999999999998E-2</v>
      </c>
      <c r="AB30" s="13"/>
      <c r="AC30" s="13"/>
      <c r="AD30" s="13"/>
      <c r="AE30" s="47">
        <v>44624</v>
      </c>
      <c r="AF30" s="48">
        <v>17784.349999999999</v>
      </c>
      <c r="AG30" s="49">
        <v>6.4000000000000003E-3</v>
      </c>
      <c r="AH30" s="13"/>
      <c r="AI30" s="13"/>
      <c r="AJ30" s="13"/>
      <c r="AK30" s="13"/>
      <c r="AL30" s="13"/>
      <c r="AM30" s="13"/>
      <c r="AN30" s="13"/>
      <c r="AO30" s="13"/>
      <c r="AP30" s="13"/>
      <c r="AQ30" s="13"/>
      <c r="AR30" s="13"/>
    </row>
    <row r="31" spans="1:68">
      <c r="A31" s="13"/>
      <c r="B31" s="46" t="s">
        <v>650</v>
      </c>
      <c r="C31" s="46">
        <v>243.39</v>
      </c>
      <c r="D31" s="49">
        <v>-1.5800000000000002E-2</v>
      </c>
      <c r="E31" s="13"/>
      <c r="F31" s="13"/>
      <c r="G31" s="13"/>
      <c r="H31" s="46" t="s">
        <v>650</v>
      </c>
      <c r="I31" s="48">
        <v>17604.95</v>
      </c>
      <c r="J31" s="49">
        <v>1.6000000000000001E-3</v>
      </c>
      <c r="K31" s="13"/>
      <c r="L31" s="13"/>
      <c r="M31" s="13"/>
      <c r="N31" s="13"/>
      <c r="O31" s="13"/>
      <c r="P31" s="13"/>
      <c r="Q31" s="13"/>
      <c r="R31" s="13"/>
      <c r="S31" s="13"/>
      <c r="T31" s="13"/>
      <c r="U31" s="13"/>
      <c r="Y31" s="46" t="s">
        <v>709</v>
      </c>
      <c r="Z31" s="46">
        <v>288.85000000000002</v>
      </c>
      <c r="AA31" s="49">
        <v>0.10340000000000001</v>
      </c>
      <c r="AB31" s="13"/>
      <c r="AC31" s="13"/>
      <c r="AD31" s="13"/>
      <c r="AE31" s="46" t="s">
        <v>709</v>
      </c>
      <c r="AF31" s="48">
        <v>17670.45</v>
      </c>
      <c r="AG31" s="49">
        <v>3.0200000000000001E-2</v>
      </c>
      <c r="AH31" s="13"/>
      <c r="AI31" s="13"/>
      <c r="AJ31" s="13"/>
      <c r="AK31" s="13"/>
      <c r="AL31" s="13"/>
      <c r="AM31" s="13"/>
      <c r="AN31" s="13"/>
      <c r="AO31" s="13"/>
      <c r="AP31" s="13"/>
      <c r="AQ31" s="13"/>
      <c r="AR31" s="13"/>
    </row>
    <row r="32" spans="1:68">
      <c r="A32" s="13"/>
      <c r="B32" s="46" t="s">
        <v>651</v>
      </c>
      <c r="C32" s="46">
        <v>247.29</v>
      </c>
      <c r="D32" s="49">
        <v>-6.4999999999999997E-3</v>
      </c>
      <c r="E32" s="13"/>
      <c r="F32" s="13"/>
      <c r="G32" s="13"/>
      <c r="H32" s="46" t="s">
        <v>651</v>
      </c>
      <c r="I32" s="48">
        <v>17577.5</v>
      </c>
      <c r="J32" s="49">
        <v>5.0000000000000001E-3</v>
      </c>
      <c r="K32" s="13"/>
      <c r="L32" s="13"/>
      <c r="M32" s="13"/>
      <c r="N32" s="13"/>
      <c r="O32" s="13"/>
      <c r="P32" s="13"/>
      <c r="Q32" s="13"/>
      <c r="R32" s="13"/>
      <c r="S32" s="13"/>
      <c r="T32" s="13"/>
      <c r="U32" s="13"/>
      <c r="Y32" s="46" t="s">
        <v>711</v>
      </c>
      <c r="Z32" s="46">
        <v>261.77999999999997</v>
      </c>
      <c r="AA32" s="49">
        <v>2.46E-2</v>
      </c>
      <c r="AB32" s="13"/>
      <c r="AC32" s="13"/>
      <c r="AD32" s="13"/>
      <c r="AE32" s="46" t="s">
        <v>711</v>
      </c>
      <c r="AF32" s="48">
        <v>17153</v>
      </c>
      <c r="AG32" s="49">
        <v>-7.7999999999999996E-3</v>
      </c>
      <c r="AH32" s="13"/>
      <c r="AI32" s="13"/>
      <c r="AJ32" s="13"/>
      <c r="AK32" s="13"/>
      <c r="AL32" s="13"/>
      <c r="AM32" s="13"/>
      <c r="AN32" s="13"/>
      <c r="AO32" s="13"/>
      <c r="AP32" s="13"/>
      <c r="AQ32" s="13"/>
      <c r="AR32" s="13"/>
    </row>
    <row r="33" spans="1:44">
      <c r="A33" s="13"/>
      <c r="B33" s="46" t="s">
        <v>652</v>
      </c>
      <c r="C33" s="46">
        <v>248.9</v>
      </c>
      <c r="D33" s="49">
        <v>-2.58E-2</v>
      </c>
      <c r="E33" s="13"/>
      <c r="F33" s="13"/>
      <c r="G33" s="13"/>
      <c r="H33" s="46" t="s">
        <v>652</v>
      </c>
      <c r="I33" s="48">
        <v>17490.7</v>
      </c>
      <c r="J33" s="49">
        <v>-1.5100000000000001E-2</v>
      </c>
      <c r="K33" s="13"/>
      <c r="L33" s="13"/>
      <c r="M33" s="13"/>
      <c r="N33" s="13"/>
      <c r="O33" s="13"/>
      <c r="P33" s="13"/>
      <c r="Q33" s="13"/>
      <c r="R33" s="13"/>
      <c r="S33" s="13"/>
      <c r="T33" s="13"/>
      <c r="U33" s="13"/>
      <c r="Y33" s="46" t="s">
        <v>713</v>
      </c>
      <c r="Z33" s="46">
        <v>255.5</v>
      </c>
      <c r="AA33" s="49">
        <v>4.0000000000000001E-3</v>
      </c>
      <c r="AB33" s="13"/>
      <c r="AC33" s="13"/>
      <c r="AD33" s="13"/>
      <c r="AE33" s="46" t="s">
        <v>713</v>
      </c>
      <c r="AF33" s="48">
        <v>17287.05</v>
      </c>
      <c r="AG33" s="49">
        <v>3.95E-2</v>
      </c>
      <c r="AH33" s="13"/>
      <c r="AI33" s="13"/>
      <c r="AJ33" s="13"/>
      <c r="AK33" s="13"/>
      <c r="AL33" s="13"/>
      <c r="AM33" s="13"/>
      <c r="AN33" s="13"/>
      <c r="AO33" s="13"/>
      <c r="AP33" s="13"/>
      <c r="AQ33" s="13"/>
      <c r="AR33" s="13"/>
    </row>
    <row r="34" spans="1:44">
      <c r="A34" s="13"/>
      <c r="B34" s="46" t="s">
        <v>653</v>
      </c>
      <c r="C34" s="46">
        <v>255.48</v>
      </c>
      <c r="D34" s="49">
        <v>-2.2599999999999999E-2</v>
      </c>
      <c r="E34" s="13"/>
      <c r="F34" s="13"/>
      <c r="G34" s="13"/>
      <c r="H34" s="46" t="s">
        <v>653</v>
      </c>
      <c r="I34" s="48">
        <v>17758.45</v>
      </c>
      <c r="J34" s="49">
        <v>-1.0999999999999999E-2</v>
      </c>
      <c r="K34" s="13"/>
      <c r="L34" s="13"/>
      <c r="M34" s="13"/>
      <c r="N34" s="13"/>
      <c r="O34" s="13"/>
      <c r="P34" s="13"/>
      <c r="Q34" s="13"/>
      <c r="R34" s="13"/>
      <c r="S34" s="13"/>
      <c r="T34" s="13"/>
      <c r="U34" s="13"/>
      <c r="Y34" s="47">
        <v>44715</v>
      </c>
      <c r="Z34" s="46">
        <v>254.48</v>
      </c>
      <c r="AA34" s="49">
        <v>2.5600000000000001E-2</v>
      </c>
      <c r="AB34" s="13"/>
      <c r="AC34" s="13"/>
      <c r="AD34" s="13"/>
      <c r="AE34" s="47">
        <v>44715</v>
      </c>
      <c r="AF34" s="48">
        <v>16630.45</v>
      </c>
      <c r="AG34" s="49">
        <v>2.3699999999999999E-2</v>
      </c>
      <c r="AH34" s="13"/>
      <c r="AI34" s="13"/>
      <c r="AJ34" s="13"/>
      <c r="AK34" s="13"/>
      <c r="AL34" s="13"/>
      <c r="AM34" s="13"/>
      <c r="AN34" s="13"/>
      <c r="AO34" s="13"/>
      <c r="AP34" s="13"/>
      <c r="AQ34" s="13"/>
      <c r="AR34" s="13"/>
    </row>
    <row r="35" spans="1:44">
      <c r="A35" s="13"/>
      <c r="B35" s="46" t="s">
        <v>654</v>
      </c>
      <c r="C35" s="46">
        <v>261.38</v>
      </c>
      <c r="D35" s="49">
        <v>1.4999999999999999E-2</v>
      </c>
      <c r="E35" s="13"/>
      <c r="F35" s="13"/>
      <c r="G35" s="13"/>
      <c r="H35" s="46" t="s">
        <v>654</v>
      </c>
      <c r="I35" s="48">
        <v>17956.5</v>
      </c>
      <c r="J35" s="49">
        <v>6.9999999999999999E-4</v>
      </c>
      <c r="K35" s="13"/>
      <c r="L35" s="13"/>
      <c r="M35" s="13"/>
      <c r="N35" s="13"/>
      <c r="O35" s="13"/>
      <c r="P35" s="13"/>
      <c r="Q35" s="13"/>
      <c r="R35" s="13"/>
      <c r="S35" s="13"/>
      <c r="T35" s="13"/>
      <c r="U35" s="13"/>
      <c r="Y35" s="46" t="s">
        <v>716</v>
      </c>
      <c r="Z35" s="46">
        <v>248.13</v>
      </c>
      <c r="AA35" s="49">
        <v>-4.1200000000000001E-2</v>
      </c>
      <c r="AB35" s="13"/>
      <c r="AC35" s="13"/>
      <c r="AD35" s="13"/>
      <c r="AE35" s="46" t="s">
        <v>716</v>
      </c>
      <c r="AF35" s="48">
        <v>16245.35</v>
      </c>
      <c r="AG35" s="49">
        <v>-2.4799999999999999E-2</v>
      </c>
      <c r="AH35" s="13"/>
      <c r="AI35" s="13"/>
      <c r="AJ35" s="13"/>
      <c r="AK35" s="13"/>
      <c r="AL35" s="13"/>
      <c r="AM35" s="13"/>
      <c r="AN35" s="13"/>
      <c r="AO35" s="13"/>
      <c r="AP35" s="13"/>
      <c r="AQ35" s="13"/>
      <c r="AR35" s="13"/>
    </row>
    <row r="36" spans="1:44">
      <c r="A36" s="13"/>
      <c r="B36" s="46" t="s">
        <v>655</v>
      </c>
      <c r="C36" s="46">
        <v>257.51</v>
      </c>
      <c r="D36" s="49">
        <v>-1E-3</v>
      </c>
      <c r="E36" s="13"/>
      <c r="F36" s="13"/>
      <c r="G36" s="13"/>
      <c r="H36" s="46" t="s">
        <v>655</v>
      </c>
      <c r="I36" s="48">
        <v>17944.25</v>
      </c>
      <c r="J36" s="49">
        <v>6.7000000000000002E-3</v>
      </c>
      <c r="K36" s="13"/>
      <c r="L36" s="13"/>
      <c r="M36" s="13"/>
      <c r="N36" s="13"/>
      <c r="O36" s="13"/>
      <c r="P36" s="13"/>
      <c r="Q36" s="13"/>
      <c r="R36" s="13"/>
      <c r="S36" s="13"/>
      <c r="T36" s="13"/>
      <c r="U36" s="13"/>
      <c r="Y36" s="46" t="s">
        <v>718</v>
      </c>
      <c r="Z36" s="46">
        <v>258.77999999999997</v>
      </c>
      <c r="AA36" s="49">
        <v>-8.7999999999999995E-2</v>
      </c>
      <c r="AB36" s="13"/>
      <c r="AC36" s="13"/>
      <c r="AD36" s="13"/>
      <c r="AE36" s="46" t="s">
        <v>718</v>
      </c>
      <c r="AF36" s="48">
        <v>16658.400000000001</v>
      </c>
      <c r="AG36" s="49">
        <v>-3.5799999999999998E-2</v>
      </c>
      <c r="AH36" s="13"/>
      <c r="AI36" s="13"/>
      <c r="AJ36" s="13"/>
      <c r="AK36" s="13"/>
      <c r="AL36" s="13"/>
      <c r="AM36" s="13"/>
      <c r="AN36" s="13"/>
      <c r="AO36" s="13"/>
      <c r="AP36" s="13"/>
      <c r="AQ36" s="13"/>
      <c r="AR36" s="13"/>
    </row>
    <row r="37" spans="1:44">
      <c r="A37" s="13"/>
      <c r="B37" s="46" t="s">
        <v>656</v>
      </c>
      <c r="C37" s="46">
        <v>257.76</v>
      </c>
      <c r="D37" s="49">
        <v>-2.52E-2</v>
      </c>
      <c r="E37" s="13"/>
      <c r="F37" s="13"/>
      <c r="G37" s="13"/>
      <c r="H37" s="46" t="s">
        <v>656</v>
      </c>
      <c r="I37" s="48">
        <v>17825.25</v>
      </c>
      <c r="J37" s="49">
        <v>7.1999999999999998E-3</v>
      </c>
      <c r="K37" s="13"/>
      <c r="L37" s="13"/>
      <c r="M37" s="13"/>
      <c r="N37" s="13"/>
      <c r="O37" s="13"/>
      <c r="P37" s="13"/>
      <c r="Q37" s="13"/>
      <c r="R37" s="13"/>
      <c r="S37" s="13"/>
      <c r="T37" s="13"/>
      <c r="U37" s="13"/>
      <c r="Y37" s="46" t="s">
        <v>720</v>
      </c>
      <c r="Z37" s="46">
        <v>283.76</v>
      </c>
      <c r="AA37" s="49">
        <v>-2.46E-2</v>
      </c>
      <c r="AB37" s="13"/>
      <c r="AC37" s="13"/>
      <c r="AD37" s="13"/>
      <c r="AE37" s="46" t="s">
        <v>720</v>
      </c>
      <c r="AF37" s="48">
        <v>17276.3</v>
      </c>
      <c r="AG37" s="49">
        <v>-5.7000000000000002E-3</v>
      </c>
      <c r="AH37" s="13"/>
      <c r="AI37" s="13"/>
      <c r="AJ37" s="13"/>
      <c r="AK37" s="13"/>
      <c r="AL37" s="13"/>
      <c r="AM37" s="13"/>
      <c r="AN37" s="13"/>
      <c r="AO37" s="13"/>
      <c r="AP37" s="13"/>
      <c r="AQ37" s="13"/>
      <c r="AR37" s="13"/>
    </row>
    <row r="38" spans="1:44">
      <c r="A38" s="13"/>
      <c r="B38" s="47">
        <v>44903</v>
      </c>
      <c r="C38" s="46">
        <v>264.41000000000003</v>
      </c>
      <c r="D38" s="49">
        <v>4.5600000000000002E-2</v>
      </c>
      <c r="E38" s="13"/>
      <c r="F38" s="13"/>
      <c r="G38" s="13"/>
      <c r="H38" s="47">
        <v>44903</v>
      </c>
      <c r="I38" s="48">
        <v>17698.150000000001</v>
      </c>
      <c r="J38" s="49">
        <v>2.2000000000000001E-3</v>
      </c>
      <c r="K38" s="13"/>
      <c r="L38" s="13"/>
      <c r="M38" s="13"/>
      <c r="N38" s="13"/>
      <c r="O38" s="13"/>
      <c r="P38" s="13"/>
      <c r="Q38" s="13"/>
      <c r="R38" s="13"/>
      <c r="S38" s="13"/>
      <c r="T38" s="13"/>
      <c r="U38" s="13"/>
      <c r="Y38" s="47">
        <v>44714</v>
      </c>
      <c r="Z38" s="46">
        <v>290.92</v>
      </c>
      <c r="AA38" s="49">
        <v>9.9400000000000002E-2</v>
      </c>
      <c r="AB38" s="13"/>
      <c r="AC38" s="13"/>
      <c r="AD38" s="13"/>
      <c r="AE38" s="47">
        <v>44714</v>
      </c>
      <c r="AF38" s="48">
        <v>17374.75</v>
      </c>
      <c r="AG38" s="49">
        <v>-8.0999999999999996E-3</v>
      </c>
      <c r="AH38" s="13"/>
      <c r="AI38" s="13"/>
      <c r="AJ38" s="13"/>
      <c r="AK38" s="13"/>
      <c r="AL38" s="13"/>
      <c r="AM38" s="13"/>
      <c r="AN38" s="13"/>
      <c r="AO38" s="13"/>
      <c r="AP38" s="13"/>
      <c r="AQ38" s="13"/>
      <c r="AR38" s="13"/>
    </row>
    <row r="39" spans="1:44">
      <c r="A39" s="13"/>
      <c r="B39" s="47">
        <v>44873</v>
      </c>
      <c r="C39" s="46">
        <v>252.87</v>
      </c>
      <c r="D39" s="49">
        <v>4.7000000000000002E-3</v>
      </c>
      <c r="E39" s="13"/>
      <c r="F39" s="13"/>
      <c r="G39" s="13"/>
      <c r="H39" s="47">
        <v>44873</v>
      </c>
      <c r="I39" s="48">
        <v>17659</v>
      </c>
      <c r="J39" s="49">
        <v>7.1000000000000004E-3</v>
      </c>
      <c r="K39" s="13"/>
      <c r="L39" s="13"/>
      <c r="M39" s="13"/>
      <c r="N39" s="13"/>
      <c r="O39" s="13"/>
      <c r="P39" s="13"/>
      <c r="Q39" s="13"/>
      <c r="R39" s="13"/>
      <c r="S39" s="13"/>
      <c r="T39" s="13"/>
      <c r="U39" s="13"/>
      <c r="Y39" s="46" t="s">
        <v>723</v>
      </c>
      <c r="Z39" s="46">
        <v>264.62</v>
      </c>
      <c r="AA39" s="49">
        <v>4.3E-3</v>
      </c>
      <c r="AB39" s="13"/>
      <c r="AC39" s="13"/>
      <c r="AD39" s="13"/>
      <c r="AE39" s="46" t="s">
        <v>723</v>
      </c>
      <c r="AF39" s="48">
        <v>17516.3</v>
      </c>
      <c r="AG39" s="49">
        <v>2.4199999999999999E-2</v>
      </c>
      <c r="AH39" s="13"/>
      <c r="AI39" s="13"/>
      <c r="AJ39" s="13"/>
      <c r="AK39" s="13"/>
      <c r="AL39" s="13"/>
      <c r="AM39" s="13"/>
      <c r="AN39" s="13"/>
      <c r="AO39" s="13"/>
      <c r="AP39" s="13"/>
      <c r="AQ39" s="13"/>
      <c r="AR39" s="13"/>
    </row>
    <row r="40" spans="1:44">
      <c r="A40" s="13"/>
      <c r="B40" s="47">
        <v>44842</v>
      </c>
      <c r="C40" s="46">
        <v>251.68</v>
      </c>
      <c r="D40" s="49">
        <v>-1.44E-2</v>
      </c>
      <c r="E40" s="13"/>
      <c r="F40" s="13"/>
      <c r="G40" s="13"/>
      <c r="H40" s="47">
        <v>44842</v>
      </c>
      <c r="I40" s="48">
        <v>17534.75</v>
      </c>
      <c r="J40" s="49">
        <v>5.9999999999999995E-4</v>
      </c>
      <c r="K40" s="13"/>
      <c r="L40" s="13"/>
      <c r="M40" s="13"/>
      <c r="N40" s="13"/>
      <c r="O40" s="13"/>
      <c r="P40" s="13"/>
      <c r="Q40" s="13"/>
      <c r="R40" s="13"/>
      <c r="S40" s="13"/>
      <c r="T40" s="13"/>
      <c r="U40" s="13"/>
      <c r="Y40" s="46" t="s">
        <v>725</v>
      </c>
      <c r="Z40" s="46">
        <v>263.48</v>
      </c>
      <c r="AA40" s="49">
        <v>-4.5999999999999999E-2</v>
      </c>
      <c r="AB40" s="13"/>
      <c r="AC40" s="13"/>
      <c r="AD40" s="13"/>
      <c r="AE40" s="46" t="s">
        <v>725</v>
      </c>
      <c r="AF40" s="48">
        <v>17101.95</v>
      </c>
      <c r="AG40" s="49">
        <v>-2.92E-2</v>
      </c>
      <c r="AH40" s="13"/>
      <c r="AI40" s="13"/>
      <c r="AJ40" s="13"/>
      <c r="AK40" s="13"/>
      <c r="AL40" s="13"/>
      <c r="AM40" s="13"/>
      <c r="AN40" s="13"/>
      <c r="AO40" s="13"/>
      <c r="AP40" s="13"/>
      <c r="AQ40" s="13"/>
      <c r="AR40" s="13"/>
    </row>
    <row r="41" spans="1:44">
      <c r="A41" s="13"/>
      <c r="B41" s="47">
        <v>44781</v>
      </c>
      <c r="C41" s="46">
        <v>255.35</v>
      </c>
      <c r="D41" s="49">
        <v>-6.1000000000000004E-3</v>
      </c>
      <c r="E41" s="13"/>
      <c r="F41" s="13"/>
      <c r="G41" s="13"/>
      <c r="H41" s="47">
        <v>44781</v>
      </c>
      <c r="I41" s="48">
        <v>17525.099999999999</v>
      </c>
      <c r="J41" s="49">
        <v>7.3000000000000001E-3</v>
      </c>
      <c r="K41" s="13"/>
      <c r="L41" s="13"/>
      <c r="M41" s="13"/>
      <c r="N41" s="13"/>
      <c r="O41" s="13"/>
      <c r="P41" s="13"/>
      <c r="Q41" s="13"/>
      <c r="R41" s="13"/>
      <c r="S41" s="13"/>
      <c r="T41" s="13"/>
      <c r="U41" s="13"/>
      <c r="Y41" s="46" t="s">
        <v>727</v>
      </c>
      <c r="Z41" s="46">
        <v>276.18</v>
      </c>
      <c r="AA41" s="49">
        <v>-2.3400000000000001E-2</v>
      </c>
      <c r="AB41" s="13"/>
      <c r="AC41" s="13"/>
      <c r="AD41" s="13"/>
      <c r="AE41" s="46" t="s">
        <v>727</v>
      </c>
      <c r="AF41" s="48">
        <v>17617.150000000001</v>
      </c>
      <c r="AG41" s="49">
        <v>-3.5000000000000003E-2</v>
      </c>
      <c r="AH41" s="13"/>
      <c r="AI41" s="13"/>
      <c r="AJ41" s="13"/>
      <c r="AK41" s="13"/>
      <c r="AL41" s="13"/>
      <c r="AM41" s="13"/>
      <c r="AN41" s="13"/>
      <c r="AO41" s="13"/>
      <c r="AP41" s="13"/>
      <c r="AQ41" s="13"/>
      <c r="AR41" s="13"/>
    </row>
    <row r="42" spans="1:44">
      <c r="A42" s="13"/>
      <c r="B42" s="47">
        <v>44689</v>
      </c>
      <c r="C42" s="46">
        <v>256.91000000000003</v>
      </c>
      <c r="D42" s="49">
        <v>5.8999999999999997E-2</v>
      </c>
      <c r="E42" s="13"/>
      <c r="F42" s="13"/>
      <c r="G42" s="13"/>
      <c r="H42" s="47">
        <v>44689</v>
      </c>
      <c r="I42" s="48">
        <v>17397.5</v>
      </c>
      <c r="J42" s="49">
        <v>8.9999999999999998E-4</v>
      </c>
      <c r="K42" s="13"/>
      <c r="L42" s="13"/>
      <c r="M42" s="13"/>
      <c r="N42" s="13"/>
      <c r="O42" s="13"/>
      <c r="P42" s="13"/>
      <c r="Q42" s="13"/>
      <c r="R42" s="13"/>
      <c r="S42" s="13"/>
      <c r="T42" s="13"/>
      <c r="U42" s="13"/>
      <c r="Y42" s="47">
        <v>44805</v>
      </c>
      <c r="Z42" s="46">
        <v>282.79000000000002</v>
      </c>
      <c r="AA42" s="49">
        <v>5.8999999999999997E-2</v>
      </c>
      <c r="AB42" s="13"/>
      <c r="AC42" s="13"/>
      <c r="AD42" s="13"/>
      <c r="AE42" s="47">
        <v>44805</v>
      </c>
      <c r="AF42" s="48">
        <v>18255.75</v>
      </c>
      <c r="AG42" s="49">
        <v>2.4899999999999999E-2</v>
      </c>
      <c r="AH42" s="13"/>
      <c r="AI42" s="13"/>
      <c r="AJ42" s="13"/>
      <c r="AK42" s="13"/>
      <c r="AL42" s="13"/>
      <c r="AM42" s="13"/>
      <c r="AN42" s="13"/>
      <c r="AO42" s="13"/>
      <c r="AP42" s="13"/>
      <c r="AQ42" s="13"/>
      <c r="AR42" s="13"/>
    </row>
    <row r="43" spans="1:44">
      <c r="A43" s="13"/>
      <c r="B43" s="47">
        <v>44659</v>
      </c>
      <c r="C43" s="46">
        <v>242.6</v>
      </c>
      <c r="D43" s="49">
        <v>-2.6200000000000001E-2</v>
      </c>
      <c r="E43" s="13"/>
      <c r="F43" s="13"/>
      <c r="G43" s="13"/>
      <c r="H43" s="47">
        <v>44659</v>
      </c>
      <c r="I43" s="48">
        <v>17382</v>
      </c>
      <c r="J43" s="49">
        <v>-4.0000000000000002E-4</v>
      </c>
      <c r="K43" s="13"/>
      <c r="L43" s="13"/>
      <c r="M43" s="13"/>
      <c r="N43" s="13"/>
      <c r="O43" s="13"/>
      <c r="P43" s="13"/>
      <c r="Q43" s="13"/>
      <c r="R43" s="13"/>
      <c r="S43" s="13"/>
      <c r="T43" s="13"/>
      <c r="U43" s="13"/>
      <c r="Y43" s="47">
        <v>44593</v>
      </c>
      <c r="Z43" s="46">
        <v>267.02999999999997</v>
      </c>
      <c r="AA43" s="49">
        <v>9.5299999999999996E-2</v>
      </c>
      <c r="AB43" s="13"/>
      <c r="AC43" s="13"/>
      <c r="AD43" s="13"/>
      <c r="AE43" s="47">
        <v>44593</v>
      </c>
      <c r="AF43" s="48">
        <v>17812.7</v>
      </c>
      <c r="AG43" s="49">
        <v>2.64E-2</v>
      </c>
      <c r="AH43" s="13"/>
      <c r="AI43" s="13"/>
      <c r="AJ43" s="13"/>
      <c r="AK43" s="13"/>
      <c r="AL43" s="13"/>
      <c r="AM43" s="13"/>
      <c r="AN43" s="13"/>
      <c r="AO43" s="13"/>
      <c r="AP43" s="13"/>
      <c r="AQ43" s="13"/>
      <c r="AR43" s="13"/>
    </row>
    <row r="44" spans="1:44">
      <c r="A44" s="13"/>
      <c r="B44" s="47">
        <v>44628</v>
      </c>
      <c r="C44" s="46">
        <v>249.12</v>
      </c>
      <c r="D44" s="49">
        <v>3.9699999999999999E-2</v>
      </c>
      <c r="E44" s="13"/>
      <c r="F44" s="13"/>
      <c r="G44" s="13"/>
      <c r="H44" s="47">
        <v>44628</v>
      </c>
      <c r="I44" s="48">
        <v>17388.150000000001</v>
      </c>
      <c r="J44" s="49">
        <v>2.5000000000000001E-3</v>
      </c>
      <c r="K44" s="13"/>
      <c r="L44" s="13"/>
      <c r="M44" s="13"/>
      <c r="N44" s="13"/>
      <c r="O44" s="13"/>
      <c r="P44" s="13"/>
      <c r="Q44" s="13"/>
      <c r="R44" s="13"/>
      <c r="S44" s="13"/>
      <c r="T44" s="13"/>
      <c r="U44" s="13"/>
      <c r="Y44" s="46" t="s">
        <v>730</v>
      </c>
      <c r="Z44" s="46">
        <v>243.79</v>
      </c>
      <c r="AA44" s="49">
        <v>2.12E-2</v>
      </c>
      <c r="AB44" s="13"/>
      <c r="AC44" s="13"/>
      <c r="AD44" s="13"/>
      <c r="AE44" s="46" t="s">
        <v>730</v>
      </c>
      <c r="AF44" s="48">
        <v>17354.05</v>
      </c>
      <c r="AG44" s="49">
        <v>2.06E-2</v>
      </c>
      <c r="AH44" s="13"/>
      <c r="AI44" s="13"/>
      <c r="AJ44" s="13"/>
      <c r="AK44" s="13"/>
      <c r="AL44" s="13"/>
      <c r="AM44" s="13"/>
      <c r="AN44" s="13"/>
      <c r="AO44" s="13"/>
      <c r="AP44" s="13"/>
      <c r="AQ44" s="13"/>
      <c r="AR44" s="13"/>
    </row>
    <row r="45" spans="1:44">
      <c r="A45" s="13"/>
      <c r="B45" s="47">
        <v>44600</v>
      </c>
      <c r="C45" s="46">
        <v>239.61</v>
      </c>
      <c r="D45" s="49">
        <v>-1.7999999999999999E-2</v>
      </c>
      <c r="E45" s="13"/>
      <c r="F45" s="13"/>
      <c r="G45" s="13"/>
      <c r="H45" s="47">
        <v>44600</v>
      </c>
      <c r="I45" s="48">
        <v>17345.45</v>
      </c>
      <c r="J45" s="49">
        <v>2.9999999999999997E-4</v>
      </c>
      <c r="K45" s="13"/>
      <c r="L45" s="13"/>
      <c r="M45" s="13"/>
      <c r="N45" s="13"/>
      <c r="O45" s="13"/>
      <c r="P45" s="13"/>
      <c r="Q45" s="13"/>
      <c r="R45" s="13"/>
      <c r="S45" s="13"/>
      <c r="T45" s="13"/>
      <c r="U45" s="13"/>
      <c r="Y45" s="46" t="s">
        <v>731</v>
      </c>
      <c r="Z45" s="46">
        <v>238.73</v>
      </c>
      <c r="AA45" s="49">
        <v>-2.75E-2</v>
      </c>
      <c r="AB45" s="13"/>
      <c r="AC45" s="13"/>
      <c r="AD45" s="13"/>
      <c r="AE45" s="46" t="s">
        <v>731</v>
      </c>
      <c r="AF45" s="48">
        <v>17003.75</v>
      </c>
      <c r="AG45" s="49">
        <v>1.1000000000000001E-3</v>
      </c>
      <c r="AH45" s="13"/>
      <c r="AI45" s="13"/>
      <c r="AJ45" s="13"/>
      <c r="AK45" s="13"/>
      <c r="AL45" s="13"/>
      <c r="AM45" s="13"/>
      <c r="AN45" s="13"/>
      <c r="AO45" s="13"/>
      <c r="AP45" s="13"/>
      <c r="AQ45" s="13"/>
      <c r="AR45" s="13"/>
    </row>
    <row r="46" spans="1:44">
      <c r="A46" s="13"/>
      <c r="B46" s="47">
        <v>44569</v>
      </c>
      <c r="C46" s="46">
        <v>243.99</v>
      </c>
      <c r="D46" s="49">
        <v>6.0400000000000002E-2</v>
      </c>
      <c r="E46" s="13"/>
      <c r="F46" s="13"/>
      <c r="G46" s="13"/>
      <c r="H46" s="47">
        <v>44569</v>
      </c>
      <c r="I46" s="48">
        <v>17340.05</v>
      </c>
      <c r="J46" s="49">
        <v>1.06E-2</v>
      </c>
      <c r="K46" s="13"/>
      <c r="L46" s="13"/>
      <c r="M46" s="13"/>
      <c r="N46" s="13"/>
      <c r="O46" s="13"/>
      <c r="P46" s="13"/>
      <c r="Q46" s="13"/>
      <c r="R46" s="13"/>
      <c r="S46" s="13"/>
      <c r="T46" s="13"/>
      <c r="U46" s="13"/>
      <c r="Y46" s="47">
        <v>44542</v>
      </c>
      <c r="Z46" s="46">
        <v>245.48</v>
      </c>
      <c r="AA46" s="49">
        <v>1.5800000000000002E-2</v>
      </c>
      <c r="AB46" s="13"/>
      <c r="AC46" s="13"/>
      <c r="AD46" s="13"/>
      <c r="AE46" s="47">
        <v>44542</v>
      </c>
      <c r="AF46" s="48">
        <v>16985.2</v>
      </c>
      <c r="AG46" s="49">
        <v>-0.03</v>
      </c>
      <c r="AH46" s="13"/>
      <c r="AI46" s="13"/>
      <c r="AJ46" s="13"/>
      <c r="AK46" s="13"/>
      <c r="AL46" s="13"/>
      <c r="AM46" s="13"/>
      <c r="AN46" s="13"/>
      <c r="AO46" s="13"/>
      <c r="AP46" s="13"/>
      <c r="AQ46" s="13"/>
      <c r="AR46" s="13"/>
    </row>
    <row r="47" spans="1:44">
      <c r="A47" s="13"/>
      <c r="B47" s="46" t="s">
        <v>657</v>
      </c>
      <c r="C47" s="46">
        <v>230.1</v>
      </c>
      <c r="D47" s="49">
        <v>3.8600000000000002E-2</v>
      </c>
      <c r="E47" s="13"/>
      <c r="F47" s="13"/>
      <c r="G47" s="13"/>
      <c r="H47" s="46" t="s">
        <v>657</v>
      </c>
      <c r="I47" s="48">
        <v>17158.25</v>
      </c>
      <c r="J47" s="49">
        <v>1.35E-2</v>
      </c>
      <c r="K47" s="13"/>
      <c r="L47" s="13"/>
      <c r="M47" s="13"/>
      <c r="N47" s="13"/>
      <c r="O47" s="13"/>
      <c r="P47" s="13"/>
      <c r="Q47" s="13"/>
      <c r="R47" s="13"/>
      <c r="S47" s="13"/>
      <c r="T47" s="13"/>
      <c r="U47" s="13"/>
      <c r="Y47" s="47">
        <v>44328</v>
      </c>
      <c r="Z47" s="46">
        <v>241.65</v>
      </c>
      <c r="AA47" s="49">
        <v>0.1293</v>
      </c>
      <c r="AB47" s="13"/>
      <c r="AC47" s="13"/>
      <c r="AD47" s="13"/>
      <c r="AE47" s="47">
        <v>44328</v>
      </c>
      <c r="AF47" s="48">
        <v>17511.3</v>
      </c>
      <c r="AG47" s="49">
        <v>1.83E-2</v>
      </c>
      <c r="AH47" s="13"/>
      <c r="AI47" s="13"/>
      <c r="AJ47" s="13"/>
      <c r="AK47" s="13"/>
      <c r="AL47" s="13"/>
      <c r="AM47" s="13"/>
      <c r="AN47" s="13"/>
      <c r="AO47" s="13"/>
      <c r="AP47" s="13"/>
      <c r="AQ47" s="13"/>
      <c r="AR47" s="13"/>
    </row>
    <row r="48" spans="1:44">
      <c r="A48" s="13"/>
      <c r="B48" s="46" t="s">
        <v>658</v>
      </c>
      <c r="C48" s="46">
        <v>221.55</v>
      </c>
      <c r="D48" s="49">
        <v>-1.04E-2</v>
      </c>
      <c r="E48" s="13"/>
      <c r="F48" s="13"/>
      <c r="G48" s="13"/>
      <c r="H48" s="46" t="s">
        <v>658</v>
      </c>
      <c r="I48" s="48">
        <v>16929.599999999999</v>
      </c>
      <c r="J48" s="49">
        <v>1.7299999999999999E-2</v>
      </c>
      <c r="K48" s="13"/>
      <c r="L48" s="13"/>
      <c r="M48" s="13"/>
      <c r="N48" s="13"/>
      <c r="O48" s="13"/>
      <c r="P48" s="13"/>
      <c r="Q48" s="13"/>
      <c r="R48" s="13"/>
      <c r="S48" s="13"/>
      <c r="T48" s="13"/>
      <c r="U48" s="13"/>
      <c r="Y48" s="46" t="s">
        <v>732</v>
      </c>
      <c r="Z48" s="46">
        <v>213.98</v>
      </c>
      <c r="AA48" s="49">
        <v>-4.1000000000000002E-2</v>
      </c>
      <c r="AB48" s="13"/>
      <c r="AC48" s="13"/>
      <c r="AD48" s="13"/>
      <c r="AE48" s="46" t="s">
        <v>732</v>
      </c>
      <c r="AF48" s="48">
        <v>17196.7</v>
      </c>
      <c r="AG48" s="49">
        <v>0.01</v>
      </c>
      <c r="AH48" s="13"/>
      <c r="AI48" s="13"/>
      <c r="AJ48" s="13"/>
      <c r="AK48" s="13"/>
      <c r="AL48" s="13"/>
      <c r="AM48" s="13"/>
      <c r="AN48" s="13"/>
      <c r="AO48" s="13"/>
      <c r="AP48" s="13"/>
      <c r="AQ48" s="13"/>
      <c r="AR48" s="13"/>
    </row>
    <row r="49" spans="1:21">
      <c r="A49" s="13"/>
      <c r="B49" s="46" t="s">
        <v>659</v>
      </c>
      <c r="C49" s="46">
        <v>223.87</v>
      </c>
      <c r="D49" s="49">
        <v>-1.24E-2</v>
      </c>
      <c r="E49" s="13"/>
      <c r="F49" s="13"/>
      <c r="G49" s="13"/>
      <c r="H49" s="46" t="s">
        <v>659</v>
      </c>
      <c r="I49" s="48">
        <v>16641.8</v>
      </c>
      <c r="J49" s="49">
        <v>9.5999999999999992E-3</v>
      </c>
      <c r="K49" s="13"/>
      <c r="L49" s="13"/>
      <c r="M49" s="13"/>
      <c r="N49" s="13"/>
      <c r="O49" s="13"/>
      <c r="P49" s="13"/>
      <c r="Q49" s="13"/>
      <c r="R49" s="13"/>
      <c r="S49" s="13"/>
      <c r="T49" s="13"/>
      <c r="U49" s="13"/>
    </row>
    <row r="50" spans="1:21">
      <c r="A50" s="13"/>
      <c r="B50" s="46" t="s">
        <v>660</v>
      </c>
      <c r="C50" s="46">
        <v>226.67</v>
      </c>
      <c r="D50" s="49">
        <v>2.5700000000000001E-2</v>
      </c>
      <c r="E50" s="13"/>
      <c r="F50" s="13"/>
      <c r="G50" s="13"/>
      <c r="H50" s="46" t="s">
        <v>660</v>
      </c>
      <c r="I50" s="48">
        <v>16483.849999999999</v>
      </c>
      <c r="J50" s="49">
        <v>-8.8000000000000005E-3</v>
      </c>
      <c r="K50" s="13"/>
      <c r="L50" s="13"/>
      <c r="M50" s="13"/>
      <c r="N50" s="13"/>
      <c r="O50" s="13"/>
      <c r="P50" s="13"/>
      <c r="Q50" s="13"/>
      <c r="R50" s="13"/>
      <c r="S50" s="13"/>
      <c r="T50" s="13"/>
      <c r="U50" s="13"/>
    </row>
    <row r="51" spans="1:21">
      <c r="A51" s="13"/>
      <c r="B51" s="46" t="s">
        <v>661</v>
      </c>
      <c r="C51" s="46">
        <v>220.99</v>
      </c>
      <c r="D51" s="49">
        <v>-3.8999999999999998E-3</v>
      </c>
      <c r="E51" s="13"/>
      <c r="F51" s="13"/>
      <c r="G51" s="13"/>
      <c r="H51" s="46" t="s">
        <v>661</v>
      </c>
      <c r="I51" s="48">
        <v>16631</v>
      </c>
      <c r="J51" s="49">
        <v>-5.3E-3</v>
      </c>
      <c r="K51" s="13"/>
      <c r="L51" s="13"/>
      <c r="M51" s="13"/>
      <c r="N51" s="13"/>
      <c r="O51" s="13"/>
      <c r="P51" s="13"/>
      <c r="Q51" s="13"/>
      <c r="R51" s="13"/>
      <c r="S51" s="13"/>
      <c r="T51" s="13"/>
      <c r="U51" s="13"/>
    </row>
    <row r="52" spans="1:21">
      <c r="A52" s="13"/>
      <c r="B52" s="46" t="s">
        <v>662</v>
      </c>
      <c r="C52" s="46">
        <v>221.85</v>
      </c>
      <c r="D52" s="49">
        <v>5.0000000000000001E-4</v>
      </c>
      <c r="E52" s="13"/>
      <c r="F52" s="13"/>
      <c r="G52" s="13"/>
      <c r="H52" s="46" t="s">
        <v>662</v>
      </c>
      <c r="I52" s="48">
        <v>16719.45</v>
      </c>
      <c r="J52" s="49">
        <v>6.8999999999999999E-3</v>
      </c>
      <c r="K52" s="13"/>
      <c r="L52" s="13"/>
      <c r="M52" s="13"/>
      <c r="N52" s="13"/>
      <c r="O52" s="13"/>
      <c r="P52" s="13"/>
      <c r="Q52" s="13"/>
      <c r="R52" s="13"/>
      <c r="S52" s="13"/>
      <c r="T52" s="13"/>
      <c r="U52" s="13"/>
    </row>
    <row r="53" spans="1:21">
      <c r="A53" s="13"/>
      <c r="B53" s="46" t="s">
        <v>663</v>
      </c>
      <c r="C53" s="46">
        <v>221.74</v>
      </c>
      <c r="D53" s="49">
        <v>-4.0000000000000001E-3</v>
      </c>
      <c r="E53" s="13"/>
      <c r="F53" s="13"/>
      <c r="G53" s="13"/>
      <c r="H53" s="46" t="s">
        <v>663</v>
      </c>
      <c r="I53" s="48">
        <v>16605.25</v>
      </c>
      <c r="J53" s="49">
        <v>5.1000000000000004E-3</v>
      </c>
      <c r="K53" s="13"/>
      <c r="L53" s="13"/>
      <c r="M53" s="13"/>
      <c r="N53" s="13"/>
      <c r="O53" s="13"/>
      <c r="P53" s="13"/>
      <c r="Q53" s="13"/>
      <c r="R53" s="13"/>
      <c r="S53" s="13"/>
      <c r="T53" s="13"/>
      <c r="U53" s="13"/>
    </row>
    <row r="54" spans="1:21">
      <c r="A54" s="13"/>
      <c r="B54" s="46" t="s">
        <v>664</v>
      </c>
      <c r="C54" s="46">
        <v>222.63</v>
      </c>
      <c r="D54" s="49">
        <v>-4.4999999999999997E-3</v>
      </c>
      <c r="E54" s="13"/>
      <c r="F54" s="13"/>
      <c r="G54" s="13"/>
      <c r="H54" s="46" t="s">
        <v>664</v>
      </c>
      <c r="I54" s="48">
        <v>16520.849999999999</v>
      </c>
      <c r="J54" s="49">
        <v>1.0999999999999999E-2</v>
      </c>
      <c r="K54" s="13"/>
      <c r="L54" s="13"/>
      <c r="M54" s="13"/>
      <c r="N54" s="13"/>
      <c r="O54" s="13"/>
      <c r="P54" s="13"/>
      <c r="Q54" s="13"/>
      <c r="R54" s="13"/>
      <c r="S54" s="13"/>
      <c r="T54" s="13"/>
      <c r="U54" s="13"/>
    </row>
    <row r="55" spans="1:21">
      <c r="A55" s="13"/>
      <c r="B55" s="46" t="s">
        <v>665</v>
      </c>
      <c r="C55" s="46">
        <v>223.64</v>
      </c>
      <c r="D55" s="49">
        <v>9.7000000000000003E-3</v>
      </c>
      <c r="E55" s="13"/>
      <c r="F55" s="13"/>
      <c r="G55" s="13"/>
      <c r="H55" s="46" t="s">
        <v>665</v>
      </c>
      <c r="I55" s="48">
        <v>16340.55</v>
      </c>
      <c r="J55" s="49">
        <v>3.8E-3</v>
      </c>
      <c r="K55" s="13"/>
      <c r="L55" s="13"/>
      <c r="M55" s="13"/>
      <c r="N55" s="13"/>
      <c r="O55" s="13"/>
      <c r="P55" s="13"/>
      <c r="Q55" s="13"/>
      <c r="R55" s="13"/>
      <c r="S55" s="13"/>
      <c r="T55" s="13"/>
      <c r="U55" s="13"/>
    </row>
    <row r="56" spans="1:21">
      <c r="A56" s="13"/>
      <c r="B56" s="46" t="s">
        <v>666</v>
      </c>
      <c r="C56" s="46">
        <v>221.49</v>
      </c>
      <c r="D56" s="49">
        <v>6.1000000000000004E-3</v>
      </c>
      <c r="E56" s="13"/>
      <c r="F56" s="13"/>
      <c r="G56" s="13"/>
      <c r="H56" s="46" t="s">
        <v>666</v>
      </c>
      <c r="I56" s="48">
        <v>16278.5</v>
      </c>
      <c r="J56" s="49">
        <v>1.43E-2</v>
      </c>
      <c r="K56" s="13"/>
      <c r="L56" s="13"/>
      <c r="M56" s="13"/>
      <c r="N56" s="13"/>
      <c r="O56" s="13"/>
      <c r="P56" s="13"/>
      <c r="Q56" s="13"/>
      <c r="R56" s="13"/>
      <c r="S56" s="13"/>
      <c r="T56" s="13"/>
      <c r="U56" s="13"/>
    </row>
    <row r="57" spans="1:21">
      <c r="A57" s="13"/>
      <c r="B57" s="46" t="s">
        <v>667</v>
      </c>
      <c r="C57" s="46">
        <v>220.15</v>
      </c>
      <c r="D57" s="49">
        <v>1.0699999999999999E-2</v>
      </c>
      <c r="E57" s="13"/>
      <c r="F57" s="13"/>
      <c r="G57" s="13"/>
      <c r="H57" s="46" t="s">
        <v>667</v>
      </c>
      <c r="I57" s="48">
        <v>16049.2</v>
      </c>
      <c r="J57" s="49">
        <v>6.8999999999999999E-3</v>
      </c>
      <c r="K57" s="13"/>
      <c r="L57" s="13"/>
      <c r="M57" s="13"/>
      <c r="N57" s="13"/>
      <c r="O57" s="13"/>
      <c r="P57" s="13"/>
      <c r="Q57" s="13"/>
      <c r="R57" s="13"/>
      <c r="S57" s="13"/>
      <c r="T57" s="13"/>
      <c r="U57" s="13"/>
    </row>
    <row r="58" spans="1:21">
      <c r="A58" s="13"/>
      <c r="B58" s="46" t="s">
        <v>668</v>
      </c>
      <c r="C58" s="46">
        <v>217.82</v>
      </c>
      <c r="D58" s="49">
        <v>-1.18E-2</v>
      </c>
      <c r="E58" s="13"/>
      <c r="F58" s="13"/>
      <c r="G58" s="13"/>
      <c r="H58" s="46" t="s">
        <v>668</v>
      </c>
      <c r="I58" s="48">
        <v>15938.65</v>
      </c>
      <c r="J58" s="49">
        <v>-1.8E-3</v>
      </c>
      <c r="K58" s="13"/>
      <c r="L58" s="13"/>
      <c r="M58" s="13"/>
      <c r="N58" s="13"/>
      <c r="O58" s="13"/>
      <c r="P58" s="13"/>
      <c r="Q58" s="13"/>
      <c r="R58" s="13"/>
      <c r="S58" s="13"/>
      <c r="T58" s="13"/>
      <c r="U58" s="13"/>
    </row>
    <row r="59" spans="1:21">
      <c r="A59" s="13"/>
      <c r="B59" s="46" t="s">
        <v>669</v>
      </c>
      <c r="C59" s="46">
        <v>220.43</v>
      </c>
      <c r="D59" s="49">
        <v>1.23E-2</v>
      </c>
      <c r="E59" s="13"/>
      <c r="F59" s="13"/>
      <c r="G59" s="13"/>
      <c r="H59" s="46" t="s">
        <v>669</v>
      </c>
      <c r="I59" s="48">
        <v>15966.65</v>
      </c>
      <c r="J59" s="49">
        <v>-5.7000000000000002E-3</v>
      </c>
      <c r="K59" s="13"/>
      <c r="L59" s="13"/>
      <c r="M59" s="13"/>
      <c r="N59" s="13"/>
      <c r="O59" s="13"/>
      <c r="P59" s="13"/>
      <c r="Q59" s="13"/>
      <c r="R59" s="13"/>
      <c r="S59" s="13"/>
      <c r="T59" s="13"/>
      <c r="U59" s="13"/>
    </row>
    <row r="60" spans="1:21">
      <c r="A60" s="13"/>
      <c r="B60" s="47">
        <v>44902</v>
      </c>
      <c r="C60" s="46">
        <v>217.76</v>
      </c>
      <c r="D60" s="49">
        <v>-1.41E-2</v>
      </c>
      <c r="E60" s="13"/>
      <c r="F60" s="13"/>
      <c r="G60" s="13"/>
      <c r="H60" s="47">
        <v>44902</v>
      </c>
      <c r="I60" s="48">
        <v>16058.3</v>
      </c>
      <c r="J60" s="49">
        <v>-9.7000000000000003E-3</v>
      </c>
      <c r="K60" s="13"/>
      <c r="L60" s="13"/>
      <c r="M60" s="13"/>
      <c r="N60" s="13"/>
      <c r="O60" s="13"/>
      <c r="P60" s="13"/>
      <c r="Q60" s="13"/>
      <c r="R60" s="13"/>
      <c r="S60" s="13"/>
      <c r="T60" s="13"/>
      <c r="U60" s="13"/>
    </row>
    <row r="61" spans="1:21">
      <c r="A61" s="13"/>
      <c r="B61" s="47">
        <v>44872</v>
      </c>
      <c r="C61" s="46">
        <v>220.87</v>
      </c>
      <c r="D61" s="49">
        <v>-1.49E-2</v>
      </c>
      <c r="E61" s="13"/>
      <c r="F61" s="13"/>
      <c r="G61" s="13"/>
      <c r="H61" s="47">
        <v>44872</v>
      </c>
      <c r="I61" s="48">
        <v>16216</v>
      </c>
      <c r="J61" s="49">
        <v>-2.9999999999999997E-4</v>
      </c>
      <c r="K61" s="13"/>
      <c r="L61" s="13"/>
      <c r="M61" s="13"/>
      <c r="N61" s="13"/>
      <c r="O61" s="13"/>
      <c r="P61" s="13"/>
      <c r="Q61" s="13"/>
      <c r="R61" s="13"/>
      <c r="S61" s="13"/>
      <c r="T61" s="13"/>
      <c r="U61" s="13"/>
    </row>
    <row r="62" spans="1:21">
      <c r="A62" s="13"/>
      <c r="B62" s="47">
        <v>44780</v>
      </c>
      <c r="C62" s="46">
        <v>224.2</v>
      </c>
      <c r="D62" s="49">
        <v>2.2000000000000001E-3</v>
      </c>
      <c r="E62" s="13"/>
      <c r="F62" s="13"/>
      <c r="G62" s="13"/>
      <c r="H62" s="47">
        <v>44780</v>
      </c>
      <c r="I62" s="48">
        <v>16220.6</v>
      </c>
      <c r="J62" s="49">
        <v>5.4000000000000003E-3</v>
      </c>
      <c r="K62" s="13"/>
      <c r="L62" s="13"/>
      <c r="M62" s="13"/>
      <c r="N62" s="13"/>
      <c r="O62" s="13"/>
      <c r="P62" s="13"/>
      <c r="Q62" s="13"/>
      <c r="R62" s="13"/>
      <c r="S62" s="13"/>
      <c r="T62" s="13"/>
      <c r="U62" s="13"/>
    </row>
    <row r="63" spans="1:21">
      <c r="A63" s="13"/>
      <c r="B63" s="47">
        <v>44749</v>
      </c>
      <c r="C63" s="46">
        <v>223.71</v>
      </c>
      <c r="D63" s="49">
        <v>-2.2200000000000001E-2</v>
      </c>
      <c r="E63" s="13"/>
      <c r="F63" s="13"/>
      <c r="G63" s="13"/>
      <c r="H63" s="47">
        <v>44749</v>
      </c>
      <c r="I63" s="48">
        <v>16132.9</v>
      </c>
      <c r="J63" s="49">
        <v>8.8999999999999999E-3</v>
      </c>
      <c r="K63" s="13"/>
      <c r="L63" s="13"/>
      <c r="M63" s="13"/>
      <c r="N63" s="13"/>
      <c r="O63" s="13"/>
      <c r="P63" s="13"/>
      <c r="Q63" s="13"/>
      <c r="R63" s="13"/>
      <c r="S63" s="13"/>
      <c r="T63" s="13"/>
      <c r="U63" s="13"/>
    </row>
    <row r="64" spans="1:21">
      <c r="A64" s="13"/>
      <c r="B64" s="47">
        <v>44719</v>
      </c>
      <c r="C64" s="46">
        <v>228.78</v>
      </c>
      <c r="D64" s="49">
        <v>9.2999999999999992E-3</v>
      </c>
      <c r="E64" s="13"/>
      <c r="F64" s="13"/>
      <c r="G64" s="13"/>
      <c r="H64" s="47">
        <v>44719</v>
      </c>
      <c r="I64" s="48">
        <v>15989.8</v>
      </c>
      <c r="J64" s="49">
        <v>1.1299999999999999E-2</v>
      </c>
      <c r="K64" s="13"/>
      <c r="L64" s="13"/>
      <c r="M64" s="13"/>
      <c r="N64" s="13"/>
      <c r="O64" s="13"/>
      <c r="P64" s="13"/>
      <c r="Q64" s="13"/>
      <c r="R64" s="13"/>
      <c r="S64" s="13"/>
      <c r="T64" s="13"/>
      <c r="U64" s="13"/>
    </row>
    <row r="65" spans="1:21">
      <c r="A65" s="13"/>
      <c r="B65" s="47">
        <v>44688</v>
      </c>
      <c r="C65" s="46">
        <v>226.67</v>
      </c>
      <c r="D65" s="49">
        <v>2.4199999999999999E-2</v>
      </c>
      <c r="E65" s="13"/>
      <c r="F65" s="13"/>
      <c r="G65" s="13"/>
      <c r="H65" s="47">
        <v>44688</v>
      </c>
      <c r="I65" s="48">
        <v>15810.85</v>
      </c>
      <c r="J65" s="49">
        <v>-1.5E-3</v>
      </c>
      <c r="K65" s="13"/>
      <c r="L65" s="13"/>
      <c r="M65" s="13"/>
      <c r="N65" s="13"/>
      <c r="O65" s="13"/>
      <c r="P65" s="13"/>
      <c r="Q65" s="13"/>
      <c r="R65" s="13"/>
      <c r="S65" s="13"/>
      <c r="T65" s="13"/>
      <c r="U65" s="13"/>
    </row>
    <row r="66" spans="1:21">
      <c r="A66" s="13"/>
      <c r="B66" s="47">
        <v>44658</v>
      </c>
      <c r="C66" s="46">
        <v>221.31</v>
      </c>
      <c r="D66" s="49">
        <v>2.1700000000000001E-2</v>
      </c>
      <c r="E66" s="13"/>
      <c r="F66" s="13"/>
      <c r="G66" s="13"/>
      <c r="H66" s="47">
        <v>44658</v>
      </c>
      <c r="I66" s="48">
        <v>15835.35</v>
      </c>
      <c r="J66" s="49">
        <v>5.3E-3</v>
      </c>
      <c r="K66" s="13"/>
      <c r="L66" s="13"/>
      <c r="M66" s="13"/>
      <c r="N66" s="13"/>
      <c r="O66" s="13"/>
      <c r="P66" s="13"/>
      <c r="Q66" s="13"/>
      <c r="R66" s="13"/>
      <c r="S66" s="13"/>
      <c r="T66" s="13"/>
      <c r="U66" s="13"/>
    </row>
    <row r="67" spans="1:21">
      <c r="A67" s="13"/>
      <c r="B67" s="47">
        <v>44568</v>
      </c>
      <c r="C67" s="46">
        <v>216.61</v>
      </c>
      <c r="D67" s="49">
        <v>-2.3E-3</v>
      </c>
      <c r="E67" s="13"/>
      <c r="F67" s="13"/>
      <c r="G67" s="13"/>
      <c r="H67" s="47">
        <v>44568</v>
      </c>
      <c r="I67" s="48">
        <v>15752.05</v>
      </c>
      <c r="J67" s="49">
        <v>-1.8E-3</v>
      </c>
      <c r="K67" s="13"/>
      <c r="L67" s="13"/>
      <c r="M67" s="13"/>
      <c r="N67" s="13"/>
      <c r="O67" s="13"/>
      <c r="P67" s="13"/>
      <c r="Q67" s="13"/>
      <c r="R67" s="13"/>
      <c r="S67" s="13"/>
      <c r="T67" s="13"/>
      <c r="U67" s="13"/>
    </row>
    <row r="68" spans="1:21">
      <c r="A68" s="13"/>
      <c r="B68" s="46" t="s">
        <v>670</v>
      </c>
      <c r="C68" s="46">
        <v>217.11</v>
      </c>
      <c r="D68" s="49">
        <v>2.01E-2</v>
      </c>
      <c r="E68" s="13"/>
      <c r="F68" s="13"/>
      <c r="G68" s="13"/>
      <c r="H68" s="46" t="s">
        <v>670</v>
      </c>
      <c r="I68" s="48">
        <v>15780.25</v>
      </c>
      <c r="J68" s="49">
        <v>-1.1999999999999999E-3</v>
      </c>
      <c r="K68" s="13"/>
      <c r="L68" s="13"/>
      <c r="M68" s="13"/>
      <c r="N68" s="13"/>
      <c r="O68" s="13"/>
      <c r="P68" s="13"/>
      <c r="Q68" s="13"/>
      <c r="R68" s="13"/>
      <c r="S68" s="13"/>
      <c r="T68" s="13"/>
      <c r="U68" s="13"/>
    </row>
    <row r="69" spans="1:21">
      <c r="A69" s="13"/>
      <c r="B69" s="46" t="s">
        <v>671</v>
      </c>
      <c r="C69" s="46">
        <v>212.84</v>
      </c>
      <c r="D69" s="49">
        <v>2.35E-2</v>
      </c>
      <c r="E69" s="13"/>
      <c r="F69" s="13"/>
      <c r="G69" s="13"/>
      <c r="H69" s="46" t="s">
        <v>671</v>
      </c>
      <c r="I69" s="48">
        <v>15799.1</v>
      </c>
      <c r="J69" s="49">
        <v>-3.2000000000000002E-3</v>
      </c>
      <c r="K69" s="13"/>
      <c r="L69" s="13"/>
      <c r="M69" s="13"/>
      <c r="N69" s="13"/>
      <c r="O69" s="13"/>
      <c r="P69" s="13"/>
      <c r="Q69" s="13"/>
      <c r="R69" s="13"/>
      <c r="S69" s="13"/>
      <c r="T69" s="13"/>
      <c r="U69" s="13"/>
    </row>
    <row r="70" spans="1:21">
      <c r="A70" s="13"/>
      <c r="B70" s="46" t="s">
        <v>672</v>
      </c>
      <c r="C70" s="46">
        <v>207.95</v>
      </c>
      <c r="D70" s="49">
        <v>1.9599999999999999E-2</v>
      </c>
      <c r="E70" s="13"/>
      <c r="F70" s="13"/>
      <c r="G70" s="13"/>
      <c r="H70" s="46" t="s">
        <v>672</v>
      </c>
      <c r="I70" s="48">
        <v>15850.2</v>
      </c>
      <c r="J70" s="49">
        <v>1.1000000000000001E-3</v>
      </c>
      <c r="K70" s="13"/>
      <c r="L70" s="13"/>
      <c r="M70" s="13"/>
      <c r="N70" s="13"/>
      <c r="O70" s="13"/>
      <c r="P70" s="13"/>
      <c r="Q70" s="13"/>
      <c r="R70" s="13"/>
      <c r="S70" s="13"/>
      <c r="T70" s="13"/>
      <c r="U70" s="13"/>
    </row>
    <row r="71" spans="1:21">
      <c r="A71" s="13"/>
      <c r="B71" s="46" t="s">
        <v>673</v>
      </c>
      <c r="C71" s="46">
        <v>203.95</v>
      </c>
      <c r="D71" s="49">
        <v>-3.1300000000000001E-2</v>
      </c>
      <c r="E71" s="13"/>
      <c r="F71" s="13"/>
      <c r="G71" s="13"/>
      <c r="H71" s="46" t="s">
        <v>673</v>
      </c>
      <c r="I71" s="48">
        <v>15832.05</v>
      </c>
      <c r="J71" s="49">
        <v>8.5000000000000006E-3</v>
      </c>
      <c r="K71" s="13"/>
      <c r="L71" s="13"/>
      <c r="M71" s="13"/>
      <c r="N71" s="13"/>
      <c r="O71" s="13"/>
      <c r="P71" s="13"/>
      <c r="Q71" s="13"/>
      <c r="R71" s="13"/>
      <c r="S71" s="13"/>
      <c r="T71" s="13"/>
      <c r="U71" s="13"/>
    </row>
    <row r="72" spans="1:21">
      <c r="A72" s="13"/>
      <c r="B72" s="46" t="s">
        <v>674</v>
      </c>
      <c r="C72" s="46">
        <v>210.55</v>
      </c>
      <c r="D72" s="49">
        <v>2.2200000000000001E-2</v>
      </c>
      <c r="E72" s="13"/>
      <c r="F72" s="13"/>
      <c r="G72" s="13"/>
      <c r="H72" s="46" t="s">
        <v>674</v>
      </c>
      <c r="I72" s="48">
        <v>15699.25</v>
      </c>
      <c r="J72" s="49">
        <v>9.1999999999999998E-3</v>
      </c>
      <c r="K72" s="13"/>
      <c r="L72" s="13"/>
      <c r="M72" s="13"/>
      <c r="N72" s="13"/>
      <c r="O72" s="13"/>
      <c r="P72" s="13"/>
      <c r="Q72" s="13"/>
      <c r="R72" s="13"/>
      <c r="S72" s="13"/>
      <c r="T72" s="13"/>
      <c r="U72" s="13"/>
    </row>
    <row r="73" spans="1:21">
      <c r="A73" s="13"/>
      <c r="B73" s="46" t="s">
        <v>675</v>
      </c>
      <c r="C73" s="46">
        <v>205.97</v>
      </c>
      <c r="D73" s="49">
        <v>5.8500000000000003E-2</v>
      </c>
      <c r="E73" s="13"/>
      <c r="F73" s="13"/>
      <c r="G73" s="13"/>
      <c r="H73" s="46" t="s">
        <v>675</v>
      </c>
      <c r="I73" s="48">
        <v>15556.65</v>
      </c>
      <c r="J73" s="49">
        <v>9.2999999999999992E-3</v>
      </c>
      <c r="K73" s="13"/>
      <c r="L73" s="13"/>
      <c r="M73" s="13"/>
      <c r="N73" s="13"/>
      <c r="O73" s="13"/>
      <c r="P73" s="13"/>
      <c r="Q73" s="13"/>
      <c r="R73" s="13"/>
      <c r="S73" s="13"/>
      <c r="T73" s="13"/>
      <c r="U73" s="13"/>
    </row>
    <row r="74" spans="1:21">
      <c r="A74" s="13"/>
      <c r="B74" s="46" t="s">
        <v>676</v>
      </c>
      <c r="C74" s="46">
        <v>194.58</v>
      </c>
      <c r="D74" s="49">
        <v>2.2100000000000002E-2</v>
      </c>
      <c r="E74" s="13"/>
      <c r="F74" s="13"/>
      <c r="G74" s="13"/>
      <c r="H74" s="46" t="s">
        <v>676</v>
      </c>
      <c r="I74" s="48">
        <v>15413.3</v>
      </c>
      <c r="J74" s="49">
        <v>-1.44E-2</v>
      </c>
      <c r="K74" s="13"/>
      <c r="L74" s="13"/>
      <c r="M74" s="13"/>
      <c r="N74" s="13"/>
      <c r="O74" s="13"/>
      <c r="P74" s="13"/>
      <c r="Q74" s="13"/>
      <c r="R74" s="13"/>
      <c r="S74" s="13"/>
      <c r="T74" s="13"/>
      <c r="U74" s="13"/>
    </row>
    <row r="75" spans="1:21">
      <c r="A75" s="13"/>
      <c r="B75" s="46" t="s">
        <v>677</v>
      </c>
      <c r="C75" s="46">
        <v>190.38</v>
      </c>
      <c r="D75" s="49">
        <v>-3.0999999999999999E-3</v>
      </c>
      <c r="E75" s="13"/>
      <c r="F75" s="13"/>
      <c r="G75" s="13"/>
      <c r="H75" s="46" t="s">
        <v>677</v>
      </c>
      <c r="I75" s="48">
        <v>15638.8</v>
      </c>
      <c r="J75" s="49">
        <v>1.8800000000000001E-2</v>
      </c>
      <c r="K75" s="13"/>
      <c r="L75" s="13"/>
      <c r="M75" s="13"/>
      <c r="N75" s="13"/>
      <c r="O75" s="13"/>
      <c r="P75" s="13"/>
      <c r="Q75" s="13"/>
      <c r="R75" s="13"/>
      <c r="S75" s="13"/>
      <c r="T75" s="13"/>
      <c r="U75" s="13"/>
    </row>
    <row r="76" spans="1:21">
      <c r="A76" s="13"/>
      <c r="B76" s="46" t="s">
        <v>678</v>
      </c>
      <c r="C76" s="46">
        <v>190.97</v>
      </c>
      <c r="D76" s="49">
        <v>4.8999999999999998E-3</v>
      </c>
      <c r="E76" s="13"/>
      <c r="F76" s="13"/>
      <c r="G76" s="13"/>
      <c r="H76" s="46" t="s">
        <v>678</v>
      </c>
      <c r="I76" s="48">
        <v>15350.15</v>
      </c>
      <c r="J76" s="49">
        <v>3.7000000000000002E-3</v>
      </c>
      <c r="K76" s="13"/>
      <c r="L76" s="13"/>
      <c r="M76" s="13"/>
      <c r="N76" s="13"/>
      <c r="O76" s="13"/>
      <c r="P76" s="13"/>
      <c r="Q76" s="13"/>
      <c r="R76" s="13"/>
      <c r="S76" s="13"/>
      <c r="T76" s="13"/>
      <c r="U76" s="13"/>
    </row>
    <row r="77" spans="1:21">
      <c r="A77" s="13"/>
      <c r="B77" s="46" t="s">
        <v>679</v>
      </c>
      <c r="C77" s="46">
        <v>190.04</v>
      </c>
      <c r="D77" s="49">
        <v>-1.8499999999999999E-2</v>
      </c>
      <c r="E77" s="13"/>
      <c r="F77" s="13"/>
      <c r="G77" s="13"/>
      <c r="H77" s="46" t="s">
        <v>679</v>
      </c>
      <c r="I77" s="48">
        <v>15293.5</v>
      </c>
      <c r="J77" s="49">
        <v>-4.4000000000000003E-3</v>
      </c>
      <c r="K77" s="13"/>
      <c r="L77" s="13"/>
      <c r="M77" s="13"/>
      <c r="N77" s="13"/>
      <c r="O77" s="13"/>
      <c r="P77" s="13"/>
      <c r="Q77" s="13"/>
      <c r="R77" s="13"/>
      <c r="S77" s="13"/>
      <c r="T77" s="13"/>
      <c r="U77" s="13"/>
    </row>
    <row r="78" spans="1:21">
      <c r="A78" s="13"/>
      <c r="B78" s="46" t="s">
        <v>680</v>
      </c>
      <c r="C78" s="46">
        <v>193.62</v>
      </c>
      <c r="D78" s="49">
        <v>-2.5000000000000001E-3</v>
      </c>
      <c r="E78" s="13"/>
      <c r="F78" s="13"/>
      <c r="G78" s="13"/>
      <c r="H78" s="46" t="s">
        <v>680</v>
      </c>
      <c r="I78" s="48">
        <v>15360.6</v>
      </c>
      <c r="J78" s="49">
        <v>-2.1100000000000001E-2</v>
      </c>
      <c r="K78" s="13"/>
      <c r="L78" s="13"/>
      <c r="M78" s="13"/>
      <c r="N78" s="13"/>
      <c r="O78" s="13"/>
      <c r="P78" s="13"/>
      <c r="Q78" s="13"/>
      <c r="R78" s="13"/>
      <c r="S78" s="13"/>
      <c r="T78" s="13"/>
      <c r="U78" s="13"/>
    </row>
    <row r="79" spans="1:21">
      <c r="A79" s="13"/>
      <c r="B79" s="46" t="s">
        <v>681</v>
      </c>
      <c r="C79" s="46">
        <v>194.11</v>
      </c>
      <c r="D79" s="49">
        <v>7.3000000000000001E-3</v>
      </c>
      <c r="E79" s="13"/>
      <c r="F79" s="13"/>
      <c r="G79" s="13"/>
      <c r="H79" s="46" t="s">
        <v>681</v>
      </c>
      <c r="I79" s="48">
        <v>15692.15</v>
      </c>
      <c r="J79" s="49">
        <v>-2.5000000000000001E-3</v>
      </c>
      <c r="K79" s="13"/>
      <c r="L79" s="13"/>
      <c r="M79" s="13"/>
      <c r="N79" s="13"/>
      <c r="O79" s="13"/>
      <c r="P79" s="13"/>
      <c r="Q79" s="13"/>
      <c r="R79" s="13"/>
      <c r="S79" s="13"/>
      <c r="T79" s="13"/>
      <c r="U79" s="13"/>
    </row>
    <row r="80" spans="1:21">
      <c r="A80" s="13"/>
      <c r="B80" s="46" t="s">
        <v>682</v>
      </c>
      <c r="C80" s="46">
        <v>192.71</v>
      </c>
      <c r="D80" s="49">
        <v>-1.24E-2</v>
      </c>
      <c r="E80" s="13"/>
      <c r="F80" s="13"/>
      <c r="G80" s="13"/>
      <c r="H80" s="46" t="s">
        <v>682</v>
      </c>
      <c r="I80" s="48">
        <v>15732.1</v>
      </c>
      <c r="J80" s="49">
        <v>-2.7000000000000001E-3</v>
      </c>
      <c r="K80" s="13"/>
      <c r="L80" s="13"/>
      <c r="M80" s="13"/>
      <c r="N80" s="13"/>
      <c r="O80" s="13"/>
      <c r="P80" s="13"/>
      <c r="Q80" s="13"/>
      <c r="R80" s="13"/>
      <c r="S80" s="13"/>
      <c r="T80" s="13"/>
      <c r="U80" s="13"/>
    </row>
    <row r="81" spans="1:21">
      <c r="A81" s="13"/>
      <c r="B81" s="46" t="s">
        <v>683</v>
      </c>
      <c r="C81" s="46">
        <v>195.12</v>
      </c>
      <c r="D81" s="49">
        <v>-3.3799999999999997E-2</v>
      </c>
      <c r="E81" s="13"/>
      <c r="F81" s="13"/>
      <c r="G81" s="13"/>
      <c r="H81" s="46" t="s">
        <v>683</v>
      </c>
      <c r="I81" s="48">
        <v>15774.4</v>
      </c>
      <c r="J81" s="49">
        <v>-2.64E-2</v>
      </c>
      <c r="K81" s="13"/>
      <c r="L81" s="13"/>
      <c r="M81" s="13"/>
      <c r="N81" s="13"/>
      <c r="O81" s="13"/>
      <c r="P81" s="13"/>
      <c r="Q81" s="13"/>
      <c r="R81" s="13"/>
      <c r="S81" s="13"/>
      <c r="T81" s="13"/>
      <c r="U81" s="13"/>
    </row>
    <row r="82" spans="1:21">
      <c r="A82" s="13"/>
      <c r="B82" s="47">
        <v>44840</v>
      </c>
      <c r="C82" s="46">
        <v>201.95</v>
      </c>
      <c r="D82" s="49">
        <v>3.0599999999999999E-2</v>
      </c>
      <c r="E82" s="13"/>
      <c r="F82" s="13"/>
      <c r="G82" s="13"/>
      <c r="H82" s="47">
        <v>44840</v>
      </c>
      <c r="I82" s="48">
        <v>16201.8</v>
      </c>
      <c r="J82" s="49">
        <v>-1.6799999999999999E-2</v>
      </c>
      <c r="K82" s="13"/>
      <c r="L82" s="13"/>
      <c r="M82" s="13"/>
      <c r="N82" s="13"/>
      <c r="O82" s="13"/>
      <c r="P82" s="13"/>
      <c r="Q82" s="13"/>
      <c r="R82" s="13"/>
      <c r="S82" s="13"/>
      <c r="T82" s="13"/>
      <c r="U82" s="13"/>
    </row>
    <row r="83" spans="1:21">
      <c r="A83" s="13"/>
      <c r="B83" s="47">
        <v>44810</v>
      </c>
      <c r="C83" s="46">
        <v>195.96</v>
      </c>
      <c r="D83" s="49">
        <v>4.7699999999999999E-2</v>
      </c>
      <c r="E83" s="13"/>
      <c r="F83" s="13"/>
      <c r="G83" s="13"/>
      <c r="H83" s="47">
        <v>44810</v>
      </c>
      <c r="I83" s="48">
        <v>16478.099999999999</v>
      </c>
      <c r="J83" s="49">
        <v>7.4000000000000003E-3</v>
      </c>
      <c r="K83" s="13"/>
      <c r="L83" s="13"/>
      <c r="M83" s="13"/>
      <c r="N83" s="13"/>
      <c r="O83" s="13"/>
      <c r="P83" s="13"/>
      <c r="Q83" s="13"/>
      <c r="R83" s="13"/>
      <c r="S83" s="13"/>
      <c r="T83" s="13"/>
      <c r="U83" s="13"/>
    </row>
    <row r="84" spans="1:21">
      <c r="A84" s="13"/>
      <c r="B84" s="47">
        <v>44779</v>
      </c>
      <c r="C84" s="46">
        <v>187.04</v>
      </c>
      <c r="D84" s="49">
        <v>-2.7300000000000001E-2</v>
      </c>
      <c r="E84" s="13"/>
      <c r="F84" s="13"/>
      <c r="G84" s="13"/>
      <c r="H84" s="47">
        <v>44779</v>
      </c>
      <c r="I84" s="48">
        <v>16356.25</v>
      </c>
      <c r="J84" s="49">
        <v>-3.7000000000000002E-3</v>
      </c>
      <c r="K84" s="13"/>
      <c r="L84" s="13"/>
      <c r="M84" s="13"/>
      <c r="N84" s="13"/>
      <c r="O84" s="13"/>
      <c r="P84" s="13"/>
      <c r="Q84" s="13"/>
      <c r="R84" s="13"/>
      <c r="S84" s="13"/>
      <c r="T84" s="13"/>
      <c r="U84" s="13"/>
    </row>
    <row r="85" spans="1:21">
      <c r="A85" s="13"/>
      <c r="B85" s="47">
        <v>44748</v>
      </c>
      <c r="C85" s="46">
        <v>192.28</v>
      </c>
      <c r="D85" s="49">
        <v>-1.7399999999999999E-2</v>
      </c>
      <c r="E85" s="13"/>
      <c r="F85" s="13"/>
      <c r="G85" s="13"/>
      <c r="H85" s="47">
        <v>44748</v>
      </c>
      <c r="I85" s="48">
        <v>16416.349999999999</v>
      </c>
      <c r="J85" s="49">
        <v>-9.1999999999999998E-3</v>
      </c>
      <c r="K85" s="13"/>
      <c r="L85" s="13"/>
      <c r="M85" s="13"/>
      <c r="N85" s="13"/>
      <c r="O85" s="13"/>
      <c r="P85" s="13"/>
      <c r="Q85" s="13"/>
      <c r="R85" s="13"/>
      <c r="S85" s="13"/>
      <c r="T85" s="13"/>
      <c r="U85" s="13"/>
    </row>
    <row r="86" spans="1:21">
      <c r="A86" s="13"/>
      <c r="B86" s="47">
        <v>44718</v>
      </c>
      <c r="C86" s="46">
        <v>195.68</v>
      </c>
      <c r="D86" s="49">
        <v>-2.1499999999999998E-2</v>
      </c>
      <c r="E86" s="13"/>
      <c r="F86" s="13"/>
      <c r="G86" s="13"/>
      <c r="H86" s="47">
        <v>44718</v>
      </c>
      <c r="I86" s="48">
        <v>16569.55</v>
      </c>
      <c r="J86" s="49">
        <v>-8.9999999999999998E-4</v>
      </c>
      <c r="K86" s="13"/>
      <c r="L86" s="13"/>
      <c r="M86" s="13"/>
      <c r="N86" s="13"/>
      <c r="O86" s="13"/>
      <c r="P86" s="13"/>
      <c r="Q86" s="13"/>
      <c r="R86" s="13"/>
      <c r="S86" s="13"/>
      <c r="T86" s="13"/>
      <c r="U86" s="13"/>
    </row>
    <row r="87" spans="1:21">
      <c r="A87" s="13"/>
      <c r="B87" s="47">
        <v>44626</v>
      </c>
      <c r="C87" s="46">
        <v>199.97</v>
      </c>
      <c r="D87" s="49">
        <v>-5.0000000000000001E-4</v>
      </c>
      <c r="E87" s="13"/>
      <c r="F87" s="13"/>
      <c r="G87" s="13"/>
      <c r="H87" s="47">
        <v>44626</v>
      </c>
      <c r="I87" s="48">
        <v>16584.3</v>
      </c>
      <c r="J87" s="49">
        <v>-2.5999999999999999E-3</v>
      </c>
      <c r="K87" s="13"/>
      <c r="L87" s="13"/>
      <c r="M87" s="13"/>
      <c r="N87" s="13"/>
      <c r="O87" s="13"/>
      <c r="P87" s="13"/>
      <c r="Q87" s="13"/>
      <c r="R87" s="13"/>
      <c r="S87" s="13"/>
      <c r="T87" s="13"/>
      <c r="U87" s="13"/>
    </row>
    <row r="88" spans="1:21">
      <c r="A88" s="13"/>
      <c r="B88" s="47">
        <v>44598</v>
      </c>
      <c r="C88" s="46">
        <v>200.08</v>
      </c>
      <c r="D88" s="49">
        <v>-1.34E-2</v>
      </c>
      <c r="E88" s="13"/>
      <c r="F88" s="13"/>
      <c r="G88" s="13"/>
      <c r="H88" s="47">
        <v>44598</v>
      </c>
      <c r="I88" s="48">
        <v>16628</v>
      </c>
      <c r="J88" s="49">
        <v>6.4000000000000003E-3</v>
      </c>
      <c r="K88" s="13"/>
      <c r="L88" s="13"/>
      <c r="M88" s="13"/>
      <c r="N88" s="13"/>
      <c r="O88" s="13"/>
      <c r="P88" s="13"/>
      <c r="Q88" s="13"/>
      <c r="R88" s="13"/>
      <c r="S88" s="13"/>
      <c r="T88" s="13"/>
      <c r="U88" s="13"/>
    </row>
    <row r="89" spans="1:21">
      <c r="A89" s="13"/>
      <c r="B89" s="47">
        <v>44567</v>
      </c>
      <c r="C89" s="46">
        <v>202.79</v>
      </c>
      <c r="D89" s="49">
        <v>-4.8099999999999997E-2</v>
      </c>
      <c r="E89" s="13"/>
      <c r="F89" s="13"/>
      <c r="G89" s="13"/>
      <c r="H89" s="47">
        <v>44567</v>
      </c>
      <c r="I89" s="48">
        <v>16522.75</v>
      </c>
      <c r="J89" s="49">
        <v>-3.7000000000000002E-3</v>
      </c>
      <c r="K89" s="13"/>
      <c r="L89" s="13"/>
      <c r="M89" s="13"/>
      <c r="N89" s="13"/>
      <c r="O89" s="13"/>
      <c r="P89" s="13"/>
      <c r="Q89" s="13"/>
      <c r="R89" s="13"/>
      <c r="S89" s="13"/>
      <c r="T89" s="13"/>
      <c r="U89" s="13"/>
    </row>
    <row r="90" spans="1:21">
      <c r="A90" s="13"/>
      <c r="B90" s="46" t="s">
        <v>684</v>
      </c>
      <c r="C90" s="46">
        <v>213.03</v>
      </c>
      <c r="D90" s="49">
        <v>-3.7900000000000003E-2</v>
      </c>
      <c r="E90" s="13"/>
      <c r="F90" s="13"/>
      <c r="G90" s="13"/>
      <c r="H90" s="46" t="s">
        <v>684</v>
      </c>
      <c r="I90" s="48">
        <v>16584.55</v>
      </c>
      <c r="J90" s="49">
        <v>-4.5999999999999999E-3</v>
      </c>
      <c r="K90" s="13"/>
      <c r="L90" s="13"/>
      <c r="M90" s="13"/>
      <c r="N90" s="13"/>
      <c r="O90" s="13"/>
      <c r="P90" s="13"/>
      <c r="Q90" s="13"/>
      <c r="R90" s="13"/>
      <c r="S90" s="13"/>
      <c r="T90" s="13"/>
      <c r="U90" s="13"/>
    </row>
    <row r="91" spans="1:21">
      <c r="A91" s="13"/>
      <c r="B91" s="46" t="s">
        <v>685</v>
      </c>
      <c r="C91" s="46">
        <v>221.42</v>
      </c>
      <c r="D91" s="49">
        <v>5.3499999999999999E-2</v>
      </c>
      <c r="E91" s="13"/>
      <c r="F91" s="13"/>
      <c r="G91" s="13"/>
      <c r="H91" s="46" t="s">
        <v>685</v>
      </c>
      <c r="I91" s="48">
        <v>16661.400000000001</v>
      </c>
      <c r="J91" s="49">
        <v>1.89E-2</v>
      </c>
      <c r="K91" s="13"/>
      <c r="L91" s="13"/>
      <c r="M91" s="13"/>
      <c r="N91" s="13"/>
      <c r="O91" s="13"/>
      <c r="P91" s="13"/>
      <c r="Q91" s="13"/>
      <c r="R91" s="13"/>
      <c r="S91" s="13"/>
      <c r="T91" s="13"/>
      <c r="U91" s="13"/>
    </row>
    <row r="92" spans="1:21">
      <c r="A92" s="13"/>
      <c r="B92" s="46" t="s">
        <v>686</v>
      </c>
      <c r="C92" s="46">
        <v>210.18</v>
      </c>
      <c r="D92" s="49">
        <v>3.3500000000000002E-2</v>
      </c>
      <c r="E92" s="13"/>
      <c r="F92" s="13"/>
      <c r="G92" s="13"/>
      <c r="H92" s="46" t="s">
        <v>686</v>
      </c>
      <c r="I92" s="48">
        <v>16352.45</v>
      </c>
      <c r="J92" s="49">
        <v>1.1299999999999999E-2</v>
      </c>
      <c r="K92" s="13"/>
      <c r="L92" s="13"/>
      <c r="M92" s="13"/>
      <c r="N92" s="13"/>
      <c r="O92" s="13"/>
      <c r="P92" s="13"/>
      <c r="Q92" s="13"/>
      <c r="R92" s="13"/>
      <c r="S92" s="13"/>
      <c r="T92" s="13"/>
      <c r="U92" s="13"/>
    </row>
    <row r="93" spans="1:21">
      <c r="A93" s="13"/>
      <c r="B93" s="46" t="s">
        <v>687</v>
      </c>
      <c r="C93" s="46">
        <v>203.36</v>
      </c>
      <c r="D93" s="49">
        <v>3.5200000000000002E-2</v>
      </c>
      <c r="E93" s="13"/>
      <c r="F93" s="13"/>
      <c r="G93" s="13"/>
      <c r="H93" s="46" t="s">
        <v>687</v>
      </c>
      <c r="I93" s="48">
        <v>16170.15</v>
      </c>
      <c r="J93" s="49">
        <v>8.9999999999999993E-3</v>
      </c>
      <c r="K93" s="13"/>
      <c r="L93" s="13"/>
      <c r="M93" s="13"/>
      <c r="N93" s="13"/>
      <c r="O93" s="13"/>
      <c r="P93" s="13"/>
      <c r="Q93" s="13"/>
      <c r="R93" s="13"/>
      <c r="S93" s="13"/>
      <c r="T93" s="13"/>
      <c r="U93" s="13"/>
    </row>
    <row r="94" spans="1:21">
      <c r="A94" s="13"/>
      <c r="B94" s="46" t="s">
        <v>688</v>
      </c>
      <c r="C94" s="46">
        <v>196.44</v>
      </c>
      <c r="D94" s="49">
        <v>-1.6299999999999999E-2</v>
      </c>
      <c r="E94" s="13"/>
      <c r="F94" s="13"/>
      <c r="G94" s="13"/>
      <c r="H94" s="46" t="s">
        <v>688</v>
      </c>
      <c r="I94" s="48">
        <v>16025.8</v>
      </c>
      <c r="J94" s="49">
        <v>-6.1999999999999998E-3</v>
      </c>
      <c r="K94" s="13"/>
      <c r="L94" s="13"/>
      <c r="M94" s="13"/>
      <c r="N94" s="13"/>
      <c r="O94" s="13"/>
      <c r="P94" s="13"/>
      <c r="Q94" s="13"/>
      <c r="R94" s="13"/>
      <c r="S94" s="13"/>
      <c r="T94" s="13"/>
      <c r="U94" s="13"/>
    </row>
    <row r="95" spans="1:21">
      <c r="A95" s="13"/>
      <c r="B95" s="46" t="s">
        <v>689</v>
      </c>
      <c r="C95" s="46">
        <v>199.69</v>
      </c>
      <c r="D95" s="49">
        <v>-3.5499999999999997E-2</v>
      </c>
      <c r="E95" s="13"/>
      <c r="F95" s="13"/>
      <c r="G95" s="13"/>
      <c r="H95" s="46" t="s">
        <v>689</v>
      </c>
      <c r="I95" s="48">
        <v>16125.15</v>
      </c>
      <c r="J95" s="49">
        <v>-5.4999999999999997E-3</v>
      </c>
      <c r="K95" s="13"/>
      <c r="L95" s="13"/>
      <c r="M95" s="13"/>
      <c r="N95" s="13"/>
      <c r="O95" s="13"/>
      <c r="P95" s="13"/>
      <c r="Q95" s="13"/>
      <c r="R95" s="13"/>
      <c r="S95" s="13"/>
      <c r="T95" s="13"/>
      <c r="U95" s="13"/>
    </row>
    <row r="96" spans="1:21">
      <c r="A96" s="13"/>
      <c r="B96" s="46" t="s">
        <v>690</v>
      </c>
      <c r="C96" s="46">
        <v>207.05</v>
      </c>
      <c r="D96" s="49">
        <v>-2.5000000000000001E-2</v>
      </c>
      <c r="E96" s="13"/>
      <c r="F96" s="13"/>
      <c r="G96" s="13"/>
      <c r="H96" s="46" t="s">
        <v>690</v>
      </c>
      <c r="I96" s="48">
        <v>16214.7</v>
      </c>
      <c r="J96" s="49">
        <v>-3.2000000000000002E-3</v>
      </c>
      <c r="K96" s="13"/>
      <c r="L96" s="13"/>
      <c r="M96" s="13"/>
      <c r="N96" s="13"/>
      <c r="O96" s="13"/>
      <c r="P96" s="13"/>
      <c r="Q96" s="13"/>
      <c r="R96" s="13"/>
      <c r="S96" s="13"/>
      <c r="T96" s="13"/>
      <c r="U96" s="13"/>
    </row>
    <row r="97" spans="1:21">
      <c r="A97" s="13"/>
      <c r="B97" s="46" t="s">
        <v>691</v>
      </c>
      <c r="C97" s="46">
        <v>212.36</v>
      </c>
      <c r="D97" s="49">
        <v>2.46E-2</v>
      </c>
      <c r="E97" s="13"/>
      <c r="F97" s="13"/>
      <c r="G97" s="13"/>
      <c r="H97" s="46" t="s">
        <v>691</v>
      </c>
      <c r="I97" s="48">
        <v>16266.15</v>
      </c>
      <c r="J97" s="49">
        <v>2.8899999999999999E-2</v>
      </c>
      <c r="K97" s="13"/>
      <c r="L97" s="13"/>
      <c r="M97" s="13"/>
      <c r="N97" s="13"/>
      <c r="O97" s="13"/>
      <c r="P97" s="13"/>
      <c r="Q97" s="13"/>
      <c r="R97" s="13"/>
      <c r="S97" s="13"/>
      <c r="T97" s="13"/>
      <c r="U97" s="13"/>
    </row>
    <row r="98" spans="1:21">
      <c r="A98" s="13"/>
      <c r="B98" s="46" t="s">
        <v>692</v>
      </c>
      <c r="C98" s="46">
        <v>207.27</v>
      </c>
      <c r="D98" s="49">
        <v>-3.2800000000000003E-2</v>
      </c>
      <c r="E98" s="13"/>
      <c r="F98" s="13"/>
      <c r="G98" s="13"/>
      <c r="H98" s="46" t="s">
        <v>692</v>
      </c>
      <c r="I98" s="48">
        <v>15809.4</v>
      </c>
      <c r="J98" s="49">
        <v>-2.6499999999999999E-2</v>
      </c>
      <c r="K98" s="13"/>
      <c r="L98" s="13"/>
      <c r="M98" s="13"/>
      <c r="N98" s="13"/>
      <c r="O98" s="13"/>
      <c r="P98" s="13"/>
      <c r="Q98" s="13"/>
      <c r="R98" s="13"/>
      <c r="S98" s="13"/>
      <c r="T98" s="13"/>
      <c r="U98" s="13"/>
    </row>
    <row r="99" spans="1:21">
      <c r="A99" s="13"/>
      <c r="B99" s="46" t="s">
        <v>693</v>
      </c>
      <c r="C99" s="46">
        <v>214.3</v>
      </c>
      <c r="D99" s="49">
        <v>-3.49E-2</v>
      </c>
      <c r="E99" s="13"/>
      <c r="F99" s="13"/>
      <c r="G99" s="13"/>
      <c r="H99" s="46" t="s">
        <v>693</v>
      </c>
      <c r="I99" s="48">
        <v>16240.3</v>
      </c>
      <c r="J99" s="49">
        <v>-1.1999999999999999E-3</v>
      </c>
      <c r="K99" s="13"/>
      <c r="L99" s="13"/>
      <c r="M99" s="13"/>
      <c r="N99" s="13"/>
      <c r="O99" s="13"/>
      <c r="P99" s="13"/>
      <c r="Q99" s="13"/>
      <c r="R99" s="13"/>
      <c r="S99" s="13"/>
      <c r="T99" s="13"/>
      <c r="U99" s="13"/>
    </row>
    <row r="100" spans="1:21">
      <c r="A100" s="13"/>
      <c r="B100" s="46" t="s">
        <v>694</v>
      </c>
      <c r="C100" s="46">
        <v>222.04</v>
      </c>
      <c r="D100" s="49">
        <v>2.5399999999999999E-2</v>
      </c>
      <c r="E100" s="13"/>
      <c r="F100" s="13"/>
      <c r="G100" s="13"/>
      <c r="H100" s="46" t="s">
        <v>694</v>
      </c>
      <c r="I100" s="48">
        <v>16259.3</v>
      </c>
      <c r="J100" s="49">
        <v>2.63E-2</v>
      </c>
      <c r="K100" s="13"/>
      <c r="L100" s="13"/>
      <c r="M100" s="13"/>
      <c r="N100" s="13"/>
      <c r="O100" s="13"/>
      <c r="P100" s="13"/>
      <c r="Q100" s="13"/>
      <c r="R100" s="13"/>
      <c r="S100" s="13"/>
      <c r="T100" s="13"/>
      <c r="U100" s="13"/>
    </row>
    <row r="101" spans="1:21">
      <c r="A101" s="13"/>
      <c r="B101" s="46" t="s">
        <v>695</v>
      </c>
      <c r="C101" s="46">
        <v>216.53</v>
      </c>
      <c r="D101" s="49">
        <v>7.3899999999999993E-2</v>
      </c>
      <c r="E101" s="13"/>
      <c r="F101" s="13"/>
      <c r="G101" s="13"/>
      <c r="H101" s="46" t="s">
        <v>695</v>
      </c>
      <c r="I101" s="48">
        <v>15842.3</v>
      </c>
      <c r="J101" s="49">
        <v>3.8E-3</v>
      </c>
      <c r="K101" s="13"/>
      <c r="L101" s="13"/>
      <c r="M101" s="13"/>
      <c r="N101" s="13"/>
      <c r="O101" s="13"/>
      <c r="P101" s="13"/>
      <c r="Q101" s="13"/>
      <c r="R101" s="13"/>
      <c r="S101" s="13"/>
      <c r="T101" s="13"/>
      <c r="U101" s="13"/>
    </row>
    <row r="102" spans="1:21">
      <c r="A102" s="13"/>
      <c r="B102" s="46" t="s">
        <v>696</v>
      </c>
      <c r="C102" s="46">
        <v>201.63</v>
      </c>
      <c r="D102" s="49">
        <v>-3.2300000000000002E-2</v>
      </c>
      <c r="E102" s="13"/>
      <c r="F102" s="13"/>
      <c r="G102" s="13"/>
      <c r="H102" s="46" t="s">
        <v>696</v>
      </c>
      <c r="I102" s="48">
        <v>15782.15</v>
      </c>
      <c r="J102" s="49">
        <v>-1.6000000000000001E-3</v>
      </c>
      <c r="K102" s="13"/>
      <c r="L102" s="13"/>
      <c r="M102" s="13"/>
      <c r="N102" s="13"/>
      <c r="O102" s="13"/>
      <c r="P102" s="13"/>
      <c r="Q102" s="13"/>
      <c r="R102" s="13"/>
      <c r="S102" s="13"/>
      <c r="T102" s="13"/>
      <c r="U102" s="13"/>
    </row>
    <row r="103" spans="1:21">
      <c r="A103" s="13"/>
      <c r="B103" s="47">
        <v>44900</v>
      </c>
      <c r="C103" s="46">
        <v>208.36</v>
      </c>
      <c r="D103" s="49">
        <v>-4.8500000000000001E-2</v>
      </c>
      <c r="E103" s="13"/>
      <c r="F103" s="13"/>
      <c r="G103" s="13"/>
      <c r="H103" s="47">
        <v>44900</v>
      </c>
      <c r="I103" s="48">
        <v>15808</v>
      </c>
      <c r="J103" s="49">
        <v>-2.2200000000000001E-2</v>
      </c>
      <c r="K103" s="13"/>
      <c r="L103" s="13"/>
      <c r="M103" s="13"/>
      <c r="N103" s="13"/>
      <c r="O103" s="13"/>
      <c r="P103" s="13"/>
      <c r="Q103" s="13"/>
      <c r="R103" s="13"/>
      <c r="S103" s="13"/>
      <c r="T103" s="13"/>
      <c r="U103" s="13"/>
    </row>
    <row r="104" spans="1:21">
      <c r="A104" s="13"/>
      <c r="B104" s="47">
        <v>44870</v>
      </c>
      <c r="C104" s="46">
        <v>218.99</v>
      </c>
      <c r="D104" s="49">
        <v>6.4999999999999997E-3</v>
      </c>
      <c r="E104" s="13"/>
      <c r="F104" s="13"/>
      <c r="G104" s="13"/>
      <c r="H104" s="47">
        <v>44870</v>
      </c>
      <c r="I104" s="48">
        <v>16167.1</v>
      </c>
      <c r="J104" s="49">
        <v>-4.4999999999999997E-3</v>
      </c>
      <c r="K104" s="13"/>
      <c r="L104" s="13"/>
      <c r="M104" s="13"/>
      <c r="N104" s="13"/>
      <c r="O104" s="13"/>
      <c r="P104" s="13"/>
      <c r="Q104" s="13"/>
      <c r="R104" s="13"/>
      <c r="S104" s="13"/>
      <c r="T104" s="13"/>
      <c r="U104" s="13"/>
    </row>
    <row r="105" spans="1:21">
      <c r="A105" s="13"/>
      <c r="B105" s="47">
        <v>44839</v>
      </c>
      <c r="C105" s="46">
        <v>217.58</v>
      </c>
      <c r="D105" s="49">
        <v>-4.7199999999999999E-2</v>
      </c>
      <c r="E105" s="13"/>
      <c r="F105" s="13"/>
      <c r="G105" s="13"/>
      <c r="H105" s="47">
        <v>44839</v>
      </c>
      <c r="I105" s="48">
        <v>16240.05</v>
      </c>
      <c r="J105" s="49">
        <v>-3.8E-3</v>
      </c>
      <c r="K105" s="13"/>
      <c r="L105" s="13"/>
      <c r="M105" s="13"/>
      <c r="N105" s="13"/>
      <c r="O105" s="13"/>
      <c r="P105" s="13"/>
      <c r="Q105" s="13"/>
      <c r="R105" s="13"/>
      <c r="S105" s="13"/>
      <c r="T105" s="13"/>
      <c r="U105" s="13"/>
    </row>
    <row r="106" spans="1:21">
      <c r="A106" s="13"/>
      <c r="B106" s="47">
        <v>44809</v>
      </c>
      <c r="C106" s="46">
        <v>228.37</v>
      </c>
      <c r="D106" s="49">
        <v>-4.8000000000000001E-2</v>
      </c>
      <c r="E106" s="13"/>
      <c r="F106" s="13"/>
      <c r="G106" s="13"/>
      <c r="H106" s="47">
        <v>44809</v>
      </c>
      <c r="I106" s="48">
        <v>16301.85</v>
      </c>
      <c r="J106" s="49">
        <v>-6.7000000000000002E-3</v>
      </c>
      <c r="K106" s="13"/>
      <c r="L106" s="13"/>
      <c r="M106" s="13"/>
      <c r="N106" s="13"/>
      <c r="O106" s="13"/>
      <c r="P106" s="13"/>
      <c r="Q106" s="13"/>
      <c r="R106" s="13"/>
      <c r="S106" s="13"/>
      <c r="T106" s="13"/>
      <c r="U106" s="13"/>
    </row>
    <row r="107" spans="1:21">
      <c r="A107" s="13"/>
      <c r="B107" s="47">
        <v>44717</v>
      </c>
      <c r="C107" s="46">
        <v>239.89</v>
      </c>
      <c r="D107" s="49">
        <v>-4.6899999999999997E-2</v>
      </c>
      <c r="E107" s="13"/>
      <c r="F107" s="13"/>
      <c r="G107" s="13"/>
      <c r="H107" s="47">
        <v>44717</v>
      </c>
      <c r="I107" s="48">
        <v>16411.25</v>
      </c>
      <c r="J107" s="49">
        <v>-1.6299999999999999E-2</v>
      </c>
      <c r="K107" s="13"/>
      <c r="L107" s="13"/>
      <c r="M107" s="13"/>
      <c r="N107" s="13"/>
      <c r="O107" s="13"/>
      <c r="P107" s="13"/>
      <c r="Q107" s="13"/>
      <c r="R107" s="13"/>
      <c r="S107" s="13"/>
      <c r="T107" s="13"/>
      <c r="U107" s="13"/>
    </row>
    <row r="108" spans="1:21">
      <c r="A108" s="13"/>
      <c r="B108" s="47">
        <v>44686</v>
      </c>
      <c r="C108" s="46">
        <v>251.7</v>
      </c>
      <c r="D108" s="49">
        <v>-1.46E-2</v>
      </c>
      <c r="E108" s="13"/>
      <c r="F108" s="13"/>
      <c r="G108" s="13"/>
      <c r="H108" s="47">
        <v>44686</v>
      </c>
      <c r="I108" s="48">
        <v>16682.650000000001</v>
      </c>
      <c r="J108" s="49">
        <v>2.9999999999999997E-4</v>
      </c>
      <c r="K108" s="13"/>
      <c r="L108" s="13"/>
      <c r="M108" s="13"/>
      <c r="N108" s="13"/>
      <c r="O108" s="13"/>
      <c r="P108" s="13"/>
      <c r="Q108" s="13"/>
      <c r="R108" s="13"/>
      <c r="S108" s="13"/>
      <c r="T108" s="13"/>
      <c r="U108" s="13"/>
    </row>
    <row r="109" spans="1:21">
      <c r="A109" s="13"/>
      <c r="B109" s="47">
        <v>44656</v>
      </c>
      <c r="C109" s="46">
        <v>255.44</v>
      </c>
      <c r="D109" s="49">
        <v>-2.1499999999999998E-2</v>
      </c>
      <c r="E109" s="13"/>
      <c r="F109" s="13"/>
      <c r="G109" s="13"/>
      <c r="H109" s="47">
        <v>44656</v>
      </c>
      <c r="I109" s="48">
        <v>16677.599999999999</v>
      </c>
      <c r="J109" s="49">
        <v>-2.29E-2</v>
      </c>
      <c r="K109" s="13"/>
      <c r="L109" s="13"/>
      <c r="M109" s="13"/>
      <c r="N109" s="13"/>
      <c r="O109" s="13"/>
      <c r="P109" s="13"/>
      <c r="Q109" s="13"/>
      <c r="R109" s="13"/>
      <c r="S109" s="13"/>
      <c r="T109" s="13"/>
      <c r="U109" s="13"/>
    </row>
    <row r="110" spans="1:21">
      <c r="A110" s="13"/>
      <c r="B110" s="47">
        <v>44597</v>
      </c>
      <c r="C110" s="46">
        <v>261.06</v>
      </c>
      <c r="D110" s="49">
        <v>-1.6400000000000001E-2</v>
      </c>
      <c r="E110" s="13"/>
      <c r="F110" s="13"/>
      <c r="G110" s="13"/>
      <c r="H110" s="47">
        <v>44597</v>
      </c>
      <c r="I110" s="48">
        <v>17069.099999999999</v>
      </c>
      <c r="J110" s="49">
        <v>-2E-3</v>
      </c>
      <c r="K110" s="13"/>
      <c r="L110" s="13"/>
      <c r="M110" s="13"/>
      <c r="N110" s="13"/>
      <c r="O110" s="13"/>
      <c r="P110" s="13"/>
      <c r="Q110" s="13"/>
      <c r="R110" s="13"/>
      <c r="S110" s="13"/>
      <c r="T110" s="13"/>
      <c r="U110" s="13"/>
    </row>
    <row r="111" spans="1:21">
      <c r="A111" s="13"/>
      <c r="B111" s="46" t="s">
        <v>697</v>
      </c>
      <c r="C111" s="46">
        <v>265.42</v>
      </c>
      <c r="D111" s="49">
        <v>3.0700000000000002E-2</v>
      </c>
      <c r="E111" s="13"/>
      <c r="F111" s="13"/>
      <c r="G111" s="13"/>
      <c r="H111" s="46" t="s">
        <v>697</v>
      </c>
      <c r="I111" s="48">
        <v>17102.55</v>
      </c>
      <c r="J111" s="49">
        <v>-8.3000000000000001E-3</v>
      </c>
      <c r="K111" s="13"/>
      <c r="L111" s="13"/>
      <c r="M111" s="13"/>
      <c r="N111" s="13"/>
      <c r="O111" s="13"/>
      <c r="P111" s="13"/>
      <c r="Q111" s="13"/>
      <c r="R111" s="13"/>
      <c r="S111" s="13"/>
      <c r="T111" s="13"/>
      <c r="U111" s="13"/>
    </row>
    <row r="112" spans="1:21">
      <c r="A112" s="13"/>
      <c r="B112" s="46" t="s">
        <v>698</v>
      </c>
      <c r="C112" s="46">
        <v>257.52</v>
      </c>
      <c r="D112" s="49">
        <v>3.8899999999999997E-2</v>
      </c>
      <c r="E112" s="13"/>
      <c r="F112" s="13"/>
      <c r="G112" s="13"/>
      <c r="H112" s="46" t="s">
        <v>698</v>
      </c>
      <c r="I112" s="48">
        <v>17245.05</v>
      </c>
      <c r="J112" s="49">
        <v>1.21E-2</v>
      </c>
      <c r="K112" s="13"/>
      <c r="L112" s="13"/>
      <c r="M112" s="13"/>
      <c r="N112" s="13"/>
      <c r="O112" s="13"/>
      <c r="P112" s="13"/>
      <c r="Q112" s="13"/>
      <c r="R112" s="13"/>
      <c r="S112" s="13"/>
      <c r="T112" s="13"/>
      <c r="U112" s="13"/>
    </row>
    <row r="113" spans="1:21">
      <c r="A113" s="13"/>
      <c r="B113" s="46" t="s">
        <v>699</v>
      </c>
      <c r="C113" s="46">
        <v>247.87</v>
      </c>
      <c r="D113" s="49">
        <v>-1.0800000000000001E-2</v>
      </c>
      <c r="E113" s="13"/>
      <c r="F113" s="13"/>
      <c r="G113" s="13"/>
      <c r="H113" s="46" t="s">
        <v>699</v>
      </c>
      <c r="I113" s="48">
        <v>17038.400000000001</v>
      </c>
      <c r="J113" s="49">
        <v>-9.4000000000000004E-3</v>
      </c>
      <c r="K113" s="13"/>
      <c r="L113" s="13"/>
      <c r="M113" s="13"/>
      <c r="N113" s="13"/>
      <c r="O113" s="13"/>
      <c r="P113" s="13"/>
      <c r="Q113" s="13"/>
      <c r="R113" s="13"/>
      <c r="S113" s="13"/>
      <c r="T113" s="13"/>
      <c r="U113" s="13"/>
    </row>
    <row r="114" spans="1:21">
      <c r="A114" s="13"/>
      <c r="B114" s="46" t="s">
        <v>700</v>
      </c>
      <c r="C114" s="46">
        <v>250.58</v>
      </c>
      <c r="D114" s="49">
        <v>-1.1599999999999999E-2</v>
      </c>
      <c r="E114" s="13"/>
      <c r="F114" s="13"/>
      <c r="G114" s="13"/>
      <c r="H114" s="46" t="s">
        <v>700</v>
      </c>
      <c r="I114" s="48">
        <v>17200.8</v>
      </c>
      <c r="J114" s="49">
        <v>1.46E-2</v>
      </c>
      <c r="K114" s="13"/>
      <c r="L114" s="13"/>
      <c r="M114" s="13"/>
      <c r="N114" s="13"/>
      <c r="O114" s="13"/>
      <c r="P114" s="13"/>
      <c r="Q114" s="13"/>
      <c r="R114" s="13"/>
      <c r="S114" s="13"/>
      <c r="T114" s="13"/>
      <c r="U114" s="13"/>
    </row>
    <row r="115" spans="1:21">
      <c r="A115" s="13"/>
      <c r="B115" s="46" t="s">
        <v>701</v>
      </c>
      <c r="C115" s="46">
        <v>253.51</v>
      </c>
      <c r="D115" s="49">
        <v>3.3999999999999998E-3</v>
      </c>
      <c r="E115" s="13"/>
      <c r="F115" s="13"/>
      <c r="G115" s="13"/>
      <c r="H115" s="46" t="s">
        <v>701</v>
      </c>
      <c r="I115" s="48">
        <v>16953.95</v>
      </c>
      <c r="J115" s="49">
        <v>-1.2699999999999999E-2</v>
      </c>
      <c r="K115" s="13"/>
      <c r="L115" s="13"/>
      <c r="M115" s="13"/>
      <c r="N115" s="13"/>
      <c r="O115" s="13"/>
      <c r="P115" s="13"/>
      <c r="Q115" s="13"/>
      <c r="R115" s="13"/>
      <c r="S115" s="13"/>
      <c r="T115" s="13"/>
      <c r="U115" s="13"/>
    </row>
    <row r="116" spans="1:21">
      <c r="A116" s="13"/>
      <c r="B116" s="46" t="s">
        <v>702</v>
      </c>
      <c r="C116" s="46">
        <v>252.66</v>
      </c>
      <c r="D116" s="49">
        <v>6.1000000000000004E-3</v>
      </c>
      <c r="E116" s="13"/>
      <c r="F116" s="13"/>
      <c r="G116" s="13"/>
      <c r="H116" s="46" t="s">
        <v>702</v>
      </c>
      <c r="I116" s="48">
        <v>17171.95</v>
      </c>
      <c r="J116" s="49">
        <v>-1.2699999999999999E-2</v>
      </c>
      <c r="K116" s="13"/>
      <c r="L116" s="13"/>
      <c r="M116" s="13"/>
      <c r="N116" s="13"/>
      <c r="O116" s="13"/>
      <c r="P116" s="13"/>
      <c r="Q116" s="13"/>
      <c r="R116" s="13"/>
      <c r="S116" s="13"/>
      <c r="T116" s="13"/>
      <c r="U116" s="13"/>
    </row>
    <row r="117" spans="1:21">
      <c r="A117" s="13"/>
      <c r="B117" s="46" t="s">
        <v>703</v>
      </c>
      <c r="C117" s="46">
        <v>251.12</v>
      </c>
      <c r="D117" s="49">
        <v>1.2999999999999999E-2</v>
      </c>
      <c r="E117" s="13"/>
      <c r="F117" s="13"/>
      <c r="G117" s="13"/>
      <c r="H117" s="46" t="s">
        <v>703</v>
      </c>
      <c r="I117" s="48">
        <v>17392.599999999999</v>
      </c>
      <c r="J117" s="49">
        <v>1.49E-2</v>
      </c>
      <c r="K117" s="13"/>
      <c r="L117" s="13"/>
      <c r="M117" s="13"/>
      <c r="N117" s="13"/>
      <c r="O117" s="13"/>
      <c r="P117" s="13"/>
      <c r="Q117" s="13"/>
      <c r="R117" s="13"/>
      <c r="S117" s="13"/>
      <c r="T117" s="13"/>
      <c r="U117" s="13"/>
    </row>
    <row r="118" spans="1:21">
      <c r="A118" s="13"/>
      <c r="B118" s="46" t="s">
        <v>704</v>
      </c>
      <c r="C118" s="46">
        <v>247.89</v>
      </c>
      <c r="D118" s="49">
        <v>3.0000000000000001E-3</v>
      </c>
      <c r="E118" s="13"/>
      <c r="F118" s="13"/>
      <c r="G118" s="13"/>
      <c r="H118" s="46" t="s">
        <v>704</v>
      </c>
      <c r="I118" s="48">
        <v>17136.55</v>
      </c>
      <c r="J118" s="49">
        <v>1.0500000000000001E-2</v>
      </c>
      <c r="K118" s="13"/>
      <c r="L118" s="13"/>
      <c r="M118" s="13"/>
      <c r="N118" s="13"/>
      <c r="O118" s="13"/>
      <c r="P118" s="13"/>
      <c r="Q118" s="13"/>
      <c r="R118" s="13"/>
      <c r="S118" s="13"/>
      <c r="T118" s="13"/>
      <c r="U118" s="13"/>
    </row>
    <row r="119" spans="1:21">
      <c r="A119" s="13"/>
      <c r="B119" s="46" t="s">
        <v>705</v>
      </c>
      <c r="C119" s="46">
        <v>247.14</v>
      </c>
      <c r="D119" s="49">
        <v>-1.3100000000000001E-2</v>
      </c>
      <c r="E119" s="13"/>
      <c r="F119" s="13"/>
      <c r="G119" s="13"/>
      <c r="H119" s="46" t="s">
        <v>705</v>
      </c>
      <c r="I119" s="48">
        <v>16958.650000000001</v>
      </c>
      <c r="J119" s="49">
        <v>-1.2500000000000001E-2</v>
      </c>
      <c r="K119" s="13"/>
      <c r="L119" s="13"/>
      <c r="M119" s="13"/>
      <c r="N119" s="13"/>
      <c r="O119" s="13"/>
      <c r="P119" s="13"/>
      <c r="Q119" s="13"/>
      <c r="R119" s="13"/>
      <c r="S119" s="13"/>
      <c r="T119" s="13"/>
      <c r="U119" s="13"/>
    </row>
    <row r="120" spans="1:21">
      <c r="A120" s="13"/>
      <c r="B120" s="46" t="s">
        <v>706</v>
      </c>
      <c r="C120" s="46">
        <v>250.43</v>
      </c>
      <c r="D120" s="49">
        <v>-1.4999999999999999E-2</v>
      </c>
      <c r="E120" s="13"/>
      <c r="F120" s="13"/>
      <c r="G120" s="13"/>
      <c r="H120" s="46" t="s">
        <v>706</v>
      </c>
      <c r="I120" s="48">
        <v>17173.650000000001</v>
      </c>
      <c r="J120" s="49">
        <v>-1.7299999999999999E-2</v>
      </c>
      <c r="K120" s="13"/>
      <c r="L120" s="13"/>
      <c r="M120" s="13"/>
      <c r="N120" s="13"/>
      <c r="O120" s="13"/>
      <c r="P120" s="13"/>
      <c r="Q120" s="13"/>
      <c r="R120" s="13"/>
      <c r="S120" s="13"/>
      <c r="T120" s="13"/>
      <c r="U120" s="13"/>
    </row>
    <row r="121" spans="1:21">
      <c r="A121" s="13"/>
      <c r="B121" s="46" t="s">
        <v>707</v>
      </c>
      <c r="C121" s="46">
        <v>254.25</v>
      </c>
      <c r="D121" s="49">
        <v>1.5599999999999999E-2</v>
      </c>
      <c r="E121" s="13"/>
      <c r="F121" s="13"/>
      <c r="G121" s="13"/>
      <c r="H121" s="46" t="s">
        <v>707</v>
      </c>
      <c r="I121" s="48">
        <v>17475.650000000001</v>
      </c>
      <c r="J121" s="49">
        <v>-3.0999999999999999E-3</v>
      </c>
      <c r="K121" s="13"/>
      <c r="L121" s="13"/>
      <c r="M121" s="13"/>
      <c r="N121" s="13"/>
      <c r="O121" s="13"/>
      <c r="P121" s="13"/>
      <c r="Q121" s="13"/>
      <c r="R121" s="13"/>
      <c r="S121" s="13"/>
      <c r="T121" s="13"/>
      <c r="U121" s="13"/>
    </row>
    <row r="122" spans="1:21">
      <c r="A122" s="13"/>
      <c r="B122" s="47">
        <v>44899</v>
      </c>
      <c r="C122" s="46">
        <v>250.34</v>
      </c>
      <c r="D122" s="49">
        <v>-3.39E-2</v>
      </c>
      <c r="E122" s="13"/>
      <c r="F122" s="13"/>
      <c r="G122" s="13"/>
      <c r="H122" s="47">
        <v>44899</v>
      </c>
      <c r="I122" s="48">
        <v>17530.3</v>
      </c>
      <c r="J122" s="49">
        <v>-8.2000000000000007E-3</v>
      </c>
      <c r="K122" s="13"/>
      <c r="L122" s="13"/>
      <c r="M122" s="13"/>
      <c r="N122" s="13"/>
      <c r="O122" s="13"/>
      <c r="P122" s="13"/>
      <c r="Q122" s="13"/>
      <c r="R122" s="13"/>
      <c r="S122" s="13"/>
      <c r="T122" s="13"/>
      <c r="U122" s="13"/>
    </row>
    <row r="123" spans="1:21">
      <c r="A123" s="13"/>
      <c r="B123" s="47">
        <v>44869</v>
      </c>
      <c r="C123" s="46">
        <v>259.12</v>
      </c>
      <c r="D123" s="49">
        <v>-4.2700000000000002E-2</v>
      </c>
      <c r="E123" s="13"/>
      <c r="F123" s="13"/>
      <c r="G123" s="13"/>
      <c r="H123" s="47">
        <v>44869</v>
      </c>
      <c r="I123" s="48">
        <v>17674.95</v>
      </c>
      <c r="J123" s="49">
        <v>-6.1999999999999998E-3</v>
      </c>
      <c r="K123" s="13"/>
      <c r="L123" s="13"/>
      <c r="M123" s="13"/>
      <c r="N123" s="13"/>
      <c r="O123" s="13"/>
      <c r="P123" s="13"/>
      <c r="Q123" s="13"/>
      <c r="R123" s="13"/>
      <c r="S123" s="13"/>
      <c r="T123" s="13"/>
      <c r="U123" s="13"/>
    </row>
    <row r="124" spans="1:21">
      <c r="A124" s="13"/>
      <c r="B124" s="47">
        <v>44777</v>
      </c>
      <c r="C124" s="46">
        <v>270.67</v>
      </c>
      <c r="D124" s="49">
        <v>-8.9999999999999993E-3</v>
      </c>
      <c r="E124" s="13"/>
      <c r="F124" s="13"/>
      <c r="G124" s="13"/>
      <c r="H124" s="47">
        <v>44777</v>
      </c>
      <c r="I124" s="48">
        <v>17784.349999999999</v>
      </c>
      <c r="J124" s="49">
        <v>8.2000000000000007E-3</v>
      </c>
      <c r="K124" s="13"/>
      <c r="L124" s="13"/>
      <c r="M124" s="13"/>
      <c r="N124" s="13"/>
      <c r="O124" s="13"/>
      <c r="P124" s="13"/>
      <c r="Q124" s="13"/>
      <c r="R124" s="13"/>
      <c r="S124" s="13"/>
      <c r="T124" s="13"/>
      <c r="U124" s="13"/>
    </row>
    <row r="125" spans="1:21">
      <c r="A125" s="13"/>
      <c r="B125" s="47">
        <v>44746</v>
      </c>
      <c r="C125" s="46">
        <v>273.14</v>
      </c>
      <c r="D125" s="49">
        <v>-2.52E-2</v>
      </c>
      <c r="E125" s="13"/>
      <c r="F125" s="13"/>
      <c r="G125" s="13"/>
      <c r="H125" s="47">
        <v>44746</v>
      </c>
      <c r="I125" s="48">
        <v>17639.55</v>
      </c>
      <c r="J125" s="49">
        <v>-9.4000000000000004E-3</v>
      </c>
      <c r="K125" s="13"/>
      <c r="L125" s="13"/>
      <c r="M125" s="13"/>
      <c r="N125" s="13"/>
      <c r="O125" s="13"/>
      <c r="P125" s="13"/>
      <c r="Q125" s="13"/>
      <c r="R125" s="13"/>
      <c r="S125" s="13"/>
      <c r="T125" s="13"/>
      <c r="U125" s="13"/>
    </row>
    <row r="126" spans="1:21">
      <c r="A126" s="13"/>
      <c r="B126" s="47">
        <v>44716</v>
      </c>
      <c r="C126" s="46">
        <v>280.19</v>
      </c>
      <c r="D126" s="49">
        <v>-1.3100000000000001E-2</v>
      </c>
      <c r="E126" s="13"/>
      <c r="F126" s="13"/>
      <c r="G126" s="13"/>
      <c r="H126" s="47">
        <v>44716</v>
      </c>
      <c r="I126" s="48">
        <v>17807.650000000001</v>
      </c>
      <c r="J126" s="49">
        <v>-8.3000000000000001E-3</v>
      </c>
      <c r="K126" s="13"/>
      <c r="L126" s="13"/>
      <c r="M126" s="13"/>
      <c r="N126" s="13"/>
      <c r="O126" s="13"/>
      <c r="P126" s="13"/>
      <c r="Q126" s="13"/>
      <c r="R126" s="13"/>
      <c r="S126" s="13"/>
      <c r="T126" s="13"/>
      <c r="U126" s="13"/>
    </row>
    <row r="127" spans="1:21">
      <c r="A127" s="13"/>
      <c r="B127" s="47">
        <v>44685</v>
      </c>
      <c r="C127" s="46">
        <v>283.89999999999998</v>
      </c>
      <c r="D127" s="49">
        <v>4.7000000000000002E-3</v>
      </c>
      <c r="E127" s="13"/>
      <c r="F127" s="13"/>
      <c r="G127" s="13"/>
      <c r="H127" s="47">
        <v>44685</v>
      </c>
      <c r="I127" s="48">
        <v>17957.400000000001</v>
      </c>
      <c r="J127" s="49">
        <v>-5.3E-3</v>
      </c>
      <c r="K127" s="13"/>
      <c r="L127" s="13"/>
      <c r="M127" s="13"/>
      <c r="N127" s="13"/>
      <c r="O127" s="13"/>
      <c r="P127" s="13"/>
      <c r="Q127" s="13"/>
      <c r="R127" s="13"/>
      <c r="S127" s="13"/>
      <c r="T127" s="13"/>
      <c r="U127" s="13"/>
    </row>
    <row r="128" spans="1:21">
      <c r="A128" s="13"/>
      <c r="B128" s="47">
        <v>44655</v>
      </c>
      <c r="C128" s="46">
        <v>282.56</v>
      </c>
      <c r="D128" s="49">
        <v>-2.18E-2</v>
      </c>
      <c r="E128" s="13"/>
      <c r="F128" s="13"/>
      <c r="G128" s="13"/>
      <c r="H128" s="47">
        <v>44655</v>
      </c>
      <c r="I128" s="48">
        <v>18053.400000000001</v>
      </c>
      <c r="J128" s="49">
        <v>2.1700000000000001E-2</v>
      </c>
      <c r="K128" s="13"/>
      <c r="L128" s="13"/>
      <c r="M128" s="13"/>
      <c r="N128" s="13"/>
      <c r="O128" s="13"/>
      <c r="P128" s="13"/>
      <c r="Q128" s="13"/>
      <c r="R128" s="13"/>
      <c r="S128" s="13"/>
      <c r="T128" s="13"/>
      <c r="U128" s="13"/>
    </row>
    <row r="129" spans="1:21">
      <c r="A129" s="13"/>
      <c r="B129" s="47">
        <v>44565</v>
      </c>
      <c r="C129" s="46">
        <v>288.85000000000002</v>
      </c>
      <c r="D129" s="49">
        <v>-2.2200000000000001E-2</v>
      </c>
      <c r="E129" s="13"/>
      <c r="F129" s="13"/>
      <c r="G129" s="13"/>
      <c r="H129" s="47">
        <v>44565</v>
      </c>
      <c r="I129" s="48">
        <v>17670.45</v>
      </c>
      <c r="J129" s="49">
        <v>1.18E-2</v>
      </c>
      <c r="K129" s="13"/>
      <c r="L129" s="13"/>
      <c r="M129" s="13"/>
      <c r="N129" s="13"/>
      <c r="O129" s="13"/>
      <c r="P129" s="13"/>
      <c r="Q129" s="13"/>
      <c r="R129" s="13"/>
      <c r="S129" s="13"/>
      <c r="T129" s="13"/>
      <c r="U129" s="13"/>
    </row>
    <row r="130" spans="1:21">
      <c r="A130" s="13"/>
      <c r="B130" s="46" t="s">
        <v>708</v>
      </c>
      <c r="C130" s="46">
        <v>295.41000000000003</v>
      </c>
      <c r="D130" s="49">
        <v>3.5999999999999997E-2</v>
      </c>
      <c r="E130" s="13"/>
      <c r="F130" s="13"/>
      <c r="G130" s="13"/>
      <c r="H130" s="46" t="s">
        <v>708</v>
      </c>
      <c r="I130" s="48">
        <v>17464.75</v>
      </c>
      <c r="J130" s="49">
        <v>-1.9E-3</v>
      </c>
      <c r="K130" s="13"/>
      <c r="L130" s="13"/>
      <c r="M130" s="13"/>
      <c r="N130" s="13"/>
      <c r="O130" s="13"/>
      <c r="P130" s="13"/>
      <c r="Q130" s="13"/>
      <c r="R130" s="13"/>
      <c r="S130" s="13"/>
      <c r="T130" s="13"/>
      <c r="U130" s="13"/>
    </row>
    <row r="131" spans="1:21">
      <c r="A131" s="13"/>
      <c r="B131" s="46" t="s">
        <v>710</v>
      </c>
      <c r="C131" s="46">
        <v>285.14999999999998</v>
      </c>
      <c r="D131" s="49">
        <v>1.46E-2</v>
      </c>
      <c r="E131" s="13"/>
      <c r="F131" s="13"/>
      <c r="G131" s="13"/>
      <c r="H131" s="46" t="s">
        <v>710</v>
      </c>
      <c r="I131" s="48">
        <v>17498.25</v>
      </c>
      <c r="J131" s="49">
        <v>0.01</v>
      </c>
      <c r="K131" s="13"/>
      <c r="L131" s="13"/>
      <c r="M131" s="13"/>
      <c r="N131" s="13"/>
      <c r="O131" s="13"/>
      <c r="P131" s="13"/>
      <c r="Q131" s="13"/>
      <c r="R131" s="13"/>
      <c r="S131" s="13"/>
      <c r="T131" s="13"/>
      <c r="U131" s="13"/>
    </row>
    <row r="132" spans="1:21">
      <c r="A132" s="13"/>
      <c r="B132" s="46" t="s">
        <v>712</v>
      </c>
      <c r="C132" s="46">
        <v>281.05</v>
      </c>
      <c r="D132" s="49">
        <v>5.4199999999999998E-2</v>
      </c>
      <c r="E132" s="13"/>
      <c r="F132" s="13"/>
      <c r="G132" s="13"/>
      <c r="H132" s="46" t="s">
        <v>712</v>
      </c>
      <c r="I132" s="48">
        <v>17325.3</v>
      </c>
      <c r="J132" s="49">
        <v>6.0000000000000001E-3</v>
      </c>
      <c r="K132" s="13"/>
      <c r="L132" s="13"/>
      <c r="M132" s="13"/>
      <c r="N132" s="13"/>
      <c r="O132" s="13"/>
      <c r="P132" s="13"/>
      <c r="Q132" s="13"/>
      <c r="R132" s="13"/>
      <c r="S132" s="13"/>
      <c r="T132" s="13"/>
      <c r="U132" s="13"/>
    </row>
    <row r="133" spans="1:21">
      <c r="A133" s="13"/>
      <c r="B133" s="46" t="s">
        <v>714</v>
      </c>
      <c r="C133" s="46">
        <v>266.60000000000002</v>
      </c>
      <c r="D133" s="49">
        <v>1.84E-2</v>
      </c>
      <c r="E133" s="13"/>
      <c r="F133" s="13"/>
      <c r="G133" s="13"/>
      <c r="H133" s="46" t="s">
        <v>714</v>
      </c>
      <c r="I133" s="48">
        <v>17222</v>
      </c>
      <c r="J133" s="49">
        <v>4.0000000000000001E-3</v>
      </c>
      <c r="K133" s="13"/>
      <c r="L133" s="13"/>
      <c r="M133" s="13"/>
      <c r="N133" s="13"/>
      <c r="O133" s="13"/>
      <c r="P133" s="13"/>
      <c r="Q133" s="13"/>
      <c r="R133" s="13"/>
      <c r="S133" s="13"/>
      <c r="T133" s="13"/>
      <c r="U133" s="13"/>
    </row>
    <row r="134" spans="1:21">
      <c r="A134" s="13"/>
      <c r="B134" s="46" t="s">
        <v>715</v>
      </c>
      <c r="C134" s="46">
        <v>261.77999999999997</v>
      </c>
      <c r="D134" s="49">
        <v>6.8999999999999999E-3</v>
      </c>
      <c r="E134" s="13"/>
      <c r="F134" s="13"/>
      <c r="G134" s="13"/>
      <c r="H134" s="46" t="s">
        <v>715</v>
      </c>
      <c r="I134" s="48">
        <v>17153</v>
      </c>
      <c r="J134" s="49">
        <v>-4.0000000000000001E-3</v>
      </c>
      <c r="K134" s="13"/>
      <c r="L134" s="13"/>
      <c r="M134" s="13"/>
      <c r="N134" s="13"/>
      <c r="O134" s="13"/>
      <c r="P134" s="13"/>
      <c r="Q134" s="13"/>
      <c r="R134" s="13"/>
      <c r="S134" s="13"/>
      <c r="T134" s="13"/>
      <c r="U134" s="13"/>
    </row>
    <row r="135" spans="1:21">
      <c r="A135" s="13"/>
      <c r="B135" s="46" t="s">
        <v>717</v>
      </c>
      <c r="C135" s="46">
        <v>259.98</v>
      </c>
      <c r="D135" s="49">
        <v>-1.5900000000000001E-2</v>
      </c>
      <c r="E135" s="13"/>
      <c r="F135" s="13"/>
      <c r="G135" s="13"/>
      <c r="H135" s="46" t="s">
        <v>717</v>
      </c>
      <c r="I135" s="48">
        <v>17222.75</v>
      </c>
      <c r="J135" s="49">
        <v>-1.2999999999999999E-3</v>
      </c>
      <c r="K135" s="13"/>
      <c r="L135" s="13"/>
      <c r="M135" s="13"/>
      <c r="N135" s="13"/>
      <c r="O135" s="13"/>
      <c r="P135" s="13"/>
      <c r="Q135" s="13"/>
      <c r="R135" s="13"/>
      <c r="S135" s="13"/>
      <c r="T135" s="13"/>
      <c r="U135" s="13"/>
    </row>
    <row r="136" spans="1:21">
      <c r="A136" s="13"/>
      <c r="B136" s="46" t="s">
        <v>719</v>
      </c>
      <c r="C136" s="46">
        <v>264.17</v>
      </c>
      <c r="D136" s="49">
        <v>-3.6600000000000001E-2</v>
      </c>
      <c r="E136" s="13"/>
      <c r="F136" s="13"/>
      <c r="G136" s="13"/>
      <c r="H136" s="46" t="s">
        <v>719</v>
      </c>
      <c r="I136" s="48">
        <v>17245.650000000001</v>
      </c>
      <c r="J136" s="49">
        <v>-4.0000000000000001E-3</v>
      </c>
      <c r="K136" s="13"/>
      <c r="L136" s="13"/>
      <c r="M136" s="13"/>
      <c r="N136" s="13"/>
      <c r="O136" s="13"/>
      <c r="P136" s="13"/>
      <c r="Q136" s="13"/>
      <c r="R136" s="13"/>
      <c r="S136" s="13"/>
      <c r="T136" s="13"/>
      <c r="U136" s="13"/>
    </row>
    <row r="137" spans="1:21">
      <c r="A137" s="13"/>
      <c r="B137" s="46" t="s">
        <v>721</v>
      </c>
      <c r="C137" s="46">
        <v>274.2</v>
      </c>
      <c r="D137" s="49">
        <v>6.2399999999999997E-2</v>
      </c>
      <c r="E137" s="13"/>
      <c r="F137" s="13"/>
      <c r="G137" s="13"/>
      <c r="H137" s="46" t="s">
        <v>721</v>
      </c>
      <c r="I137" s="48">
        <v>17315.5</v>
      </c>
      <c r="J137" s="49">
        <v>1.1599999999999999E-2</v>
      </c>
      <c r="K137" s="13"/>
      <c r="L137" s="13"/>
      <c r="M137" s="13"/>
      <c r="N137" s="13"/>
      <c r="O137" s="13"/>
      <c r="P137" s="13"/>
      <c r="Q137" s="13"/>
      <c r="R137" s="13"/>
      <c r="S137" s="13"/>
      <c r="T137" s="13"/>
      <c r="U137" s="13"/>
    </row>
    <row r="138" spans="1:21">
      <c r="A138" s="13"/>
      <c r="B138" s="46" t="s">
        <v>722</v>
      </c>
      <c r="C138" s="46">
        <v>258.10000000000002</v>
      </c>
      <c r="D138" s="49">
        <v>1.0200000000000001E-2</v>
      </c>
      <c r="E138" s="13"/>
      <c r="F138" s="13"/>
      <c r="G138" s="13"/>
      <c r="H138" s="46" t="s">
        <v>722</v>
      </c>
      <c r="I138" s="48">
        <v>17117.599999999999</v>
      </c>
      <c r="J138" s="49">
        <v>-9.7999999999999997E-3</v>
      </c>
      <c r="K138" s="13"/>
      <c r="L138" s="13"/>
      <c r="M138" s="13"/>
      <c r="N138" s="13"/>
      <c r="O138" s="13"/>
      <c r="P138" s="13"/>
      <c r="Q138" s="13"/>
      <c r="R138" s="13"/>
      <c r="S138" s="13"/>
      <c r="T138" s="13"/>
      <c r="U138" s="13"/>
    </row>
    <row r="139" spans="1:21">
      <c r="A139" s="13"/>
      <c r="B139" s="46" t="s">
        <v>724</v>
      </c>
      <c r="C139" s="46">
        <v>255.5</v>
      </c>
      <c r="D139" s="49">
        <v>2.29E-2</v>
      </c>
      <c r="E139" s="13"/>
      <c r="F139" s="13"/>
      <c r="G139" s="13"/>
      <c r="H139" s="46" t="s">
        <v>724</v>
      </c>
      <c r="I139" s="48">
        <v>17287.05</v>
      </c>
      <c r="J139" s="49">
        <v>1.84E-2</v>
      </c>
      <c r="K139" s="13"/>
      <c r="L139" s="13"/>
      <c r="M139" s="13"/>
      <c r="N139" s="13"/>
      <c r="O139" s="13"/>
      <c r="P139" s="13"/>
      <c r="Q139" s="13"/>
      <c r="R139" s="13"/>
      <c r="S139" s="13"/>
      <c r="T139" s="13"/>
      <c r="U139" s="13"/>
    </row>
    <row r="140" spans="1:21">
      <c r="A140" s="13"/>
      <c r="B140" s="46" t="s">
        <v>726</v>
      </c>
      <c r="C140" s="46">
        <v>249.77</v>
      </c>
      <c r="D140" s="49">
        <v>1.21E-2</v>
      </c>
      <c r="E140" s="13"/>
      <c r="F140" s="13"/>
      <c r="G140" s="13"/>
      <c r="H140" s="46" t="s">
        <v>726</v>
      </c>
      <c r="I140" s="48">
        <v>16975.349999999999</v>
      </c>
      <c r="J140" s="49">
        <v>1.8700000000000001E-2</v>
      </c>
      <c r="K140" s="13"/>
      <c r="L140" s="13"/>
      <c r="M140" s="13"/>
      <c r="N140" s="13"/>
      <c r="O140" s="13"/>
      <c r="P140" s="13"/>
      <c r="Q140" s="13"/>
      <c r="R140" s="13"/>
      <c r="S140" s="13"/>
      <c r="T140" s="13"/>
      <c r="U140" s="13"/>
    </row>
    <row r="141" spans="1:21">
      <c r="A141" s="13"/>
      <c r="B141" s="46" t="s">
        <v>728</v>
      </c>
      <c r="C141" s="46">
        <v>246.79</v>
      </c>
      <c r="D141" s="49">
        <v>-4.1099999999999998E-2</v>
      </c>
      <c r="E141" s="13"/>
      <c r="F141" s="13"/>
      <c r="G141" s="13"/>
      <c r="H141" s="46" t="s">
        <v>728</v>
      </c>
      <c r="I141" s="48">
        <v>16663</v>
      </c>
      <c r="J141" s="49">
        <v>-1.23E-2</v>
      </c>
      <c r="K141" s="13"/>
      <c r="L141" s="13"/>
      <c r="M141" s="13"/>
      <c r="N141" s="13"/>
      <c r="O141" s="13"/>
      <c r="P141" s="13"/>
      <c r="Q141" s="13"/>
      <c r="R141" s="13"/>
      <c r="S141" s="13"/>
      <c r="T141" s="13"/>
      <c r="U141" s="13"/>
    </row>
    <row r="142" spans="1:21">
      <c r="A142" s="13"/>
      <c r="B142" s="46" t="s">
        <v>729</v>
      </c>
      <c r="C142" s="46">
        <v>257.36</v>
      </c>
      <c r="D142" s="49">
        <v>1.1299999999999999E-2</v>
      </c>
      <c r="E142" s="13"/>
      <c r="F142" s="13"/>
      <c r="G142" s="13"/>
      <c r="H142" s="46" t="s">
        <v>729</v>
      </c>
      <c r="I142" s="48">
        <v>16871.3</v>
      </c>
      <c r="J142" s="49">
        <v>1.4500000000000001E-2</v>
      </c>
      <c r="K142" s="13"/>
      <c r="L142" s="13"/>
      <c r="M142" s="13"/>
      <c r="N142" s="13"/>
      <c r="O142" s="13"/>
      <c r="P142" s="13"/>
      <c r="Q142" s="13"/>
      <c r="R142" s="13"/>
      <c r="S142" s="13"/>
      <c r="T142" s="13"/>
      <c r="U142" s="13"/>
    </row>
    <row r="143" spans="1:21">
      <c r="A143" s="13"/>
      <c r="B143" s="47">
        <v>44868</v>
      </c>
      <c r="C143" s="46">
        <v>254.48</v>
      </c>
      <c r="D143" s="49">
        <v>8.2000000000000007E-3</v>
      </c>
      <c r="E143" s="13"/>
      <c r="F143" s="13"/>
      <c r="G143" s="13"/>
      <c r="H143" s="47">
        <v>44868</v>
      </c>
      <c r="I143" s="48">
        <v>16630.45</v>
      </c>
      <c r="J143" s="49">
        <v>2.0999999999999999E-3</v>
      </c>
      <c r="K143" s="13"/>
      <c r="L143" s="13"/>
      <c r="M143" s="13"/>
      <c r="N143" s="13"/>
      <c r="O143" s="13"/>
      <c r="P143" s="13"/>
      <c r="Q143" s="13"/>
      <c r="R143" s="13"/>
      <c r="S143" s="13"/>
      <c r="T143" s="13"/>
      <c r="U143" s="13"/>
    </row>
    <row r="144" spans="1:21">
      <c r="A144" s="13"/>
      <c r="B144" s="47">
        <v>44837</v>
      </c>
      <c r="C144" s="46">
        <v>252.41</v>
      </c>
      <c r="D144" s="49">
        <v>2.0999999999999999E-3</v>
      </c>
      <c r="E144" s="13"/>
      <c r="F144" s="13"/>
      <c r="G144" s="13"/>
      <c r="H144" s="47">
        <v>44837</v>
      </c>
      <c r="I144" s="48">
        <v>16594.900000000001</v>
      </c>
      <c r="J144" s="49">
        <v>1.5299999999999999E-2</v>
      </c>
      <c r="K144" s="13"/>
      <c r="L144" s="13"/>
      <c r="M144" s="13"/>
      <c r="N144" s="13"/>
      <c r="O144" s="13"/>
      <c r="P144" s="13"/>
      <c r="Q144" s="13"/>
      <c r="R144" s="13"/>
      <c r="S144" s="13"/>
      <c r="T144" s="13"/>
      <c r="U144" s="13"/>
    </row>
    <row r="145" spans="1:21">
      <c r="A145" s="13"/>
      <c r="B145" s="47">
        <v>44807</v>
      </c>
      <c r="C145" s="46">
        <v>251.89</v>
      </c>
      <c r="D145" s="49">
        <v>5.5300000000000002E-2</v>
      </c>
      <c r="E145" s="13"/>
      <c r="F145" s="13"/>
      <c r="G145" s="13"/>
      <c r="H145" s="47">
        <v>44807</v>
      </c>
      <c r="I145" s="48">
        <v>16345.35</v>
      </c>
      <c r="J145" s="49">
        <v>2.07E-2</v>
      </c>
      <c r="K145" s="13"/>
      <c r="L145" s="13"/>
      <c r="M145" s="13"/>
      <c r="N145" s="13"/>
      <c r="O145" s="13"/>
      <c r="P145" s="13"/>
      <c r="Q145" s="13"/>
      <c r="R145" s="13"/>
      <c r="S145" s="13"/>
      <c r="T145" s="13"/>
      <c r="U145" s="13"/>
    </row>
    <row r="146" spans="1:21">
      <c r="A146" s="13"/>
      <c r="B146" s="47">
        <v>44776</v>
      </c>
      <c r="C146" s="46">
        <v>238.68</v>
      </c>
      <c r="D146" s="49">
        <v>3.0000000000000001E-3</v>
      </c>
      <c r="E146" s="13"/>
      <c r="F146" s="13"/>
      <c r="G146" s="13"/>
      <c r="H146" s="47">
        <v>44776</v>
      </c>
      <c r="I146" s="48">
        <v>16013.45</v>
      </c>
      <c r="J146" s="49">
        <v>9.4999999999999998E-3</v>
      </c>
      <c r="K146" s="13"/>
      <c r="L146" s="13"/>
      <c r="M146" s="13"/>
      <c r="N146" s="13"/>
      <c r="O146" s="13"/>
      <c r="P146" s="13"/>
      <c r="Q146" s="13"/>
      <c r="R146" s="13"/>
      <c r="S146" s="13"/>
      <c r="T146" s="13"/>
      <c r="U146" s="13"/>
    </row>
    <row r="147" spans="1:21">
      <c r="A147" s="13"/>
      <c r="B147" s="47">
        <v>44745</v>
      </c>
      <c r="C147" s="46">
        <v>237.97</v>
      </c>
      <c r="D147" s="49">
        <v>-4.0899999999999999E-2</v>
      </c>
      <c r="E147" s="13"/>
      <c r="F147" s="13"/>
      <c r="G147" s="13"/>
      <c r="H147" s="47">
        <v>44745</v>
      </c>
      <c r="I147" s="48">
        <v>15863.15</v>
      </c>
      <c r="J147" s="49">
        <v>-2.35E-2</v>
      </c>
      <c r="K147" s="13"/>
      <c r="L147" s="13"/>
      <c r="M147" s="13"/>
      <c r="N147" s="13"/>
      <c r="O147" s="13"/>
      <c r="P147" s="13"/>
      <c r="Q147" s="13"/>
      <c r="R147" s="13"/>
      <c r="S147" s="13"/>
      <c r="T147" s="13"/>
      <c r="U147" s="13"/>
    </row>
    <row r="148" spans="1:21">
      <c r="A148" s="13"/>
      <c r="B148" s="47">
        <v>44654</v>
      </c>
      <c r="C148" s="46">
        <v>248.13</v>
      </c>
      <c r="D148" s="49">
        <v>-1.14E-2</v>
      </c>
      <c r="E148" s="13"/>
      <c r="F148" s="13"/>
      <c r="G148" s="13"/>
      <c r="H148" s="47">
        <v>44654</v>
      </c>
      <c r="I148" s="48">
        <v>16245.35</v>
      </c>
      <c r="J148" s="49">
        <v>-1.5299999999999999E-2</v>
      </c>
      <c r="K148" s="13"/>
      <c r="L148" s="13"/>
      <c r="M148" s="13"/>
      <c r="N148" s="13"/>
      <c r="O148" s="13"/>
      <c r="P148" s="13"/>
      <c r="Q148" s="13"/>
      <c r="R148" s="13"/>
      <c r="S148" s="13"/>
      <c r="T148" s="13"/>
      <c r="U148" s="13"/>
    </row>
    <row r="149" spans="1:21">
      <c r="A149" s="13"/>
      <c r="B149" s="47">
        <v>44623</v>
      </c>
      <c r="C149" s="46">
        <v>251</v>
      </c>
      <c r="D149" s="49">
        <v>-1.67E-2</v>
      </c>
      <c r="E149" s="13"/>
      <c r="F149" s="13"/>
      <c r="G149" s="13"/>
      <c r="H149" s="47">
        <v>44623</v>
      </c>
      <c r="I149" s="48">
        <v>16498.05</v>
      </c>
      <c r="J149" s="49">
        <v>-6.4999999999999997E-3</v>
      </c>
      <c r="K149" s="13"/>
      <c r="L149" s="13"/>
      <c r="M149" s="13"/>
      <c r="N149" s="13"/>
      <c r="O149" s="13"/>
      <c r="P149" s="13"/>
      <c r="Q149" s="13"/>
      <c r="R149" s="13"/>
      <c r="S149" s="13"/>
      <c r="T149" s="13"/>
      <c r="U149" s="13"/>
    </row>
    <row r="150" spans="1:21">
      <c r="A150" s="13"/>
      <c r="B150" s="47">
        <v>44595</v>
      </c>
      <c r="C150" s="46">
        <v>255.25</v>
      </c>
      <c r="D150" s="49">
        <v>1.5E-3</v>
      </c>
      <c r="E150" s="13"/>
      <c r="F150" s="13"/>
      <c r="G150" s="13"/>
      <c r="H150" s="47">
        <v>44595</v>
      </c>
      <c r="I150" s="48">
        <v>16605.95</v>
      </c>
      <c r="J150" s="49">
        <v>-1.12E-2</v>
      </c>
      <c r="K150" s="13"/>
      <c r="L150" s="13"/>
      <c r="M150" s="13"/>
      <c r="N150" s="13"/>
      <c r="O150" s="13"/>
      <c r="P150" s="13"/>
      <c r="Q150" s="13"/>
      <c r="R150" s="13"/>
      <c r="S150" s="13"/>
      <c r="T150" s="13"/>
      <c r="U150" s="13"/>
    </row>
    <row r="151" spans="1:21">
      <c r="A151" s="13"/>
      <c r="B151" s="46" t="s">
        <v>733</v>
      </c>
      <c r="C151" s="46">
        <v>254.86</v>
      </c>
      <c r="D151" s="49">
        <v>-1.5100000000000001E-2</v>
      </c>
      <c r="E151" s="13"/>
      <c r="F151" s="13"/>
      <c r="G151" s="13"/>
      <c r="H151" s="46" t="s">
        <v>733</v>
      </c>
      <c r="I151" s="48">
        <v>16793.900000000001</v>
      </c>
      <c r="J151" s="49">
        <v>8.0999999999999996E-3</v>
      </c>
      <c r="K151" s="13"/>
      <c r="L151" s="13"/>
      <c r="M151" s="13"/>
      <c r="N151" s="13"/>
      <c r="O151" s="13"/>
      <c r="P151" s="13"/>
      <c r="Q151" s="13"/>
      <c r="R151" s="13"/>
      <c r="S151" s="13"/>
      <c r="T151" s="13"/>
      <c r="U151" s="13"/>
    </row>
    <row r="152" spans="1:21">
      <c r="A152" s="13"/>
      <c r="B152" s="46" t="s">
        <v>734</v>
      </c>
      <c r="C152" s="46">
        <v>258.77999999999997</v>
      </c>
      <c r="D152" s="49">
        <v>8.0999999999999996E-3</v>
      </c>
      <c r="E152" s="13"/>
      <c r="F152" s="13"/>
      <c r="G152" s="13"/>
      <c r="H152" s="46" t="s">
        <v>734</v>
      </c>
      <c r="I152" s="48">
        <v>16658.400000000001</v>
      </c>
      <c r="J152" s="49">
        <v>2.53E-2</v>
      </c>
      <c r="K152" s="13"/>
      <c r="L152" s="13"/>
      <c r="M152" s="13"/>
      <c r="N152" s="13"/>
      <c r="O152" s="13"/>
      <c r="P152" s="13"/>
      <c r="Q152" s="13"/>
      <c r="R152" s="13"/>
      <c r="S152" s="13"/>
      <c r="T152" s="13"/>
      <c r="U152" s="13"/>
    </row>
    <row r="153" spans="1:21">
      <c r="A153" s="13"/>
      <c r="B153" s="46" t="s">
        <v>735</v>
      </c>
      <c r="C153" s="46">
        <v>256.7</v>
      </c>
      <c r="D153" s="49">
        <v>-5.11E-2</v>
      </c>
      <c r="E153" s="13"/>
      <c r="F153" s="13"/>
      <c r="G153" s="13"/>
      <c r="H153" s="46" t="s">
        <v>735</v>
      </c>
      <c r="I153" s="48">
        <v>16247.95</v>
      </c>
      <c r="J153" s="49">
        <v>-4.7800000000000002E-2</v>
      </c>
      <c r="K153" s="13"/>
      <c r="L153" s="13"/>
      <c r="M153" s="13"/>
      <c r="N153" s="13"/>
      <c r="O153" s="13"/>
      <c r="P153" s="13"/>
      <c r="Q153" s="13"/>
      <c r="R153" s="13"/>
      <c r="S153" s="13"/>
      <c r="T153" s="13"/>
      <c r="U153" s="13"/>
    </row>
    <row r="154" spans="1:21">
      <c r="A154" s="13"/>
      <c r="B154" s="46" t="s">
        <v>736</v>
      </c>
      <c r="C154" s="46">
        <v>270.52</v>
      </c>
      <c r="D154" s="49">
        <v>3.2800000000000003E-2</v>
      </c>
      <c r="E154" s="13"/>
      <c r="F154" s="13"/>
      <c r="G154" s="13"/>
      <c r="H154" s="46" t="s">
        <v>736</v>
      </c>
      <c r="I154" s="48">
        <v>17063.25</v>
      </c>
      <c r="J154" s="49">
        <v>-1.6999999999999999E-3</v>
      </c>
      <c r="K154" s="13"/>
      <c r="L154" s="13"/>
      <c r="M154" s="13"/>
      <c r="N154" s="13"/>
      <c r="O154" s="13"/>
      <c r="P154" s="13"/>
      <c r="Q154" s="13"/>
      <c r="R154" s="13"/>
      <c r="S154" s="13"/>
      <c r="T154" s="13"/>
      <c r="U154" s="13"/>
    </row>
    <row r="155" spans="1:21">
      <c r="A155" s="13"/>
      <c r="B155" s="46" t="s">
        <v>737</v>
      </c>
      <c r="C155" s="46">
        <v>261.92</v>
      </c>
      <c r="D155" s="49">
        <v>-1.32E-2</v>
      </c>
      <c r="E155" s="13"/>
      <c r="F155" s="13"/>
      <c r="G155" s="13"/>
      <c r="H155" s="46" t="s">
        <v>737</v>
      </c>
      <c r="I155" s="48">
        <v>17092.2</v>
      </c>
      <c r="J155" s="49">
        <v>-6.7000000000000002E-3</v>
      </c>
      <c r="K155" s="13"/>
      <c r="L155" s="13"/>
      <c r="M155" s="13"/>
      <c r="N155" s="13"/>
      <c r="O155" s="13"/>
      <c r="P155" s="13"/>
      <c r="Q155" s="13"/>
      <c r="R155" s="13"/>
      <c r="S155" s="13"/>
      <c r="T155" s="13"/>
      <c r="U155" s="13"/>
    </row>
    <row r="156" spans="1:21">
      <c r="A156" s="13"/>
      <c r="B156" s="46" t="s">
        <v>738</v>
      </c>
      <c r="C156" s="46">
        <v>265.43</v>
      </c>
      <c r="D156" s="49">
        <v>-6.4600000000000005E-2</v>
      </c>
      <c r="E156" s="13"/>
      <c r="F156" s="13"/>
      <c r="G156" s="13"/>
      <c r="H156" s="46" t="s">
        <v>738</v>
      </c>
      <c r="I156" s="48">
        <v>17206.650000000001</v>
      </c>
      <c r="J156" s="49">
        <v>-4.0000000000000001E-3</v>
      </c>
      <c r="K156" s="13"/>
      <c r="L156" s="13"/>
      <c r="M156" s="13"/>
      <c r="N156" s="13"/>
      <c r="O156" s="13"/>
      <c r="P156" s="13"/>
      <c r="Q156" s="13"/>
      <c r="R156" s="13"/>
      <c r="S156" s="13"/>
      <c r="T156" s="13"/>
      <c r="U156" s="13"/>
    </row>
    <row r="157" spans="1:21">
      <c r="A157" s="13"/>
      <c r="B157" s="46" t="s">
        <v>739</v>
      </c>
      <c r="C157" s="46">
        <v>283.76</v>
      </c>
      <c r="D157" s="49">
        <v>-3.3799999999999997E-2</v>
      </c>
      <c r="E157" s="13"/>
      <c r="F157" s="13"/>
      <c r="G157" s="13"/>
      <c r="H157" s="46" t="s">
        <v>739</v>
      </c>
      <c r="I157" s="48">
        <v>17276.3</v>
      </c>
      <c r="J157" s="49">
        <v>-1.6000000000000001E-3</v>
      </c>
      <c r="K157" s="13"/>
      <c r="L157" s="13"/>
      <c r="M157" s="13"/>
      <c r="N157" s="13"/>
      <c r="O157" s="13"/>
      <c r="P157" s="13"/>
      <c r="Q157" s="13"/>
      <c r="R157" s="13"/>
      <c r="S157" s="13"/>
      <c r="T157" s="13"/>
      <c r="U157" s="13"/>
    </row>
    <row r="158" spans="1:21">
      <c r="A158" s="13"/>
      <c r="B158" s="46" t="s">
        <v>740</v>
      </c>
      <c r="C158" s="46">
        <v>293.69</v>
      </c>
      <c r="D158" s="49">
        <v>5.8999999999999999E-3</v>
      </c>
      <c r="E158" s="13"/>
      <c r="F158" s="13"/>
      <c r="G158" s="13"/>
      <c r="H158" s="46" t="s">
        <v>740</v>
      </c>
      <c r="I158" s="48">
        <v>17304.599999999999</v>
      </c>
      <c r="J158" s="49">
        <v>-1E-3</v>
      </c>
      <c r="K158" s="13"/>
      <c r="L158" s="13"/>
      <c r="M158" s="13"/>
      <c r="N158" s="13"/>
      <c r="O158" s="13"/>
      <c r="P158" s="13"/>
      <c r="Q158" s="13"/>
      <c r="R158" s="13"/>
      <c r="S158" s="13"/>
      <c r="T158" s="13"/>
      <c r="U158" s="13"/>
    </row>
    <row r="159" spans="1:21">
      <c r="A159" s="13"/>
      <c r="B159" s="46" t="s">
        <v>741</v>
      </c>
      <c r="C159" s="46">
        <v>291.95999999999998</v>
      </c>
      <c r="D159" s="49">
        <v>2.2200000000000001E-2</v>
      </c>
      <c r="E159" s="13"/>
      <c r="F159" s="13"/>
      <c r="G159" s="13"/>
      <c r="H159" s="46" t="s">
        <v>741</v>
      </c>
      <c r="I159" s="48">
        <v>17322.2</v>
      </c>
      <c r="J159" s="49">
        <v>-1.6999999999999999E-3</v>
      </c>
      <c r="K159" s="13"/>
      <c r="L159" s="13"/>
      <c r="M159" s="13"/>
      <c r="N159" s="13"/>
      <c r="O159" s="13"/>
      <c r="P159" s="13"/>
      <c r="Q159" s="13"/>
      <c r="R159" s="13"/>
      <c r="S159" s="13"/>
      <c r="T159" s="13"/>
      <c r="U159" s="13"/>
    </row>
    <row r="160" spans="1:21">
      <c r="A160" s="13"/>
      <c r="B160" s="46" t="s">
        <v>742</v>
      </c>
      <c r="C160" s="46">
        <v>285.62</v>
      </c>
      <c r="D160" s="49">
        <v>3.3E-3</v>
      </c>
      <c r="E160" s="13"/>
      <c r="F160" s="13"/>
      <c r="G160" s="13"/>
      <c r="H160" s="46" t="s">
        <v>742</v>
      </c>
      <c r="I160" s="48">
        <v>17352.45</v>
      </c>
      <c r="J160" s="49">
        <v>3.0300000000000001E-2</v>
      </c>
      <c r="K160" s="13"/>
      <c r="L160" s="13"/>
      <c r="M160" s="13"/>
      <c r="N160" s="13"/>
      <c r="O160" s="13"/>
      <c r="P160" s="13"/>
      <c r="Q160" s="13"/>
      <c r="R160" s="13"/>
      <c r="S160" s="13"/>
      <c r="T160" s="13"/>
      <c r="U160" s="13"/>
    </row>
    <row r="161" spans="1:21">
      <c r="A161" s="13"/>
      <c r="B161" s="46" t="s">
        <v>743</v>
      </c>
      <c r="C161" s="46">
        <v>284.68</v>
      </c>
      <c r="D161" s="49">
        <v>-2.1399999999999999E-2</v>
      </c>
      <c r="E161" s="13"/>
      <c r="F161" s="13"/>
      <c r="G161" s="13"/>
      <c r="H161" s="46" t="s">
        <v>743</v>
      </c>
      <c r="I161" s="48">
        <v>16842.8</v>
      </c>
      <c r="J161" s="49">
        <v>-3.0599999999999999E-2</v>
      </c>
      <c r="K161" s="13"/>
      <c r="L161" s="13"/>
      <c r="M161" s="13"/>
      <c r="N161" s="13"/>
      <c r="O161" s="13"/>
      <c r="P161" s="13"/>
      <c r="Q161" s="13"/>
      <c r="R161" s="13"/>
      <c r="S161" s="13"/>
      <c r="T161" s="13"/>
      <c r="U161" s="13"/>
    </row>
    <row r="162" spans="1:21">
      <c r="A162" s="13"/>
      <c r="B162" s="47">
        <v>44867</v>
      </c>
      <c r="C162" s="46">
        <v>290.92</v>
      </c>
      <c r="D162" s="49">
        <v>0.1206</v>
      </c>
      <c r="E162" s="13"/>
      <c r="F162" s="13"/>
      <c r="G162" s="13"/>
      <c r="H162" s="47">
        <v>44867</v>
      </c>
      <c r="I162" s="48">
        <v>17374.75</v>
      </c>
      <c r="J162" s="49">
        <v>-1.3100000000000001E-2</v>
      </c>
      <c r="K162" s="13"/>
      <c r="L162" s="13"/>
      <c r="M162" s="13"/>
      <c r="N162" s="13"/>
      <c r="O162" s="13"/>
      <c r="P162" s="13"/>
      <c r="Q162" s="13"/>
      <c r="R162" s="13"/>
      <c r="S162" s="13"/>
      <c r="T162" s="13"/>
      <c r="U162" s="13"/>
    </row>
    <row r="163" spans="1:21">
      <c r="A163" s="13"/>
      <c r="B163" s="47">
        <v>44836</v>
      </c>
      <c r="C163" s="46">
        <v>259.60000000000002</v>
      </c>
      <c r="D163" s="49">
        <v>2.2200000000000001E-2</v>
      </c>
      <c r="E163" s="13"/>
      <c r="F163" s="13"/>
      <c r="G163" s="13"/>
      <c r="H163" s="47">
        <v>44836</v>
      </c>
      <c r="I163" s="48">
        <v>17605.849999999999</v>
      </c>
      <c r="J163" s="49">
        <v>8.0999999999999996E-3</v>
      </c>
      <c r="K163" s="13"/>
      <c r="L163" s="13"/>
      <c r="M163" s="13"/>
      <c r="N163" s="13"/>
      <c r="O163" s="13"/>
      <c r="P163" s="13"/>
      <c r="Q163" s="13"/>
      <c r="R163" s="13"/>
      <c r="S163" s="13"/>
      <c r="T163" s="13"/>
      <c r="U163" s="13"/>
    </row>
    <row r="164" spans="1:21">
      <c r="A164" s="13"/>
      <c r="B164" s="47">
        <v>44806</v>
      </c>
      <c r="C164" s="46">
        <v>253.96</v>
      </c>
      <c r="D164" s="49">
        <v>8.9999999999999998E-4</v>
      </c>
      <c r="E164" s="13"/>
      <c r="F164" s="13"/>
      <c r="G164" s="13"/>
      <c r="H164" s="47">
        <v>44806</v>
      </c>
      <c r="I164" s="48">
        <v>17463.8</v>
      </c>
      <c r="J164" s="49">
        <v>1.14E-2</v>
      </c>
      <c r="K164" s="13"/>
      <c r="L164" s="13"/>
      <c r="M164" s="13"/>
      <c r="N164" s="13"/>
      <c r="O164" s="13"/>
      <c r="P164" s="13"/>
      <c r="Q164" s="13"/>
      <c r="R164" s="13"/>
      <c r="S164" s="13"/>
      <c r="T164" s="13"/>
      <c r="U164" s="13"/>
    </row>
    <row r="165" spans="1:21">
      <c r="A165" s="13"/>
      <c r="B165" s="47">
        <v>44775</v>
      </c>
      <c r="C165" s="46">
        <v>253.73</v>
      </c>
      <c r="D165" s="49">
        <v>-2.46E-2</v>
      </c>
      <c r="E165" s="13"/>
      <c r="F165" s="13"/>
      <c r="G165" s="13"/>
      <c r="H165" s="47">
        <v>44775</v>
      </c>
      <c r="I165" s="48">
        <v>17266.75</v>
      </c>
      <c r="J165" s="49">
        <v>3.0999999999999999E-3</v>
      </c>
      <c r="K165" s="13"/>
      <c r="L165" s="13"/>
      <c r="M165" s="13"/>
      <c r="N165" s="13"/>
      <c r="O165" s="13"/>
      <c r="P165" s="13"/>
      <c r="Q165" s="13"/>
      <c r="R165" s="13"/>
      <c r="S165" s="13"/>
      <c r="T165" s="13"/>
      <c r="U165" s="13"/>
    </row>
    <row r="166" spans="1:21">
      <c r="A166" s="13"/>
      <c r="B166" s="47">
        <v>44744</v>
      </c>
      <c r="C166" s="46">
        <v>260.12</v>
      </c>
      <c r="D166" s="49">
        <v>-1.7000000000000001E-2</v>
      </c>
      <c r="E166" s="13"/>
      <c r="F166" s="13"/>
      <c r="G166" s="13"/>
      <c r="H166" s="47">
        <v>44744</v>
      </c>
      <c r="I166" s="48">
        <v>17213.599999999999</v>
      </c>
      <c r="J166" s="49">
        <v>-1.7299999999999999E-2</v>
      </c>
      <c r="K166" s="13"/>
      <c r="L166" s="13"/>
      <c r="M166" s="13"/>
      <c r="N166" s="13"/>
      <c r="O166" s="13"/>
      <c r="P166" s="13"/>
      <c r="Q166" s="13"/>
      <c r="R166" s="13"/>
      <c r="S166" s="13"/>
      <c r="T166" s="13"/>
      <c r="U166" s="13"/>
    </row>
    <row r="167" spans="1:21">
      <c r="A167" s="13"/>
      <c r="B167" s="47">
        <v>44653</v>
      </c>
      <c r="C167" s="46">
        <v>264.62</v>
      </c>
      <c r="D167" s="49">
        <v>-2.4899999999999999E-2</v>
      </c>
      <c r="E167" s="13"/>
      <c r="F167" s="13"/>
      <c r="G167" s="13"/>
      <c r="H167" s="47">
        <v>44653</v>
      </c>
      <c r="I167" s="48">
        <v>17516.3</v>
      </c>
      <c r="J167" s="49">
        <v>-2.5000000000000001E-3</v>
      </c>
      <c r="K167" s="13"/>
      <c r="L167" s="13"/>
      <c r="M167" s="13"/>
      <c r="N167" s="13"/>
      <c r="O167" s="13"/>
      <c r="P167" s="13"/>
      <c r="Q167" s="13"/>
      <c r="R167" s="13"/>
      <c r="S167" s="13"/>
      <c r="T167" s="13"/>
      <c r="U167" s="13"/>
    </row>
    <row r="168" spans="1:21">
      <c r="A168" s="13"/>
      <c r="B168" s="47">
        <v>44622</v>
      </c>
      <c r="C168" s="46">
        <v>271.37</v>
      </c>
      <c r="D168" s="49">
        <v>-2E-3</v>
      </c>
      <c r="E168" s="13"/>
      <c r="F168" s="13"/>
      <c r="G168" s="13"/>
      <c r="H168" s="47">
        <v>44622</v>
      </c>
      <c r="I168" s="48">
        <v>17560.2</v>
      </c>
      <c r="J168" s="49">
        <v>-1.24E-2</v>
      </c>
      <c r="K168" s="13"/>
      <c r="L168" s="13"/>
      <c r="M168" s="13"/>
      <c r="N168" s="13"/>
      <c r="O168" s="13"/>
      <c r="P168" s="13"/>
      <c r="Q168" s="13"/>
      <c r="R168" s="13"/>
      <c r="S168" s="13"/>
      <c r="T168" s="13"/>
      <c r="U168" s="13"/>
    </row>
    <row r="169" spans="1:21">
      <c r="A169" s="13"/>
      <c r="B169" s="47">
        <v>44594</v>
      </c>
      <c r="C169" s="46">
        <v>271.92</v>
      </c>
      <c r="D169" s="49">
        <v>5.5999999999999999E-3</v>
      </c>
      <c r="E169" s="13"/>
      <c r="F169" s="13"/>
      <c r="G169" s="13"/>
      <c r="H169" s="47">
        <v>44594</v>
      </c>
      <c r="I169" s="48">
        <v>17780</v>
      </c>
      <c r="J169" s="49">
        <v>1.1599999999999999E-2</v>
      </c>
      <c r="K169" s="13"/>
      <c r="L169" s="13"/>
      <c r="M169" s="13"/>
      <c r="N169" s="13"/>
      <c r="O169" s="13"/>
      <c r="P169" s="13"/>
      <c r="Q169" s="13"/>
      <c r="R169" s="13"/>
      <c r="S169" s="13"/>
      <c r="T169" s="13"/>
      <c r="U169" s="13"/>
    </row>
    <row r="170" spans="1:21">
      <c r="A170" s="13"/>
      <c r="B170" s="47">
        <v>44563</v>
      </c>
      <c r="C170" s="46">
        <v>270.41000000000003</v>
      </c>
      <c r="D170" s="49">
        <v>3.5000000000000001E-3</v>
      </c>
      <c r="E170" s="13"/>
      <c r="F170" s="13"/>
      <c r="G170" s="13"/>
      <c r="H170" s="47">
        <v>44563</v>
      </c>
      <c r="I170" s="48">
        <v>17576.849999999999</v>
      </c>
      <c r="J170" s="49">
        <v>1.37E-2</v>
      </c>
      <c r="K170" s="13"/>
      <c r="L170" s="13"/>
      <c r="M170" s="13"/>
      <c r="N170" s="13"/>
      <c r="O170" s="13"/>
      <c r="P170" s="13"/>
      <c r="Q170" s="13"/>
      <c r="R170" s="13"/>
      <c r="S170" s="13"/>
      <c r="T170" s="13"/>
      <c r="U170" s="13"/>
    </row>
    <row r="171" spans="1:21">
      <c r="A171" s="13"/>
      <c r="B171" s="46" t="s">
        <v>744</v>
      </c>
      <c r="C171" s="46">
        <v>269.48</v>
      </c>
      <c r="D171" s="49">
        <v>2.2800000000000001E-2</v>
      </c>
      <c r="E171" s="13"/>
      <c r="F171" s="13"/>
      <c r="G171" s="13"/>
      <c r="H171" s="46" t="s">
        <v>744</v>
      </c>
      <c r="I171" s="48">
        <v>17339.849999999999</v>
      </c>
      <c r="J171" s="49">
        <v>1.3899999999999999E-2</v>
      </c>
      <c r="K171" s="13"/>
      <c r="L171" s="13"/>
      <c r="M171" s="13"/>
      <c r="N171" s="13"/>
      <c r="O171" s="13"/>
      <c r="P171" s="13"/>
      <c r="Q171" s="13"/>
      <c r="R171" s="13"/>
      <c r="S171" s="13"/>
      <c r="T171" s="13"/>
      <c r="U171" s="13"/>
    </row>
    <row r="172" spans="1:21">
      <c r="A172" s="13"/>
      <c r="B172" s="46" t="s">
        <v>745</v>
      </c>
      <c r="C172" s="46">
        <v>263.48</v>
      </c>
      <c r="D172" s="49">
        <v>5.5500000000000001E-2</v>
      </c>
      <c r="E172" s="13"/>
      <c r="F172" s="13"/>
      <c r="G172" s="13"/>
      <c r="H172" s="46" t="s">
        <v>745</v>
      </c>
      <c r="I172" s="48">
        <v>17101.95</v>
      </c>
      <c r="J172" s="49">
        <v>-5.0000000000000001E-4</v>
      </c>
      <c r="K172" s="13"/>
      <c r="L172" s="13"/>
      <c r="M172" s="13"/>
      <c r="N172" s="13"/>
      <c r="O172" s="13"/>
      <c r="P172" s="13"/>
      <c r="Q172" s="13"/>
      <c r="R172" s="13"/>
      <c r="S172" s="13"/>
      <c r="T172" s="13"/>
      <c r="U172" s="13"/>
    </row>
    <row r="173" spans="1:21">
      <c r="A173" s="13"/>
      <c r="B173" s="46" t="s">
        <v>746</v>
      </c>
      <c r="C173" s="46">
        <v>249.62</v>
      </c>
      <c r="D173" s="49">
        <v>-1.1900000000000001E-2</v>
      </c>
      <c r="E173" s="13"/>
      <c r="F173" s="13"/>
      <c r="G173" s="13"/>
      <c r="H173" s="46" t="s">
        <v>746</v>
      </c>
      <c r="I173" s="48">
        <v>17110.150000000001</v>
      </c>
      <c r="J173" s="49">
        <v>-9.7000000000000003E-3</v>
      </c>
      <c r="K173" s="13"/>
      <c r="L173" s="13"/>
      <c r="M173" s="13"/>
      <c r="N173" s="13"/>
      <c r="O173" s="13"/>
      <c r="P173" s="13"/>
      <c r="Q173" s="13"/>
      <c r="R173" s="13"/>
      <c r="S173" s="13"/>
      <c r="T173" s="13"/>
      <c r="U173" s="13"/>
    </row>
    <row r="174" spans="1:21">
      <c r="A174" s="13"/>
      <c r="B174" s="46" t="s">
        <v>747</v>
      </c>
      <c r="C174" s="46">
        <v>252.62</v>
      </c>
      <c r="D174" s="49">
        <v>-1.72E-2</v>
      </c>
      <c r="E174" s="13"/>
      <c r="F174" s="13"/>
      <c r="G174" s="13"/>
      <c r="H174" s="46" t="s">
        <v>747</v>
      </c>
      <c r="I174" s="48">
        <v>17277.95</v>
      </c>
      <c r="J174" s="49">
        <v>7.4999999999999997E-3</v>
      </c>
      <c r="K174" s="13"/>
      <c r="L174" s="13"/>
      <c r="M174" s="13"/>
      <c r="N174" s="13"/>
      <c r="O174" s="13"/>
      <c r="P174" s="13"/>
      <c r="Q174" s="13"/>
      <c r="R174" s="13"/>
      <c r="S174" s="13"/>
      <c r="T174" s="13"/>
      <c r="U174" s="13"/>
    </row>
    <row r="175" spans="1:21">
      <c r="A175" s="13"/>
      <c r="B175" s="46" t="s">
        <v>748</v>
      </c>
      <c r="C175" s="46">
        <v>257.04000000000002</v>
      </c>
      <c r="D175" s="49">
        <v>-6.93E-2</v>
      </c>
      <c r="E175" s="13"/>
      <c r="F175" s="13"/>
      <c r="G175" s="13"/>
      <c r="H175" s="46" t="s">
        <v>748</v>
      </c>
      <c r="I175" s="48">
        <v>17149.099999999999</v>
      </c>
      <c r="J175" s="49">
        <v>-2.6599999999999999E-2</v>
      </c>
      <c r="K175" s="13"/>
      <c r="L175" s="13"/>
      <c r="M175" s="13"/>
      <c r="N175" s="13"/>
      <c r="O175" s="13"/>
      <c r="P175" s="13"/>
      <c r="Q175" s="13"/>
      <c r="R175" s="13"/>
      <c r="S175" s="13"/>
      <c r="T175" s="13"/>
      <c r="U175" s="13"/>
    </row>
    <row r="176" spans="1:21">
      <c r="A176" s="13"/>
      <c r="B176" s="46" t="s">
        <v>749</v>
      </c>
      <c r="C176" s="46">
        <v>276.18</v>
      </c>
      <c r="D176" s="49">
        <v>-2.6499999999999999E-2</v>
      </c>
      <c r="E176" s="13"/>
      <c r="F176" s="13"/>
      <c r="G176" s="13"/>
      <c r="H176" s="46" t="s">
        <v>749</v>
      </c>
      <c r="I176" s="48">
        <v>17617.150000000001</v>
      </c>
      <c r="J176" s="49">
        <v>-7.9000000000000008E-3</v>
      </c>
      <c r="K176" s="13"/>
      <c r="L176" s="13"/>
      <c r="M176" s="13"/>
      <c r="N176" s="13"/>
      <c r="O176" s="13"/>
      <c r="P176" s="13"/>
      <c r="Q176" s="13"/>
      <c r="R176" s="13"/>
      <c r="S176" s="13"/>
      <c r="T176" s="13"/>
      <c r="U176" s="13"/>
    </row>
    <row r="177" spans="1:21">
      <c r="A177" s="13"/>
      <c r="B177" s="46" t="s">
        <v>750</v>
      </c>
      <c r="C177" s="46">
        <v>283.7</v>
      </c>
      <c r="D177" s="49">
        <v>8.0999999999999996E-3</v>
      </c>
      <c r="E177" s="13"/>
      <c r="F177" s="13"/>
      <c r="G177" s="13"/>
      <c r="H177" s="46" t="s">
        <v>750</v>
      </c>
      <c r="I177" s="48">
        <v>17757</v>
      </c>
      <c r="J177" s="49">
        <v>-1.01E-2</v>
      </c>
      <c r="K177" s="13"/>
      <c r="L177" s="13"/>
      <c r="M177" s="13"/>
      <c r="N177" s="13"/>
      <c r="O177" s="13"/>
      <c r="P177" s="13"/>
      <c r="Q177" s="13"/>
      <c r="R177" s="13"/>
      <c r="S177" s="13"/>
      <c r="T177" s="13"/>
      <c r="U177" s="13"/>
    </row>
    <row r="178" spans="1:21">
      <c r="A178" s="13"/>
      <c r="B178" s="46" t="s">
        <v>751</v>
      </c>
      <c r="C178" s="46">
        <v>281.41000000000003</v>
      </c>
      <c r="D178" s="49">
        <v>-1.9599999999999999E-2</v>
      </c>
      <c r="E178" s="13"/>
      <c r="F178" s="13"/>
      <c r="G178" s="13"/>
      <c r="H178" s="46" t="s">
        <v>751</v>
      </c>
      <c r="I178" s="48">
        <v>17938.400000000001</v>
      </c>
      <c r="J178" s="49">
        <v>-9.5999999999999992E-3</v>
      </c>
      <c r="K178" s="13"/>
      <c r="L178" s="13"/>
      <c r="M178" s="13"/>
      <c r="N178" s="13"/>
      <c r="O178" s="13"/>
      <c r="P178" s="13"/>
      <c r="Q178" s="13"/>
      <c r="R178" s="13"/>
      <c r="S178" s="13"/>
      <c r="T178" s="13"/>
      <c r="U178" s="13"/>
    </row>
    <row r="179" spans="1:21">
      <c r="A179" s="13"/>
      <c r="B179" s="46" t="s">
        <v>752</v>
      </c>
      <c r="C179" s="46">
        <v>287.05</v>
      </c>
      <c r="D179" s="49">
        <v>-3.3E-3</v>
      </c>
      <c r="E179" s="13"/>
      <c r="F179" s="13"/>
      <c r="G179" s="13"/>
      <c r="H179" s="46" t="s">
        <v>752</v>
      </c>
      <c r="I179" s="48">
        <v>18113.05</v>
      </c>
      <c r="J179" s="49">
        <v>-1.0699999999999999E-2</v>
      </c>
      <c r="K179" s="13"/>
      <c r="L179" s="13"/>
      <c r="M179" s="13"/>
      <c r="N179" s="13"/>
      <c r="O179" s="13"/>
      <c r="P179" s="13"/>
      <c r="Q179" s="13"/>
      <c r="R179" s="13"/>
      <c r="S179" s="13"/>
      <c r="T179" s="13"/>
      <c r="U179" s="13"/>
    </row>
    <row r="180" spans="1:21">
      <c r="A180" s="13"/>
      <c r="B180" s="46" t="s">
        <v>753</v>
      </c>
      <c r="C180" s="46">
        <v>288</v>
      </c>
      <c r="D180" s="49">
        <v>1.84E-2</v>
      </c>
      <c r="E180" s="13"/>
      <c r="F180" s="13"/>
      <c r="G180" s="13"/>
      <c r="H180" s="46" t="s">
        <v>753</v>
      </c>
      <c r="I180" s="48">
        <v>18308.099999999999</v>
      </c>
      <c r="J180" s="49">
        <v>2.8999999999999998E-3</v>
      </c>
      <c r="K180" s="13"/>
      <c r="L180" s="13"/>
      <c r="M180" s="13"/>
      <c r="N180" s="13"/>
      <c r="O180" s="13"/>
      <c r="P180" s="13"/>
      <c r="Q180" s="13"/>
      <c r="R180" s="13"/>
      <c r="S180" s="13"/>
      <c r="T180" s="13"/>
      <c r="U180" s="13"/>
    </row>
    <row r="181" spans="1:21">
      <c r="A181" s="13"/>
      <c r="B181" s="46" t="s">
        <v>754</v>
      </c>
      <c r="C181" s="46">
        <v>282.79000000000002</v>
      </c>
      <c r="D181" s="49">
        <v>1.4E-3</v>
      </c>
      <c r="E181" s="13"/>
      <c r="F181" s="13"/>
      <c r="G181" s="13"/>
      <c r="H181" s="46" t="s">
        <v>754</v>
      </c>
      <c r="I181" s="48">
        <v>18255.75</v>
      </c>
      <c r="J181" s="49">
        <v>-1E-4</v>
      </c>
      <c r="K181" s="13"/>
      <c r="L181" s="13"/>
      <c r="M181" s="13"/>
      <c r="N181" s="13"/>
      <c r="O181" s="13"/>
      <c r="P181" s="13"/>
      <c r="Q181" s="13"/>
      <c r="R181" s="13"/>
      <c r="S181" s="13"/>
      <c r="T181" s="13"/>
      <c r="U181" s="13"/>
    </row>
    <row r="182" spans="1:21">
      <c r="A182" s="13"/>
      <c r="B182" s="46" t="s">
        <v>755</v>
      </c>
      <c r="C182" s="46">
        <v>282.39</v>
      </c>
      <c r="D182" s="49">
        <v>3.56E-2</v>
      </c>
      <c r="E182" s="13"/>
      <c r="F182" s="13"/>
      <c r="G182" s="13"/>
      <c r="H182" s="46" t="s">
        <v>755</v>
      </c>
      <c r="I182" s="48">
        <v>18257.8</v>
      </c>
      <c r="J182" s="49">
        <v>2.5000000000000001E-3</v>
      </c>
      <c r="K182" s="13"/>
      <c r="L182" s="13"/>
      <c r="M182" s="13"/>
      <c r="N182" s="13"/>
      <c r="O182" s="13"/>
      <c r="P182" s="13"/>
      <c r="Q182" s="13"/>
      <c r="R182" s="13"/>
      <c r="S182" s="13"/>
      <c r="T182" s="13"/>
      <c r="U182" s="13"/>
    </row>
    <row r="183" spans="1:21">
      <c r="A183" s="13"/>
      <c r="B183" s="47">
        <v>44896</v>
      </c>
      <c r="C183" s="46">
        <v>272.68</v>
      </c>
      <c r="D183" s="49">
        <v>-1.49E-2</v>
      </c>
      <c r="E183" s="13"/>
      <c r="F183" s="13"/>
      <c r="G183" s="13"/>
      <c r="H183" s="47">
        <v>44896</v>
      </c>
      <c r="I183" s="48">
        <v>18212.349999999999</v>
      </c>
      <c r="J183" s="49">
        <v>8.6999999999999994E-3</v>
      </c>
      <c r="K183" s="13"/>
      <c r="L183" s="13"/>
      <c r="M183" s="13"/>
      <c r="N183" s="13"/>
      <c r="O183" s="13"/>
      <c r="P183" s="13"/>
      <c r="Q183" s="13"/>
      <c r="R183" s="13"/>
      <c r="S183" s="13"/>
      <c r="T183" s="13"/>
      <c r="U183" s="13"/>
    </row>
    <row r="184" spans="1:21">
      <c r="A184" s="13"/>
      <c r="B184" s="47">
        <v>44866</v>
      </c>
      <c r="C184" s="46">
        <v>276.8</v>
      </c>
      <c r="D184" s="49">
        <v>-2.0999999999999999E-3</v>
      </c>
      <c r="E184" s="13"/>
      <c r="F184" s="13"/>
      <c r="G184" s="13"/>
      <c r="H184" s="47">
        <v>44866</v>
      </c>
      <c r="I184" s="48">
        <v>18055.75</v>
      </c>
      <c r="J184" s="49">
        <v>2.8999999999999998E-3</v>
      </c>
      <c r="K184" s="13"/>
      <c r="L184" s="13"/>
      <c r="M184" s="13"/>
      <c r="N184" s="13"/>
      <c r="O184" s="13"/>
      <c r="P184" s="13"/>
      <c r="Q184" s="13"/>
      <c r="R184" s="13"/>
      <c r="S184" s="13"/>
      <c r="T184" s="13"/>
      <c r="U184" s="13"/>
    </row>
    <row r="185" spans="1:21">
      <c r="A185" s="13"/>
      <c r="B185" s="47">
        <v>44835</v>
      </c>
      <c r="C185" s="46">
        <v>277.37</v>
      </c>
      <c r="D185" s="49">
        <v>3.8699999999999998E-2</v>
      </c>
      <c r="E185" s="13"/>
      <c r="F185" s="13"/>
      <c r="G185" s="13"/>
      <c r="H185" s="47">
        <v>44835</v>
      </c>
      <c r="I185" s="48">
        <v>18003.3</v>
      </c>
      <c r="J185" s="49">
        <v>1.0699999999999999E-2</v>
      </c>
      <c r="K185" s="13"/>
      <c r="L185" s="13"/>
      <c r="M185" s="13"/>
      <c r="N185" s="13"/>
      <c r="O185" s="13"/>
      <c r="P185" s="13"/>
      <c r="Q185" s="13"/>
      <c r="R185" s="13"/>
      <c r="S185" s="13"/>
      <c r="T185" s="13"/>
      <c r="U185" s="13"/>
    </row>
    <row r="186" spans="1:21">
      <c r="A186" s="13"/>
      <c r="B186" s="47">
        <v>44743</v>
      </c>
      <c r="C186" s="46">
        <v>267.02999999999997</v>
      </c>
      <c r="D186" s="49">
        <v>7.4499999999999997E-2</v>
      </c>
      <c r="E186" s="13"/>
      <c r="F186" s="13"/>
      <c r="G186" s="13"/>
      <c r="H186" s="47">
        <v>44743</v>
      </c>
      <c r="I186" s="48">
        <v>17812.7</v>
      </c>
      <c r="J186" s="49">
        <v>3.8E-3</v>
      </c>
      <c r="K186" s="13"/>
      <c r="L186" s="13"/>
      <c r="M186" s="13"/>
      <c r="N186" s="13"/>
      <c r="O186" s="13"/>
      <c r="P186" s="13"/>
      <c r="Q186" s="13"/>
      <c r="R186" s="13"/>
      <c r="S186" s="13"/>
      <c r="T186" s="13"/>
      <c r="U186" s="13"/>
    </row>
    <row r="187" spans="1:21">
      <c r="A187" s="13"/>
      <c r="B187" s="47">
        <v>44713</v>
      </c>
      <c r="C187" s="46">
        <v>248.52</v>
      </c>
      <c r="D187" s="49">
        <v>-2.4299999999999999E-2</v>
      </c>
      <c r="E187" s="13"/>
      <c r="F187" s="13"/>
      <c r="G187" s="13"/>
      <c r="H187" s="47">
        <v>44713</v>
      </c>
      <c r="I187" s="48">
        <v>17745.900000000001</v>
      </c>
      <c r="J187" s="49">
        <v>-0.01</v>
      </c>
      <c r="K187" s="13"/>
      <c r="L187" s="13"/>
      <c r="M187" s="13"/>
      <c r="N187" s="13"/>
      <c r="O187" s="13"/>
      <c r="P187" s="13"/>
      <c r="Q187" s="13"/>
      <c r="R187" s="13"/>
      <c r="S187" s="13"/>
      <c r="T187" s="13"/>
      <c r="U187" s="13"/>
    </row>
    <row r="188" spans="1:21">
      <c r="A188" s="13"/>
      <c r="B188" s="47">
        <v>44682</v>
      </c>
      <c r="C188" s="46">
        <v>254.72</v>
      </c>
      <c r="D188" s="49">
        <v>5.7299999999999997E-2</v>
      </c>
      <c r="E188" s="13"/>
      <c r="F188" s="13"/>
      <c r="G188" s="13"/>
      <c r="H188" s="47">
        <v>44682</v>
      </c>
      <c r="I188" s="48">
        <v>17925.25</v>
      </c>
      <c r="J188" s="49">
        <v>6.7000000000000002E-3</v>
      </c>
      <c r="K188" s="13"/>
      <c r="L188" s="13"/>
      <c r="M188" s="13"/>
      <c r="N188" s="13"/>
      <c r="O188" s="13"/>
      <c r="P188" s="13"/>
      <c r="Q188" s="13"/>
      <c r="R188" s="13"/>
      <c r="S188" s="13"/>
      <c r="T188" s="13"/>
      <c r="U188" s="13"/>
    </row>
    <row r="189" spans="1:21">
      <c r="A189" s="13"/>
      <c r="B189" s="47">
        <v>44652</v>
      </c>
      <c r="C189" s="46">
        <v>240.92</v>
      </c>
      <c r="D189" s="49">
        <v>5.0000000000000001E-4</v>
      </c>
      <c r="E189" s="13"/>
      <c r="F189" s="13"/>
      <c r="G189" s="13"/>
      <c r="H189" s="47">
        <v>44652</v>
      </c>
      <c r="I189" s="48">
        <v>17805.25</v>
      </c>
      <c r="J189" s="49">
        <v>1.0200000000000001E-2</v>
      </c>
      <c r="K189" s="13"/>
      <c r="L189" s="13"/>
      <c r="M189" s="13"/>
      <c r="N189" s="13"/>
      <c r="O189" s="13"/>
      <c r="P189" s="13"/>
      <c r="Q189" s="13"/>
      <c r="R189" s="13"/>
      <c r="S189" s="13"/>
      <c r="T189" s="13"/>
      <c r="U189" s="13"/>
    </row>
    <row r="190" spans="1:21">
      <c r="A190" s="13"/>
      <c r="B190" s="47">
        <v>44621</v>
      </c>
      <c r="C190" s="46">
        <v>240.8</v>
      </c>
      <c r="D190" s="49">
        <v>-1.23E-2</v>
      </c>
      <c r="E190" s="13"/>
      <c r="F190" s="13"/>
      <c r="G190" s="13"/>
      <c r="H190" s="47">
        <v>44621</v>
      </c>
      <c r="I190" s="48">
        <v>17625.7</v>
      </c>
      <c r="J190" s="49">
        <v>1.5699999999999999E-2</v>
      </c>
      <c r="K190" s="13"/>
      <c r="L190" s="13"/>
      <c r="M190" s="13"/>
      <c r="N190" s="13"/>
      <c r="O190" s="13"/>
      <c r="P190" s="13"/>
      <c r="Q190" s="13"/>
      <c r="R190" s="13"/>
      <c r="S190" s="13"/>
      <c r="T190" s="13"/>
      <c r="U190" s="13"/>
    </row>
    <row r="191" spans="1:21">
      <c r="A191" s="13"/>
      <c r="B191" s="46" t="s">
        <v>756</v>
      </c>
      <c r="C191" s="46">
        <v>243.79</v>
      </c>
      <c r="D191" s="49">
        <v>1.6299999999999999E-2</v>
      </c>
      <c r="E191" s="13"/>
      <c r="F191" s="13"/>
      <c r="G191" s="13"/>
      <c r="H191" s="46" t="s">
        <v>756</v>
      </c>
      <c r="I191" s="48">
        <v>17354.05</v>
      </c>
      <c r="J191" s="49">
        <v>8.6999999999999994E-3</v>
      </c>
      <c r="K191" s="13"/>
      <c r="L191" s="13"/>
      <c r="M191" s="13"/>
      <c r="N191" s="13"/>
      <c r="O191" s="13"/>
      <c r="P191" s="13"/>
      <c r="Q191" s="13"/>
      <c r="R191" s="13"/>
      <c r="S191" s="13"/>
      <c r="T191" s="13"/>
      <c r="U191" s="13"/>
    </row>
    <row r="192" spans="1:21">
      <c r="A192" s="13"/>
      <c r="B192" s="46" t="s">
        <v>757</v>
      </c>
      <c r="C192" s="46">
        <v>239.89</v>
      </c>
      <c r="D192" s="49">
        <v>-3.7000000000000002E-3</v>
      </c>
      <c r="E192" s="13"/>
      <c r="F192" s="13"/>
      <c r="G192" s="13"/>
      <c r="H192" s="46" t="s">
        <v>757</v>
      </c>
      <c r="I192" s="48">
        <v>17203.95</v>
      </c>
      <c r="J192" s="49">
        <v>-5.9999999999999995E-4</v>
      </c>
      <c r="K192" s="13"/>
      <c r="L192" s="13"/>
      <c r="M192" s="13"/>
      <c r="N192" s="13"/>
      <c r="O192" s="13"/>
      <c r="P192" s="13"/>
      <c r="Q192" s="13"/>
      <c r="R192" s="13"/>
      <c r="S192" s="13"/>
      <c r="T192" s="13"/>
      <c r="U192" s="13"/>
    </row>
    <row r="193" spans="1:21">
      <c r="A193" s="13"/>
      <c r="B193" s="46" t="s">
        <v>758</v>
      </c>
      <c r="C193" s="46">
        <v>240.78</v>
      </c>
      <c r="D193" s="49">
        <v>2.9999999999999997E-4</v>
      </c>
      <c r="E193" s="13"/>
      <c r="F193" s="13"/>
      <c r="G193" s="13"/>
      <c r="H193" s="46" t="s">
        <v>758</v>
      </c>
      <c r="I193" s="48">
        <v>17213.599999999999</v>
      </c>
      <c r="J193" s="49">
        <v>-1.1000000000000001E-3</v>
      </c>
      <c r="K193" s="13"/>
      <c r="L193" s="13"/>
      <c r="M193" s="13"/>
      <c r="N193" s="13"/>
      <c r="O193" s="13"/>
      <c r="P193" s="13"/>
      <c r="Q193" s="13"/>
      <c r="R193" s="13"/>
      <c r="S193" s="13"/>
      <c r="T193" s="13"/>
      <c r="U193" s="13"/>
    </row>
    <row r="194" spans="1:21">
      <c r="A194" s="13"/>
      <c r="B194" s="46" t="s">
        <v>759</v>
      </c>
      <c r="C194" s="46">
        <v>240.7</v>
      </c>
      <c r="D194" s="49">
        <v>3.5999999999999999E-3</v>
      </c>
      <c r="E194" s="13"/>
      <c r="F194" s="13"/>
      <c r="G194" s="13"/>
      <c r="H194" s="46" t="s">
        <v>759</v>
      </c>
      <c r="I194" s="48">
        <v>17233.25</v>
      </c>
      <c r="J194" s="49">
        <v>8.6E-3</v>
      </c>
      <c r="K194" s="13"/>
      <c r="L194" s="13"/>
      <c r="M194" s="13"/>
      <c r="N194" s="13"/>
      <c r="O194" s="13"/>
      <c r="P194" s="13"/>
      <c r="Q194" s="13"/>
      <c r="R194" s="13"/>
      <c r="S194" s="13"/>
      <c r="T194" s="13"/>
      <c r="U194" s="13"/>
    </row>
    <row r="195" spans="1:21">
      <c r="A195" s="13"/>
      <c r="B195" s="46" t="s">
        <v>760</v>
      </c>
      <c r="C195" s="46">
        <v>239.83</v>
      </c>
      <c r="D195" s="49">
        <v>4.5999999999999999E-3</v>
      </c>
      <c r="E195" s="13"/>
      <c r="F195" s="13"/>
      <c r="G195" s="13"/>
      <c r="H195" s="46" t="s">
        <v>760</v>
      </c>
      <c r="I195" s="48">
        <v>17086.25</v>
      </c>
      <c r="J195" s="49">
        <v>4.8999999999999998E-3</v>
      </c>
      <c r="K195" s="13"/>
      <c r="L195" s="13"/>
      <c r="M195" s="13"/>
      <c r="N195" s="13"/>
      <c r="O195" s="13"/>
      <c r="P195" s="13"/>
      <c r="Q195" s="13"/>
      <c r="R195" s="13"/>
      <c r="S195" s="13"/>
      <c r="T195" s="13"/>
      <c r="U195" s="13"/>
    </row>
    <row r="196" spans="1:21">
      <c r="A196" s="13"/>
      <c r="B196" s="46" t="s">
        <v>761</v>
      </c>
      <c r="C196" s="46">
        <v>238.73</v>
      </c>
      <c r="D196" s="49">
        <v>-2.3E-3</v>
      </c>
      <c r="E196" s="13"/>
      <c r="F196" s="13"/>
      <c r="G196" s="13"/>
      <c r="H196" s="46" t="s">
        <v>761</v>
      </c>
      <c r="I196" s="48">
        <v>17003.75</v>
      </c>
      <c r="J196" s="49">
        <v>-4.0000000000000001E-3</v>
      </c>
      <c r="K196" s="13"/>
      <c r="L196" s="13"/>
      <c r="M196" s="13"/>
      <c r="N196" s="13"/>
      <c r="O196" s="13"/>
      <c r="P196" s="13"/>
      <c r="Q196" s="13"/>
      <c r="R196" s="13"/>
      <c r="S196" s="13"/>
      <c r="T196" s="13"/>
      <c r="U196" s="13"/>
    </row>
    <row r="197" spans="1:21">
      <c r="A197" s="13"/>
      <c r="B197" s="46" t="s">
        <v>762</v>
      </c>
      <c r="C197" s="46">
        <v>239.28</v>
      </c>
      <c r="D197" s="49">
        <v>-0.02</v>
      </c>
      <c r="E197" s="13"/>
      <c r="F197" s="13"/>
      <c r="G197" s="13"/>
      <c r="H197" s="46" t="s">
        <v>762</v>
      </c>
      <c r="I197" s="48">
        <v>17072.599999999999</v>
      </c>
      <c r="J197" s="49">
        <v>6.8999999999999999E-3</v>
      </c>
      <c r="K197" s="13"/>
      <c r="L197" s="13"/>
      <c r="M197" s="13"/>
      <c r="N197" s="13"/>
      <c r="O197" s="13"/>
      <c r="P197" s="13"/>
      <c r="Q197" s="13"/>
      <c r="R197" s="13"/>
      <c r="S197" s="13"/>
      <c r="T197" s="13"/>
      <c r="U197" s="13"/>
    </row>
    <row r="198" spans="1:21">
      <c r="A198" s="13"/>
      <c r="B198" s="46" t="s">
        <v>763</v>
      </c>
      <c r="C198" s="46">
        <v>244.16</v>
      </c>
      <c r="D198" s="49">
        <v>2.0500000000000001E-2</v>
      </c>
      <c r="E198" s="13"/>
      <c r="F198" s="13"/>
      <c r="G198" s="13"/>
      <c r="H198" s="46" t="s">
        <v>763</v>
      </c>
      <c r="I198" s="48">
        <v>16955.45</v>
      </c>
      <c r="J198" s="49">
        <v>1.0999999999999999E-2</v>
      </c>
      <c r="K198" s="13"/>
      <c r="L198" s="13"/>
      <c r="M198" s="13"/>
      <c r="N198" s="13"/>
      <c r="O198" s="13"/>
      <c r="P198" s="13"/>
      <c r="Q198" s="13"/>
      <c r="R198" s="13"/>
      <c r="S198" s="13"/>
      <c r="T198" s="13"/>
      <c r="U198" s="13"/>
    </row>
    <row r="199" spans="1:21">
      <c r="A199" s="13"/>
      <c r="B199" s="46" t="s">
        <v>764</v>
      </c>
      <c r="C199" s="46">
        <v>239.25</v>
      </c>
      <c r="D199" s="49">
        <v>6.9999999999999999E-4</v>
      </c>
      <c r="E199" s="13"/>
      <c r="F199" s="13"/>
      <c r="G199" s="13"/>
      <c r="H199" s="46" t="s">
        <v>764</v>
      </c>
      <c r="I199" s="48">
        <v>16770.849999999999</v>
      </c>
      <c r="J199" s="49">
        <v>9.4000000000000004E-3</v>
      </c>
      <c r="K199" s="13"/>
      <c r="L199" s="13"/>
      <c r="M199" s="13"/>
      <c r="N199" s="13"/>
      <c r="O199" s="13"/>
      <c r="P199" s="13"/>
      <c r="Q199" s="13"/>
      <c r="R199" s="13"/>
      <c r="S199" s="13"/>
      <c r="T199" s="13"/>
      <c r="U199" s="13"/>
    </row>
    <row r="200" spans="1:21">
      <c r="A200" s="13"/>
      <c r="B200" s="46" t="s">
        <v>765</v>
      </c>
      <c r="C200" s="46">
        <v>239.09</v>
      </c>
      <c r="D200" s="49">
        <v>-2.5999999999999999E-2</v>
      </c>
      <c r="E200" s="13"/>
      <c r="F200" s="13"/>
      <c r="G200" s="13"/>
      <c r="H200" s="46" t="s">
        <v>765</v>
      </c>
      <c r="I200" s="48">
        <v>16614.2</v>
      </c>
      <c r="J200" s="49">
        <v>-2.18E-2</v>
      </c>
      <c r="K200" s="13"/>
      <c r="L200" s="13"/>
      <c r="M200" s="13"/>
      <c r="N200" s="13"/>
      <c r="O200" s="13"/>
      <c r="P200" s="13"/>
      <c r="Q200" s="13"/>
      <c r="R200" s="13"/>
      <c r="S200" s="13"/>
      <c r="T200" s="13"/>
      <c r="U200" s="13"/>
    </row>
    <row r="201" spans="1:21">
      <c r="A201" s="13"/>
      <c r="B201" s="46" t="s">
        <v>766</v>
      </c>
      <c r="C201" s="46">
        <v>245.48</v>
      </c>
      <c r="D201" s="49">
        <v>1.5699999999999999E-2</v>
      </c>
      <c r="E201" s="13"/>
      <c r="F201" s="13"/>
      <c r="G201" s="13"/>
      <c r="H201" s="46" t="s">
        <v>766</v>
      </c>
      <c r="I201" s="48">
        <v>16985.2</v>
      </c>
      <c r="J201" s="49">
        <v>-1.5299999999999999E-2</v>
      </c>
      <c r="K201" s="13"/>
      <c r="L201" s="13"/>
      <c r="M201" s="13"/>
      <c r="N201" s="13"/>
      <c r="O201" s="13"/>
      <c r="P201" s="13"/>
      <c r="Q201" s="13"/>
      <c r="R201" s="13"/>
      <c r="S201" s="13"/>
      <c r="T201" s="13"/>
      <c r="U201" s="13"/>
    </row>
    <row r="202" spans="1:21">
      <c r="A202" s="13"/>
      <c r="B202" s="46" t="s">
        <v>767</v>
      </c>
      <c r="C202" s="46">
        <v>241.68</v>
      </c>
      <c r="D202" s="49">
        <v>1.8499999999999999E-2</v>
      </c>
      <c r="E202" s="13"/>
      <c r="F202" s="13"/>
      <c r="G202" s="13"/>
      <c r="H202" s="46" t="s">
        <v>767</v>
      </c>
      <c r="I202" s="48">
        <v>17248.400000000001</v>
      </c>
      <c r="J202" s="49">
        <v>1.6000000000000001E-3</v>
      </c>
      <c r="K202" s="13"/>
      <c r="L202" s="13"/>
      <c r="M202" s="13"/>
      <c r="N202" s="13"/>
      <c r="O202" s="13"/>
      <c r="P202" s="13"/>
      <c r="Q202" s="13"/>
      <c r="R202" s="13"/>
      <c r="S202" s="13"/>
      <c r="T202" s="13"/>
      <c r="U202" s="13"/>
    </row>
    <row r="203" spans="1:21">
      <c r="A203" s="13"/>
      <c r="B203" s="46" t="s">
        <v>768</v>
      </c>
      <c r="C203" s="46">
        <v>237.28</v>
      </c>
      <c r="D203" s="49">
        <v>-3.4599999999999999E-2</v>
      </c>
      <c r="E203" s="13"/>
      <c r="F203" s="13"/>
      <c r="G203" s="13"/>
      <c r="H203" s="46" t="s">
        <v>768</v>
      </c>
      <c r="I203" s="48">
        <v>17221.400000000001</v>
      </c>
      <c r="J203" s="49">
        <v>-6.0000000000000001E-3</v>
      </c>
      <c r="K203" s="13"/>
      <c r="L203" s="13"/>
      <c r="M203" s="13"/>
      <c r="N203" s="13"/>
      <c r="O203" s="13"/>
      <c r="P203" s="13"/>
      <c r="Q203" s="13"/>
      <c r="R203" s="13"/>
      <c r="S203" s="13"/>
      <c r="T203" s="13"/>
      <c r="U203" s="13"/>
    </row>
    <row r="204" spans="1:21">
      <c r="A204" s="13"/>
      <c r="B204" s="46" t="s">
        <v>769</v>
      </c>
      <c r="C204" s="46">
        <v>245.78</v>
      </c>
      <c r="D204" s="49">
        <v>1.72E-2</v>
      </c>
      <c r="E204" s="13"/>
      <c r="F204" s="13"/>
      <c r="G204" s="13"/>
      <c r="H204" s="46" t="s">
        <v>769</v>
      </c>
      <c r="I204" s="48">
        <v>17324.900000000001</v>
      </c>
      <c r="J204" s="49">
        <v>-2.5000000000000001E-3</v>
      </c>
      <c r="K204" s="13"/>
      <c r="L204" s="13"/>
      <c r="M204" s="13"/>
      <c r="N204" s="13"/>
      <c r="O204" s="13"/>
      <c r="P204" s="13"/>
      <c r="Q204" s="13"/>
      <c r="R204" s="13"/>
      <c r="S204" s="13"/>
      <c r="T204" s="13"/>
      <c r="U204" s="13"/>
    </row>
    <row r="205" spans="1:21">
      <c r="A205" s="13"/>
      <c r="B205" s="46" t="s">
        <v>770</v>
      </c>
      <c r="C205" s="46">
        <v>241.62</v>
      </c>
      <c r="D205" s="49">
        <v>-1E-4</v>
      </c>
      <c r="E205" s="13"/>
      <c r="F205" s="13"/>
      <c r="G205" s="13"/>
      <c r="H205" s="46" t="s">
        <v>770</v>
      </c>
      <c r="I205" s="48">
        <v>17368.25</v>
      </c>
      <c r="J205" s="49">
        <v>-8.2000000000000007E-3</v>
      </c>
      <c r="K205" s="13"/>
      <c r="L205" s="13"/>
      <c r="M205" s="13"/>
      <c r="N205" s="13"/>
      <c r="O205" s="13"/>
      <c r="P205" s="13"/>
      <c r="Q205" s="13"/>
      <c r="R205" s="13"/>
      <c r="S205" s="13"/>
      <c r="T205" s="13"/>
      <c r="U205" s="13"/>
    </row>
    <row r="206" spans="1:21">
      <c r="A206" s="13"/>
      <c r="B206" s="47">
        <v>44481</v>
      </c>
      <c r="C206" s="46">
        <v>241.65</v>
      </c>
      <c r="D206" s="49">
        <v>2.2200000000000001E-2</v>
      </c>
      <c r="E206" s="13"/>
      <c r="F206" s="13"/>
      <c r="G206" s="13"/>
      <c r="H206" s="47">
        <v>44481</v>
      </c>
      <c r="I206" s="48">
        <v>17511.3</v>
      </c>
      <c r="J206" s="49">
        <v>-2.9999999999999997E-4</v>
      </c>
      <c r="K206" s="13"/>
      <c r="L206" s="13"/>
      <c r="M206" s="13"/>
      <c r="N206" s="13"/>
      <c r="O206" s="13"/>
      <c r="P206" s="13"/>
      <c r="Q206" s="13"/>
      <c r="R206" s="13"/>
      <c r="S206" s="13"/>
      <c r="T206" s="13"/>
      <c r="U206" s="13"/>
    </row>
    <row r="207" spans="1:21">
      <c r="A207" s="13"/>
      <c r="B207" s="47">
        <v>44451</v>
      </c>
      <c r="C207" s="46">
        <v>236.4</v>
      </c>
      <c r="D207" s="49">
        <v>2.29E-2</v>
      </c>
      <c r="E207" s="13"/>
      <c r="F207" s="13"/>
      <c r="G207" s="13"/>
      <c r="H207" s="47">
        <v>44451</v>
      </c>
      <c r="I207" s="48">
        <v>17516.849999999999</v>
      </c>
      <c r="J207" s="49">
        <v>2.7000000000000001E-3</v>
      </c>
      <c r="K207" s="13"/>
      <c r="L207" s="13"/>
      <c r="M207" s="13"/>
      <c r="N207" s="13"/>
      <c r="O207" s="13"/>
      <c r="P207" s="13"/>
      <c r="Q207" s="13"/>
      <c r="R207" s="13"/>
      <c r="S207" s="13"/>
      <c r="T207" s="13"/>
      <c r="U207" s="13"/>
    </row>
    <row r="208" spans="1:21">
      <c r="A208" s="13"/>
      <c r="B208" s="47">
        <v>44420</v>
      </c>
      <c r="C208" s="46">
        <v>231.1</v>
      </c>
      <c r="D208" s="49">
        <v>2.23E-2</v>
      </c>
      <c r="E208" s="13"/>
      <c r="F208" s="13"/>
      <c r="G208" s="13"/>
      <c r="H208" s="47">
        <v>44420</v>
      </c>
      <c r="I208" s="48">
        <v>17469.75</v>
      </c>
      <c r="J208" s="49">
        <v>1.7100000000000001E-2</v>
      </c>
      <c r="K208" s="13"/>
      <c r="L208" s="13"/>
      <c r="M208" s="13"/>
      <c r="N208" s="13"/>
      <c r="O208" s="13"/>
      <c r="P208" s="13"/>
      <c r="Q208" s="13"/>
      <c r="R208" s="13"/>
      <c r="S208" s="13"/>
      <c r="T208" s="13"/>
      <c r="U208" s="13"/>
    </row>
    <row r="209" spans="1:21">
      <c r="A209" s="13"/>
      <c r="B209" s="47">
        <v>44389</v>
      </c>
      <c r="C209" s="46">
        <v>226.05</v>
      </c>
      <c r="D209" s="49">
        <v>6.5500000000000003E-2</v>
      </c>
      <c r="E209" s="13"/>
      <c r="F209" s="13"/>
      <c r="G209" s="13"/>
      <c r="H209" s="47">
        <v>44389</v>
      </c>
      <c r="I209" s="48">
        <v>17176.7</v>
      </c>
      <c r="J209" s="49">
        <v>1.5599999999999999E-2</v>
      </c>
      <c r="K209" s="13"/>
      <c r="L209" s="13"/>
      <c r="M209" s="13"/>
      <c r="N209" s="13"/>
      <c r="O209" s="13"/>
      <c r="P209" s="13"/>
      <c r="Q209" s="13"/>
      <c r="R209" s="13"/>
      <c r="S209" s="13"/>
      <c r="T209" s="13"/>
      <c r="U209" s="13"/>
    </row>
    <row r="210" spans="1:21">
      <c r="A210" s="13"/>
      <c r="B210" s="47">
        <v>44359</v>
      </c>
      <c r="C210" s="46">
        <v>212.16</v>
      </c>
      <c r="D210" s="49">
        <v>-8.5000000000000006E-3</v>
      </c>
      <c r="E210" s="13"/>
      <c r="F210" s="13"/>
      <c r="G210" s="13"/>
      <c r="H210" s="47">
        <v>44359</v>
      </c>
      <c r="I210" s="48">
        <v>16912.25</v>
      </c>
      <c r="J210" s="49">
        <v>-1.6500000000000001E-2</v>
      </c>
      <c r="K210" s="13"/>
      <c r="L210" s="13"/>
      <c r="M210" s="13"/>
      <c r="N210" s="13"/>
      <c r="O210" s="13"/>
      <c r="P210" s="13"/>
      <c r="Q210" s="13"/>
      <c r="R210" s="13"/>
      <c r="S210" s="13"/>
      <c r="T210" s="13"/>
      <c r="U210" s="13"/>
    </row>
    <row r="211" spans="1:21">
      <c r="A211" s="13"/>
      <c r="B211" s="47">
        <v>44267</v>
      </c>
      <c r="C211" s="46">
        <v>213.98</v>
      </c>
      <c r="D211" s="49">
        <v>3.0999999999999999E-3</v>
      </c>
      <c r="E211" s="13"/>
      <c r="F211" s="13"/>
      <c r="G211" s="13"/>
      <c r="H211" s="47">
        <v>44267</v>
      </c>
      <c r="I211" s="48">
        <v>17196.7</v>
      </c>
      <c r="J211" s="49">
        <v>-1.18E-2</v>
      </c>
      <c r="K211" s="13"/>
      <c r="L211" s="13"/>
      <c r="M211" s="13"/>
      <c r="N211" s="13"/>
      <c r="O211" s="13"/>
      <c r="P211" s="13"/>
      <c r="Q211" s="13"/>
      <c r="R211" s="13"/>
      <c r="S211" s="13"/>
      <c r="T211" s="13"/>
      <c r="U211" s="13"/>
    </row>
    <row r="212" spans="1:21">
      <c r="A212" s="13"/>
      <c r="B212" s="47">
        <v>44239</v>
      </c>
      <c r="C212" s="46">
        <v>213.32</v>
      </c>
      <c r="D212" s="49">
        <v>3.0300000000000001E-2</v>
      </c>
      <c r="E212" s="13"/>
      <c r="F212" s="13"/>
      <c r="G212" s="13"/>
      <c r="H212" s="47">
        <v>44239</v>
      </c>
      <c r="I212" s="48">
        <v>17401.650000000001</v>
      </c>
      <c r="J212" s="49">
        <v>1.37E-2</v>
      </c>
      <c r="K212" s="13"/>
      <c r="L212" s="13"/>
      <c r="M212" s="13"/>
      <c r="N212" s="13"/>
      <c r="O212" s="13"/>
      <c r="P212" s="13"/>
      <c r="Q212" s="13"/>
      <c r="R212" s="13"/>
      <c r="S212" s="13"/>
      <c r="T212" s="13"/>
      <c r="U212" s="13"/>
    </row>
    <row r="213" spans="1:21">
      <c r="A213" s="13"/>
      <c r="B213" s="47">
        <v>44208</v>
      </c>
      <c r="C213" s="46">
        <v>207.05</v>
      </c>
      <c r="D213" s="49">
        <v>1.54E-2</v>
      </c>
      <c r="E213" s="13"/>
      <c r="F213" s="13"/>
      <c r="G213" s="13"/>
      <c r="H213" s="47">
        <v>44208</v>
      </c>
      <c r="I213" s="48">
        <v>17166.900000000001</v>
      </c>
      <c r="J213" s="49">
        <v>1.0800000000000001E-2</v>
      </c>
      <c r="K213" s="13"/>
      <c r="L213" s="13"/>
      <c r="M213" s="13"/>
      <c r="N213" s="13"/>
      <c r="O213" s="13"/>
      <c r="P213" s="13"/>
      <c r="Q213" s="13"/>
      <c r="R213" s="13"/>
      <c r="S213" s="13"/>
      <c r="T213" s="13"/>
      <c r="U213" s="13"/>
    </row>
    <row r="214" spans="1:21">
      <c r="A214" s="13"/>
      <c r="B214" s="46" t="s">
        <v>771</v>
      </c>
      <c r="C214" s="46">
        <v>203.91</v>
      </c>
      <c r="D214" s="49">
        <v>2.7400000000000001E-2</v>
      </c>
      <c r="E214" s="13"/>
      <c r="F214" s="13"/>
      <c r="G214" s="13"/>
      <c r="H214" s="46" t="s">
        <v>771</v>
      </c>
      <c r="I214" s="48">
        <v>16983.2</v>
      </c>
      <c r="J214" s="49">
        <v>-4.1000000000000003E-3</v>
      </c>
      <c r="K214" s="13"/>
      <c r="L214" s="13"/>
      <c r="M214" s="13"/>
      <c r="N214" s="13"/>
      <c r="O214" s="13"/>
      <c r="P214" s="13"/>
      <c r="Q214" s="13"/>
      <c r="R214" s="13"/>
      <c r="S214" s="13"/>
      <c r="T214" s="13"/>
      <c r="U214" s="13"/>
    </row>
    <row r="215" spans="1:21">
      <c r="A215" s="13"/>
      <c r="B215" s="46" t="s">
        <v>772</v>
      </c>
      <c r="C215" s="46">
        <v>198.48</v>
      </c>
      <c r="D215" s="49">
        <v>-0.1104</v>
      </c>
      <c r="E215" s="13"/>
      <c r="F215" s="13"/>
      <c r="G215" s="13"/>
      <c r="H215" s="46" t="s">
        <v>772</v>
      </c>
      <c r="I215" s="48">
        <v>17053.95</v>
      </c>
      <c r="J215" s="49">
        <v>1.6000000000000001E-3</v>
      </c>
      <c r="K215" s="13"/>
      <c r="L215" s="13"/>
      <c r="M215" s="13"/>
      <c r="N215" s="13"/>
      <c r="O215" s="13"/>
      <c r="P215" s="13"/>
      <c r="Q215" s="13"/>
      <c r="R215" s="13"/>
      <c r="S215" s="13"/>
      <c r="T215" s="13"/>
      <c r="U215" s="13"/>
    </row>
    <row r="216" spans="1:21">
      <c r="A216" s="13"/>
      <c r="B216" s="46" t="s">
        <v>773</v>
      </c>
      <c r="C216" s="46">
        <v>223.12</v>
      </c>
      <c r="D216" s="49">
        <v>-6.5299999999999997E-2</v>
      </c>
      <c r="E216" s="13"/>
      <c r="F216" s="13"/>
      <c r="G216" s="13"/>
      <c r="H216" s="46" t="s">
        <v>773</v>
      </c>
      <c r="I216" s="48">
        <v>17026.45</v>
      </c>
      <c r="J216" s="49">
        <v>-2.9100000000000001E-2</v>
      </c>
      <c r="K216" s="13"/>
      <c r="L216" s="13"/>
      <c r="M216" s="13"/>
      <c r="N216" s="13"/>
      <c r="O216" s="13"/>
      <c r="P216" s="13"/>
      <c r="Q216" s="13"/>
      <c r="R216" s="13"/>
      <c r="S216" s="13"/>
      <c r="T216" s="13"/>
      <c r="U216" s="13"/>
    </row>
    <row r="217" spans="1:21">
      <c r="A217" s="13"/>
      <c r="B217" s="46" t="s">
        <v>774</v>
      </c>
      <c r="C217" s="46">
        <v>238.7</v>
      </c>
      <c r="D217" s="49">
        <v>2.9000000000000001E-2</v>
      </c>
      <c r="E217" s="13"/>
      <c r="F217" s="13"/>
      <c r="G217" s="13"/>
      <c r="H217" s="46" t="s">
        <v>774</v>
      </c>
      <c r="I217" s="48">
        <v>17536.25</v>
      </c>
      <c r="J217" s="49">
        <v>7.0000000000000001E-3</v>
      </c>
      <c r="K217" s="13"/>
      <c r="L217" s="13"/>
      <c r="M217" s="13"/>
      <c r="N217" s="13"/>
      <c r="O217" s="13"/>
      <c r="P217" s="13"/>
      <c r="Q217" s="13"/>
      <c r="R217" s="13"/>
      <c r="S217" s="13"/>
      <c r="T217" s="13"/>
      <c r="U217" s="13"/>
    </row>
    <row r="218" spans="1:21">
      <c r="A218" s="13"/>
      <c r="B218" s="46" t="s">
        <v>775</v>
      </c>
      <c r="C218" s="46">
        <v>231.98</v>
      </c>
      <c r="D218" s="49">
        <v>0.01</v>
      </c>
      <c r="E218" s="13"/>
      <c r="F218" s="13"/>
      <c r="G218" s="13"/>
      <c r="H218" s="46" t="s">
        <v>775</v>
      </c>
      <c r="I218" s="48">
        <v>17415.05</v>
      </c>
      <c r="J218" s="49">
        <v>-5.0000000000000001E-3</v>
      </c>
      <c r="K218" s="13"/>
      <c r="L218" s="13"/>
      <c r="M218" s="13"/>
      <c r="N218" s="13"/>
      <c r="O218" s="13"/>
      <c r="P218" s="13"/>
      <c r="Q218" s="13"/>
      <c r="R218" s="13"/>
      <c r="S218" s="13"/>
      <c r="T218" s="13"/>
      <c r="U218" s="13"/>
    </row>
    <row r="219" spans="1:21">
      <c r="A219" s="13"/>
      <c r="B219" s="46" t="s">
        <v>776</v>
      </c>
      <c r="C219" s="46">
        <v>229.68</v>
      </c>
      <c r="D219" s="49">
        <v>-1.9800000000000002E-2</v>
      </c>
      <c r="E219" s="13"/>
      <c r="F219" s="13"/>
      <c r="G219" s="13"/>
      <c r="H219" s="46" t="s">
        <v>776</v>
      </c>
      <c r="I219" s="48">
        <v>17503.349999999999</v>
      </c>
      <c r="J219" s="49">
        <v>5.0000000000000001E-3</v>
      </c>
      <c r="K219" s="13"/>
      <c r="L219" s="13"/>
      <c r="M219" s="13"/>
      <c r="N219" s="13"/>
      <c r="O219" s="13"/>
      <c r="P219" s="13"/>
      <c r="Q219" s="13"/>
      <c r="R219" s="13"/>
      <c r="S219" s="13"/>
      <c r="T219" s="13"/>
      <c r="U219" s="13"/>
    </row>
    <row r="220" spans="1:21">
      <c r="A220" s="13"/>
      <c r="B220" s="46" t="s">
        <v>777</v>
      </c>
      <c r="C220" s="46">
        <v>234.33</v>
      </c>
      <c r="D220" s="49">
        <v>-3.6499999999999998E-2</v>
      </c>
      <c r="E220" s="13"/>
      <c r="F220" s="13"/>
      <c r="G220" s="13"/>
      <c r="H220" s="46" t="s">
        <v>777</v>
      </c>
      <c r="I220" s="48">
        <v>17416.55</v>
      </c>
      <c r="J220" s="49">
        <v>-1.9599999999999999E-2</v>
      </c>
      <c r="K220" s="13"/>
      <c r="L220" s="13"/>
      <c r="M220" s="13"/>
      <c r="N220" s="13"/>
      <c r="O220" s="13"/>
      <c r="P220" s="13"/>
      <c r="Q220" s="13"/>
      <c r="R220" s="13"/>
      <c r="S220" s="13"/>
      <c r="T220" s="13"/>
      <c r="U220" s="13"/>
    </row>
  </sheetData>
  <mergeCells count="2">
    <mergeCell ref="Y3:AA3"/>
    <mergeCell ref="AV3:AX3"/>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F31725-91B0-4C93-8A20-42B8C78779DE}">
  <dimension ref="A1:H73"/>
  <sheetViews>
    <sheetView workbookViewId="0">
      <selection activeCell="A2" sqref="A2"/>
    </sheetView>
  </sheetViews>
  <sheetFormatPr defaultRowHeight="15"/>
  <cols>
    <col min="1" max="1" width="42.42578125" customWidth="1"/>
    <col min="2" max="2" width="19.7109375" customWidth="1"/>
    <col min="3" max="3" width="17.28515625" customWidth="1"/>
    <col min="4" max="4" width="17.42578125" customWidth="1"/>
    <col min="6" max="6" width="44.28515625" customWidth="1"/>
    <col min="7" max="7" width="38.5703125" customWidth="1"/>
  </cols>
  <sheetData>
    <row r="1" spans="1:8" ht="24.75" customHeight="1">
      <c r="A1" s="12" t="s">
        <v>782</v>
      </c>
      <c r="B1" s="14"/>
      <c r="C1" s="14"/>
      <c r="D1" s="14"/>
      <c r="E1" s="15"/>
      <c r="F1" s="12" t="s">
        <v>783</v>
      </c>
      <c r="G1" s="15"/>
      <c r="H1" s="15"/>
    </row>
    <row r="2" spans="1:8" ht="15.75">
      <c r="A2" s="6" t="s">
        <v>784</v>
      </c>
      <c r="B2" s="7" t="s">
        <v>785</v>
      </c>
      <c r="C2" s="7" t="s">
        <v>786</v>
      </c>
      <c r="D2" s="8" t="s">
        <v>787</v>
      </c>
      <c r="E2" s="15"/>
      <c r="F2" s="9" t="s">
        <v>788</v>
      </c>
      <c r="G2" s="10" t="s">
        <v>789</v>
      </c>
      <c r="H2" s="15"/>
    </row>
    <row r="3" spans="1:8" ht="33" customHeight="1">
      <c r="A3" s="16" t="s">
        <v>790</v>
      </c>
      <c r="B3" s="17">
        <v>9623.9500000000007</v>
      </c>
      <c r="C3" s="17">
        <v>7705.87</v>
      </c>
      <c r="D3" s="18">
        <v>0.249</v>
      </c>
      <c r="E3" s="15"/>
      <c r="F3" s="16" t="s">
        <v>791</v>
      </c>
      <c r="G3" s="19" t="s">
        <v>792</v>
      </c>
      <c r="H3" s="15"/>
    </row>
    <row r="4" spans="1:8" ht="62.25" customHeight="1">
      <c r="A4" s="16" t="s">
        <v>793</v>
      </c>
      <c r="B4" s="17">
        <v>3238.96</v>
      </c>
      <c r="C4" s="17">
        <v>2641.74</v>
      </c>
      <c r="D4" s="18">
        <v>0.22600000000000001</v>
      </c>
      <c r="E4" s="15"/>
      <c r="F4" s="16" t="s">
        <v>794</v>
      </c>
      <c r="G4" s="19" t="s">
        <v>795</v>
      </c>
      <c r="H4" s="15"/>
    </row>
    <row r="5" spans="1:8" ht="57" customHeight="1">
      <c r="A5" s="16" t="s">
        <v>796</v>
      </c>
      <c r="B5" s="20">
        <v>129</v>
      </c>
      <c r="C5" s="20">
        <v>81</v>
      </c>
      <c r="D5" s="18">
        <v>0.59299999999999997</v>
      </c>
      <c r="E5" s="15"/>
      <c r="F5" s="16" t="s">
        <v>797</v>
      </c>
      <c r="G5" s="19" t="s">
        <v>798</v>
      </c>
      <c r="H5" s="15"/>
    </row>
    <row r="6" spans="1:8" ht="48.75" customHeight="1">
      <c r="A6" s="21" t="s">
        <v>799</v>
      </c>
      <c r="B6" s="20">
        <v>88</v>
      </c>
      <c r="C6" s="20">
        <v>47</v>
      </c>
      <c r="D6" s="18">
        <v>0.872</v>
      </c>
      <c r="E6" s="15"/>
      <c r="F6" s="22" t="s">
        <v>800</v>
      </c>
      <c r="G6" s="23" t="s">
        <v>801</v>
      </c>
      <c r="H6" s="15"/>
    </row>
    <row r="7" spans="1:8" ht="19.5" customHeight="1">
      <c r="A7" s="21" t="s">
        <v>802</v>
      </c>
      <c r="B7" s="20">
        <v>33</v>
      </c>
      <c r="C7" s="20">
        <v>67</v>
      </c>
      <c r="D7" s="18">
        <v>-0.50700000000000001</v>
      </c>
      <c r="E7" s="15"/>
      <c r="F7" s="14"/>
      <c r="G7" s="14"/>
      <c r="H7" s="15"/>
    </row>
    <row r="8" spans="1:8" ht="32.25" customHeight="1">
      <c r="A8" s="24" t="s">
        <v>803</v>
      </c>
      <c r="B8" s="25">
        <v>8</v>
      </c>
      <c r="C8" s="25">
        <v>10</v>
      </c>
      <c r="D8" s="26">
        <v>-0.2</v>
      </c>
      <c r="E8" s="15"/>
      <c r="H8" s="15"/>
    </row>
    <row r="9" spans="1:8" ht="24" customHeight="1">
      <c r="A9" s="15"/>
      <c r="B9" s="15"/>
      <c r="C9" s="15"/>
      <c r="D9" s="15"/>
      <c r="E9" s="15"/>
      <c r="H9" s="15"/>
    </row>
    <row r="10" spans="1:8" ht="24" customHeight="1">
      <c r="A10" s="12" t="s">
        <v>804</v>
      </c>
      <c r="B10" s="15"/>
      <c r="C10" s="15"/>
      <c r="D10" s="15"/>
      <c r="E10" s="15"/>
      <c r="F10" s="12" t="s">
        <v>805</v>
      </c>
      <c r="G10" s="14"/>
      <c r="H10" s="15"/>
    </row>
    <row r="11" spans="1:8" ht="46.5" customHeight="1">
      <c r="A11" s="9" t="s">
        <v>806</v>
      </c>
      <c r="B11" s="10" t="s">
        <v>807</v>
      </c>
      <c r="C11" s="15"/>
      <c r="D11" s="15"/>
      <c r="E11" s="15"/>
      <c r="F11" s="9" t="s">
        <v>808</v>
      </c>
      <c r="G11" s="10" t="s">
        <v>809</v>
      </c>
      <c r="H11" s="15"/>
    </row>
    <row r="12" spans="1:8" ht="54.75" customHeight="1">
      <c r="A12" s="16" t="s">
        <v>810</v>
      </c>
      <c r="B12" s="27">
        <v>-0.03</v>
      </c>
      <c r="C12" s="15"/>
      <c r="D12" s="15"/>
      <c r="E12" s="15"/>
      <c r="F12" s="16" t="s">
        <v>810</v>
      </c>
      <c r="G12" s="19" t="s">
        <v>811</v>
      </c>
      <c r="H12" s="15"/>
    </row>
    <row r="13" spans="1:8" ht="34.5" customHeight="1">
      <c r="A13" s="22" t="s">
        <v>812</v>
      </c>
      <c r="B13" s="28">
        <v>-0.06</v>
      </c>
      <c r="C13" s="15"/>
      <c r="D13" s="15"/>
      <c r="E13" s="15"/>
      <c r="F13" s="16" t="s">
        <v>812</v>
      </c>
      <c r="G13" s="19" t="s">
        <v>813</v>
      </c>
    </row>
    <row r="14" spans="1:8" ht="29.25">
      <c r="A14" s="15"/>
      <c r="B14" s="15"/>
      <c r="C14" s="15"/>
      <c r="D14" s="15"/>
      <c r="E14" s="15"/>
      <c r="F14" s="22" t="s">
        <v>814</v>
      </c>
      <c r="G14" s="23" t="s">
        <v>815</v>
      </c>
    </row>
    <row r="15" spans="1:8" ht="15.75">
      <c r="D15" s="15"/>
      <c r="E15" s="15"/>
    </row>
    <row r="16" spans="1:8" ht="15.75">
      <c r="A16" s="12" t="s">
        <v>816</v>
      </c>
      <c r="B16" s="15"/>
      <c r="C16" s="15"/>
      <c r="D16" s="15"/>
      <c r="E16" s="15"/>
      <c r="F16" s="12" t="s">
        <v>817</v>
      </c>
    </row>
    <row r="17" spans="1:6" ht="44.25">
      <c r="A17" s="9" t="s">
        <v>818</v>
      </c>
      <c r="B17" s="11" t="s">
        <v>79</v>
      </c>
      <c r="C17" s="11" t="s">
        <v>80</v>
      </c>
      <c r="D17" s="10" t="s">
        <v>819</v>
      </c>
      <c r="E17" s="15"/>
      <c r="F17" s="1" t="s">
        <v>820</v>
      </c>
    </row>
    <row r="18" spans="1:6" ht="44.25">
      <c r="A18" s="16" t="s">
        <v>821</v>
      </c>
      <c r="B18" s="20">
        <v>19.7</v>
      </c>
      <c r="C18" s="20">
        <v>19.399999999999999</v>
      </c>
      <c r="D18" s="19" t="s">
        <v>822</v>
      </c>
      <c r="E18" s="15"/>
      <c r="F18" s="2" t="s">
        <v>823</v>
      </c>
    </row>
    <row r="19" spans="1:6" ht="58.5">
      <c r="A19" s="16" t="s">
        <v>824</v>
      </c>
      <c r="B19" s="20">
        <v>4.9000000000000004</v>
      </c>
      <c r="C19" s="20">
        <v>13.3</v>
      </c>
      <c r="D19" s="19" t="s">
        <v>825</v>
      </c>
      <c r="E19" s="15"/>
      <c r="F19" s="2" t="s">
        <v>826</v>
      </c>
    </row>
    <row r="20" spans="1:6" ht="44.25">
      <c r="A20" s="16" t="s">
        <v>827</v>
      </c>
      <c r="B20" s="20">
        <v>13.7</v>
      </c>
      <c r="C20" s="20">
        <v>14.8</v>
      </c>
      <c r="D20" s="19"/>
      <c r="E20" s="15"/>
      <c r="F20" s="2" t="s">
        <v>828</v>
      </c>
    </row>
    <row r="21" spans="1:6" ht="44.25">
      <c r="A21" s="16" t="s">
        <v>829</v>
      </c>
      <c r="B21" s="20">
        <v>5.6</v>
      </c>
      <c r="C21" s="20">
        <v>9.8000000000000007</v>
      </c>
      <c r="D21" s="19" t="s">
        <v>830</v>
      </c>
      <c r="E21" s="15"/>
      <c r="F21" s="2" t="s">
        <v>831</v>
      </c>
    </row>
    <row r="22" spans="1:6" ht="73.5">
      <c r="A22" s="22" t="s">
        <v>832</v>
      </c>
      <c r="B22" s="25">
        <v>4</v>
      </c>
      <c r="C22" s="25">
        <v>20.6</v>
      </c>
      <c r="D22" s="23" t="s">
        <v>833</v>
      </c>
      <c r="E22" s="15"/>
      <c r="F22" s="3" t="s">
        <v>834</v>
      </c>
    </row>
    <row r="23" spans="1:6" ht="15.75">
      <c r="D23" s="15"/>
      <c r="E23" s="15"/>
      <c r="F23" s="15"/>
    </row>
    <row r="24" spans="1:6" ht="15.75">
      <c r="D24" s="15"/>
      <c r="E24" s="15"/>
      <c r="F24" s="15"/>
    </row>
    <row r="25" spans="1:6" ht="15.75">
      <c r="D25" s="15"/>
      <c r="E25" s="15"/>
      <c r="F25" s="15"/>
    </row>
    <row r="26" spans="1:6" ht="15.75">
      <c r="D26" s="15"/>
      <c r="E26" s="15"/>
      <c r="F26" s="15"/>
    </row>
    <row r="27" spans="1:6" ht="15.75">
      <c r="A27" s="15"/>
      <c r="B27" s="15"/>
      <c r="C27" s="15"/>
      <c r="D27" s="15"/>
      <c r="E27" s="15"/>
      <c r="F27" s="15"/>
    </row>
    <row r="28" spans="1:6" ht="15.75">
      <c r="E28" s="15"/>
    </row>
    <row r="29" spans="1:6" ht="15.75">
      <c r="E29" s="15"/>
    </row>
    <row r="30" spans="1:6" ht="15.75">
      <c r="E30" s="15"/>
    </row>
    <row r="31" spans="1:6" ht="15.75">
      <c r="E31" s="15"/>
    </row>
    <row r="32" spans="1:6" ht="15.75">
      <c r="E32" s="15"/>
    </row>
    <row r="33" spans="1:5" ht="15.75">
      <c r="E33" s="15"/>
    </row>
    <row r="34" spans="1:5" ht="15.75">
      <c r="E34" s="15"/>
    </row>
    <row r="35" spans="1:5" ht="15.75">
      <c r="A35" s="15"/>
      <c r="B35" s="15"/>
      <c r="C35" s="15"/>
      <c r="D35" s="15"/>
      <c r="E35" s="15"/>
    </row>
    <row r="36" spans="1:5" ht="15.75">
      <c r="B36" s="15"/>
      <c r="C36" s="15"/>
      <c r="D36" s="15"/>
      <c r="E36" s="15"/>
    </row>
    <row r="37" spans="1:5" ht="15.75">
      <c r="B37" s="15"/>
      <c r="C37" s="15"/>
      <c r="D37" s="15"/>
      <c r="E37" s="15"/>
    </row>
    <row r="38" spans="1:5" ht="15.75">
      <c r="B38" s="15"/>
      <c r="C38" s="15"/>
      <c r="D38" s="15"/>
      <c r="E38" s="15"/>
    </row>
    <row r="39" spans="1:5" ht="15.75">
      <c r="B39" s="15"/>
      <c r="C39" s="15"/>
      <c r="D39" s="15"/>
      <c r="E39" s="15"/>
    </row>
    <row r="40" spans="1:5" ht="15.75">
      <c r="B40" s="15"/>
      <c r="C40" s="15"/>
      <c r="D40" s="15"/>
      <c r="E40" s="15"/>
    </row>
    <row r="41" spans="1:5" ht="68.25" customHeight="1">
      <c r="B41" s="15"/>
      <c r="C41" s="15"/>
      <c r="D41" s="15"/>
      <c r="E41" s="15"/>
    </row>
    <row r="42" spans="1:5" ht="15.75">
      <c r="B42" s="15"/>
      <c r="C42" s="15"/>
      <c r="D42" s="15"/>
      <c r="E42" s="15"/>
    </row>
    <row r="43" spans="1:5" ht="15.75">
      <c r="B43" s="15"/>
      <c r="C43" s="15"/>
      <c r="D43" s="15"/>
      <c r="E43" s="15"/>
    </row>
    <row r="44" spans="1:5" ht="15.75">
      <c r="B44" s="15"/>
      <c r="C44" s="15"/>
      <c r="D44" s="15"/>
      <c r="E44" s="15"/>
    </row>
    <row r="45" spans="1:5" ht="15.75">
      <c r="B45" s="15"/>
      <c r="C45" s="15"/>
      <c r="D45" s="15"/>
      <c r="E45" s="15"/>
    </row>
    <row r="46" spans="1:5" ht="15.75">
      <c r="B46" s="15"/>
      <c r="C46" s="15"/>
      <c r="D46" s="15"/>
      <c r="E46" s="15"/>
    </row>
    <row r="47" spans="1:5" ht="15.75">
      <c r="B47" s="15"/>
      <c r="C47" s="15"/>
      <c r="D47" s="15"/>
      <c r="E47" s="15"/>
    </row>
    <row r="48" spans="1:5" ht="15.75">
      <c r="A48" s="15"/>
      <c r="B48" s="15"/>
      <c r="C48" s="15"/>
      <c r="D48" s="15"/>
      <c r="E48" s="15"/>
    </row>
    <row r="49" spans="1:5" ht="15.75">
      <c r="A49" s="15"/>
      <c r="B49" s="15"/>
      <c r="C49" s="15"/>
      <c r="D49" s="15"/>
      <c r="E49" s="15"/>
    </row>
    <row r="50" spans="1:5" ht="15.75">
      <c r="A50" s="15"/>
      <c r="B50" s="15"/>
      <c r="C50" s="15"/>
      <c r="D50" s="15"/>
      <c r="E50" s="15"/>
    </row>
    <row r="51" spans="1:5" ht="15.75">
      <c r="A51" s="15"/>
      <c r="B51" s="15"/>
      <c r="C51" s="15"/>
      <c r="D51" s="15"/>
      <c r="E51" s="15"/>
    </row>
    <row r="52" spans="1:5" ht="15.75">
      <c r="A52" s="15"/>
      <c r="B52" s="15"/>
      <c r="C52" s="15"/>
      <c r="D52" s="15"/>
      <c r="E52" s="15"/>
    </row>
    <row r="53" spans="1:5" ht="15.75">
      <c r="A53" s="15"/>
      <c r="B53" s="15"/>
      <c r="C53" s="15"/>
      <c r="D53" s="15"/>
      <c r="E53" s="15"/>
    </row>
    <row r="54" spans="1:5" ht="15.75">
      <c r="A54" s="15"/>
      <c r="B54" s="15"/>
      <c r="C54" s="15"/>
      <c r="D54" s="15"/>
      <c r="E54" s="15"/>
    </row>
    <row r="55" spans="1:5" ht="15.75">
      <c r="A55" s="15"/>
      <c r="B55" s="15"/>
      <c r="C55" s="15"/>
      <c r="D55" s="15"/>
      <c r="E55" s="15"/>
    </row>
    <row r="56" spans="1:5" ht="15.75">
      <c r="A56" s="15"/>
      <c r="B56" s="15"/>
      <c r="C56" s="15"/>
      <c r="D56" s="15"/>
      <c r="E56" s="15"/>
    </row>
    <row r="57" spans="1:5" ht="15.75">
      <c r="A57" s="15"/>
      <c r="B57" s="15"/>
      <c r="C57" s="15"/>
      <c r="D57" s="15"/>
      <c r="E57" s="15"/>
    </row>
    <row r="58" spans="1:5" ht="15.75">
      <c r="A58" s="15"/>
      <c r="B58" s="15"/>
      <c r="C58" s="15"/>
      <c r="D58" s="15"/>
      <c r="E58" s="15"/>
    </row>
    <row r="59" spans="1:5" ht="15.75">
      <c r="A59" s="15"/>
      <c r="B59" s="15"/>
      <c r="C59" s="15"/>
      <c r="D59" s="15"/>
      <c r="E59" s="15"/>
    </row>
    <row r="60" spans="1:5" ht="15.75">
      <c r="A60" s="15"/>
      <c r="B60" s="15"/>
      <c r="C60" s="15"/>
      <c r="D60" s="15"/>
      <c r="E60" s="15"/>
    </row>
    <row r="61" spans="1:5" ht="15.75">
      <c r="A61" s="15"/>
      <c r="B61" s="15"/>
      <c r="C61" s="15"/>
      <c r="D61" s="15"/>
      <c r="E61" s="15"/>
    </row>
    <row r="62" spans="1:5" ht="15.75">
      <c r="A62" s="15"/>
      <c r="B62" s="15"/>
      <c r="C62" s="15"/>
      <c r="D62" s="15"/>
      <c r="E62" s="15"/>
    </row>
    <row r="63" spans="1:5" ht="15.75">
      <c r="A63" s="15"/>
      <c r="B63" s="15"/>
      <c r="C63" s="15"/>
      <c r="D63" s="15"/>
      <c r="E63" s="15"/>
    </row>
    <row r="64" spans="1:5" ht="15.75">
      <c r="A64" s="15"/>
      <c r="B64" s="15"/>
      <c r="C64" s="15"/>
      <c r="D64" s="15"/>
      <c r="E64" s="15"/>
    </row>
    <row r="65" spans="1:5" ht="15.75">
      <c r="A65" s="15"/>
      <c r="B65" s="15"/>
      <c r="C65" s="15"/>
      <c r="D65" s="15"/>
      <c r="E65" s="15"/>
    </row>
    <row r="66" spans="1:5" ht="15.75">
      <c r="A66" s="15"/>
      <c r="B66" s="15"/>
      <c r="C66" s="15"/>
      <c r="D66" s="15"/>
      <c r="E66" s="15"/>
    </row>
    <row r="67" spans="1:5" ht="15.75">
      <c r="A67" s="15"/>
      <c r="B67" s="15"/>
      <c r="C67" s="15"/>
      <c r="D67" s="15"/>
      <c r="E67" s="15"/>
    </row>
    <row r="68" spans="1:5" ht="15.75">
      <c r="A68" s="15"/>
      <c r="B68" s="15"/>
      <c r="C68" s="15"/>
      <c r="D68" s="15"/>
      <c r="E68" s="15"/>
    </row>
    <row r="69" spans="1:5" ht="15.75">
      <c r="A69" s="15"/>
      <c r="B69" s="15"/>
      <c r="C69" s="15"/>
      <c r="D69" s="15"/>
      <c r="E69" s="15"/>
    </row>
    <row r="70" spans="1:5" ht="15.75">
      <c r="A70" s="15"/>
      <c r="B70" s="15"/>
      <c r="C70" s="15"/>
      <c r="D70" s="15"/>
      <c r="E70" s="15"/>
    </row>
    <row r="71" spans="1:5" ht="15.75">
      <c r="A71" s="15"/>
      <c r="B71" s="15"/>
      <c r="C71" s="15"/>
      <c r="D71" s="15"/>
      <c r="E71" s="15"/>
    </row>
    <row r="72" spans="1:5" ht="15.75">
      <c r="A72" s="15"/>
      <c r="B72" s="15"/>
      <c r="C72" s="15"/>
      <c r="D72" s="15"/>
      <c r="E72" s="15"/>
    </row>
    <row r="73" spans="1:5" ht="15.75">
      <c r="A73" s="15"/>
      <c r="B73" s="15"/>
      <c r="C73" s="15"/>
      <c r="D73" s="15"/>
      <c r="E73" s="15"/>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A23EAC-621C-4982-BFD9-FD01AEEC6F81}">
  <dimension ref="A1:J30"/>
  <sheetViews>
    <sheetView workbookViewId="0">
      <selection activeCell="A10" sqref="A10"/>
    </sheetView>
  </sheetViews>
  <sheetFormatPr defaultRowHeight="15"/>
  <cols>
    <col min="1" max="1" width="50.140625" customWidth="1"/>
    <col min="2" max="2" width="17.28515625" customWidth="1"/>
    <col min="3" max="3" width="15.42578125" customWidth="1"/>
    <col min="4" max="4" width="15.5703125" customWidth="1"/>
    <col min="5" max="5" width="23.42578125" customWidth="1"/>
    <col min="6" max="6" width="24.28515625" customWidth="1"/>
    <col min="7" max="7" width="55.42578125" customWidth="1"/>
  </cols>
  <sheetData>
    <row r="1" spans="1:10" ht="43.5" customHeight="1">
      <c r="A1" s="12" t="s">
        <v>835</v>
      </c>
      <c r="B1" s="4"/>
      <c r="C1" s="4"/>
      <c r="D1" s="4"/>
      <c r="E1" s="4"/>
      <c r="F1" s="4"/>
      <c r="G1" s="4"/>
      <c r="H1" s="15"/>
      <c r="I1" s="15"/>
      <c r="J1" s="15"/>
    </row>
    <row r="2" spans="1:10" ht="15.75">
      <c r="A2" s="6" t="s">
        <v>836</v>
      </c>
      <c r="B2" s="7" t="s">
        <v>837</v>
      </c>
      <c r="C2" s="7" t="s">
        <v>838</v>
      </c>
      <c r="D2" s="7" t="s">
        <v>839</v>
      </c>
      <c r="E2" s="7" t="s">
        <v>840</v>
      </c>
      <c r="F2" s="7" t="s">
        <v>841</v>
      </c>
      <c r="G2" s="8" t="s">
        <v>842</v>
      </c>
      <c r="H2" s="15"/>
      <c r="I2" s="15"/>
      <c r="J2" s="15"/>
    </row>
    <row r="3" spans="1:10" ht="15.75">
      <c r="A3" s="5" t="s">
        <v>843</v>
      </c>
      <c r="B3" s="14">
        <v>0.04</v>
      </c>
      <c r="C3" s="14">
        <v>0.04</v>
      </c>
      <c r="D3" s="14">
        <v>0.02</v>
      </c>
      <c r="E3" s="14">
        <v>27.62</v>
      </c>
      <c r="F3" s="29">
        <v>1339.8</v>
      </c>
      <c r="G3" s="30" t="s">
        <v>844</v>
      </c>
      <c r="H3" s="15"/>
      <c r="I3" s="15"/>
      <c r="J3" s="15"/>
    </row>
    <row r="4" spans="1:10" ht="15.75">
      <c r="A4" s="5" t="s">
        <v>845</v>
      </c>
      <c r="B4" s="14">
        <v>0.1</v>
      </c>
      <c r="C4" s="14">
        <v>7.0000000000000007E-2</v>
      </c>
      <c r="D4" s="14">
        <v>0.05</v>
      </c>
      <c r="E4" s="14" t="s">
        <v>846</v>
      </c>
      <c r="F4" s="14" t="s">
        <v>847</v>
      </c>
      <c r="G4" s="30" t="s">
        <v>848</v>
      </c>
      <c r="H4" s="15"/>
      <c r="I4" s="15"/>
      <c r="J4" s="15"/>
    </row>
    <row r="5" spans="1:10" ht="15.75">
      <c r="A5" s="5" t="s">
        <v>849</v>
      </c>
      <c r="B5" s="14">
        <v>0.15</v>
      </c>
      <c r="C5" s="14">
        <v>0.12</v>
      </c>
      <c r="D5" s="14">
        <v>0.1</v>
      </c>
      <c r="E5" s="14" t="s">
        <v>850</v>
      </c>
      <c r="F5" s="14" t="s">
        <v>851</v>
      </c>
      <c r="G5" s="30" t="s">
        <v>852</v>
      </c>
      <c r="H5" s="15"/>
      <c r="I5" s="15"/>
      <c r="J5" s="15"/>
    </row>
    <row r="6" spans="1:10" ht="15.75">
      <c r="A6" s="5" t="s">
        <v>853</v>
      </c>
      <c r="B6" s="14">
        <v>0.4</v>
      </c>
      <c r="C6" s="14">
        <v>0.35</v>
      </c>
      <c r="D6" s="14">
        <v>0.3</v>
      </c>
      <c r="E6" s="14" t="s">
        <v>854</v>
      </c>
      <c r="F6" s="14" t="s">
        <v>855</v>
      </c>
      <c r="G6" s="30" t="s">
        <v>856</v>
      </c>
      <c r="H6" s="15"/>
      <c r="I6" s="15"/>
      <c r="J6" s="15"/>
    </row>
    <row r="7" spans="1:10" ht="15.75">
      <c r="A7" s="5" t="s">
        <v>857</v>
      </c>
      <c r="B7" s="14">
        <v>0.2</v>
      </c>
      <c r="C7" s="14">
        <v>0.18</v>
      </c>
      <c r="D7" s="14">
        <v>0.15</v>
      </c>
      <c r="E7" s="14" t="s">
        <v>858</v>
      </c>
      <c r="F7" s="14" t="s">
        <v>851</v>
      </c>
      <c r="G7" s="30" t="s">
        <v>859</v>
      </c>
      <c r="H7" s="15"/>
      <c r="I7" s="15"/>
      <c r="J7" s="15"/>
    </row>
    <row r="8" spans="1:10" ht="15.75">
      <c r="A8" s="31" t="s">
        <v>860</v>
      </c>
      <c r="B8" s="32">
        <v>0.3</v>
      </c>
      <c r="C8" s="32">
        <v>0.28000000000000003</v>
      </c>
      <c r="D8" s="32">
        <v>0.25</v>
      </c>
      <c r="E8" s="32" t="s">
        <v>861</v>
      </c>
      <c r="F8" s="32" t="s">
        <v>862</v>
      </c>
      <c r="G8" s="33" t="s">
        <v>863</v>
      </c>
      <c r="H8" s="15"/>
      <c r="I8" s="15"/>
      <c r="J8" s="15"/>
    </row>
    <row r="9" spans="1:10" ht="15.75">
      <c r="A9" s="15"/>
      <c r="B9" s="15"/>
      <c r="C9" s="15"/>
      <c r="D9" s="15"/>
      <c r="E9" s="15"/>
      <c r="F9" s="15"/>
      <c r="G9" s="15"/>
      <c r="H9" s="15"/>
      <c r="I9" s="15"/>
      <c r="J9" s="15"/>
    </row>
    <row r="10" spans="1:10" ht="39" customHeight="1">
      <c r="A10" s="12" t="s">
        <v>864</v>
      </c>
      <c r="B10" s="4"/>
      <c r="C10" s="4"/>
      <c r="D10" s="4"/>
      <c r="E10" s="15"/>
      <c r="F10" s="15"/>
      <c r="G10" s="15"/>
      <c r="H10" s="15"/>
      <c r="I10" s="15"/>
      <c r="J10" s="15"/>
    </row>
    <row r="11" spans="1:10" ht="15.75">
      <c r="A11" s="6" t="s">
        <v>865</v>
      </c>
      <c r="B11" s="7" t="s">
        <v>81</v>
      </c>
      <c r="C11" s="7" t="s">
        <v>80</v>
      </c>
      <c r="D11" s="8" t="s">
        <v>79</v>
      </c>
      <c r="E11" s="15"/>
      <c r="F11" s="15"/>
      <c r="G11" s="15"/>
      <c r="H11" s="15"/>
      <c r="I11" s="15"/>
      <c r="J11" s="15"/>
    </row>
    <row r="12" spans="1:10" ht="15.75">
      <c r="A12" s="5" t="s">
        <v>866</v>
      </c>
      <c r="B12" s="14">
        <v>0.04</v>
      </c>
      <c r="C12" s="14">
        <v>0.04</v>
      </c>
      <c r="D12" s="30">
        <v>0.02</v>
      </c>
      <c r="E12" s="15"/>
      <c r="F12" s="15"/>
      <c r="G12" s="15"/>
      <c r="H12" s="15"/>
      <c r="I12" s="15"/>
      <c r="J12" s="15"/>
    </row>
    <row r="13" spans="1:10" ht="15.75">
      <c r="A13" s="5" t="s">
        <v>867</v>
      </c>
      <c r="B13" s="14">
        <v>443</v>
      </c>
      <c r="C13" s="14">
        <v>443</v>
      </c>
      <c r="D13" s="30">
        <v>276</v>
      </c>
      <c r="E13" s="15"/>
      <c r="F13" s="15"/>
      <c r="G13" s="15"/>
      <c r="H13" s="15"/>
      <c r="I13" s="15"/>
      <c r="J13" s="15"/>
    </row>
    <row r="14" spans="1:10" ht="15.75">
      <c r="A14" s="5" t="s">
        <v>868</v>
      </c>
      <c r="B14" s="34">
        <v>11643</v>
      </c>
      <c r="C14" s="34">
        <v>12539</v>
      </c>
      <c r="D14" s="35">
        <v>13398</v>
      </c>
      <c r="E14" s="15"/>
      <c r="F14" s="15"/>
      <c r="G14" s="15"/>
      <c r="H14" s="15"/>
      <c r="I14" s="15"/>
      <c r="J14" s="15"/>
    </row>
    <row r="15" spans="1:10" ht="15.75">
      <c r="A15" s="5" t="s">
        <v>869</v>
      </c>
      <c r="B15" s="14">
        <v>41.2</v>
      </c>
      <c r="C15" s="14">
        <v>50.6</v>
      </c>
      <c r="D15" s="30">
        <v>79.900000000000006</v>
      </c>
      <c r="E15" s="15"/>
      <c r="F15" s="15"/>
      <c r="G15" s="15"/>
      <c r="H15" s="15"/>
      <c r="I15" s="15"/>
      <c r="J15" s="15"/>
    </row>
    <row r="16" spans="1:10" ht="15.75">
      <c r="A16" s="5" t="s">
        <v>870</v>
      </c>
      <c r="B16" s="14">
        <v>9.6</v>
      </c>
      <c r="C16" s="14">
        <v>13.4</v>
      </c>
      <c r="D16" s="30">
        <v>14.3</v>
      </c>
      <c r="E16" s="15"/>
      <c r="F16" s="15"/>
      <c r="G16" s="15"/>
      <c r="H16" s="15"/>
      <c r="I16" s="15"/>
      <c r="J16" s="15"/>
    </row>
    <row r="17" spans="1:10" ht="15.75">
      <c r="A17" s="31" t="s">
        <v>871</v>
      </c>
      <c r="B17" s="36">
        <v>2623</v>
      </c>
      <c r="C17" s="36">
        <v>3066</v>
      </c>
      <c r="D17" s="37">
        <v>2121</v>
      </c>
      <c r="E17" s="15"/>
      <c r="F17" s="15"/>
      <c r="G17" s="15"/>
      <c r="H17" s="15"/>
      <c r="I17" s="15"/>
      <c r="J17" s="15"/>
    </row>
    <row r="18" spans="1:10" ht="15.75">
      <c r="A18" s="15"/>
      <c r="B18" s="15"/>
      <c r="C18" s="15"/>
      <c r="D18" s="15"/>
      <c r="E18" s="15"/>
      <c r="F18" s="15"/>
      <c r="G18" s="15"/>
      <c r="H18" s="15"/>
      <c r="I18" s="15"/>
      <c r="J18" s="15"/>
    </row>
    <row r="19" spans="1:10" ht="22.5" customHeight="1">
      <c r="A19" s="12" t="s">
        <v>872</v>
      </c>
      <c r="B19" s="15"/>
      <c r="C19" s="15"/>
      <c r="D19" s="15"/>
      <c r="E19" s="15"/>
      <c r="F19" s="15"/>
      <c r="G19" s="15"/>
      <c r="H19" s="15"/>
      <c r="I19" s="15"/>
      <c r="J19" s="15"/>
    </row>
    <row r="20" spans="1:10" ht="44.25">
      <c r="A20" s="1" t="s">
        <v>873</v>
      </c>
      <c r="B20" s="15"/>
      <c r="C20" s="15"/>
      <c r="D20" s="15"/>
      <c r="E20" s="15"/>
      <c r="F20" s="15"/>
      <c r="G20" s="15"/>
      <c r="H20" s="15"/>
      <c r="I20" s="15"/>
      <c r="J20" s="15"/>
    </row>
    <row r="21" spans="1:10" ht="29.25">
      <c r="A21" s="2" t="s">
        <v>874</v>
      </c>
      <c r="B21" s="15"/>
      <c r="C21" s="15"/>
      <c r="D21" s="15"/>
      <c r="E21" s="15"/>
      <c r="F21" s="15"/>
      <c r="G21" s="15"/>
      <c r="H21" s="15"/>
      <c r="I21" s="15"/>
      <c r="J21" s="15"/>
    </row>
    <row r="22" spans="1:10" ht="44.25">
      <c r="A22" s="2" t="s">
        <v>875</v>
      </c>
      <c r="B22" s="15"/>
      <c r="C22" s="15"/>
      <c r="D22" s="15"/>
      <c r="E22" s="15"/>
      <c r="F22" s="15"/>
      <c r="G22" s="15"/>
      <c r="H22" s="15"/>
      <c r="I22" s="15"/>
      <c r="J22" s="15"/>
    </row>
    <row r="23" spans="1:10" ht="44.25">
      <c r="A23" s="2" t="s">
        <v>876</v>
      </c>
      <c r="B23" s="15"/>
      <c r="C23" s="15"/>
      <c r="D23" s="15"/>
      <c r="E23" s="15"/>
      <c r="F23" s="15"/>
      <c r="G23" s="15"/>
      <c r="H23" s="15"/>
      <c r="I23" s="15"/>
      <c r="J23" s="15"/>
    </row>
    <row r="24" spans="1:10" ht="44.25">
      <c r="A24" s="2" t="s">
        <v>877</v>
      </c>
      <c r="B24" s="15"/>
      <c r="C24" s="15"/>
      <c r="D24" s="15"/>
      <c r="E24" s="15"/>
      <c r="F24" s="15"/>
      <c r="G24" s="15"/>
      <c r="H24" s="15"/>
      <c r="I24" s="15"/>
      <c r="J24" s="15"/>
    </row>
    <row r="25" spans="1:10" ht="58.5">
      <c r="A25" s="3" t="s">
        <v>878</v>
      </c>
      <c r="B25" s="15"/>
      <c r="C25" s="15"/>
      <c r="D25" s="15"/>
      <c r="E25" s="15"/>
      <c r="F25" s="15"/>
      <c r="G25" s="15"/>
      <c r="H25" s="15"/>
      <c r="I25" s="15"/>
      <c r="J25" s="15"/>
    </row>
    <row r="26" spans="1:10" ht="15.75">
      <c r="A26" s="15"/>
      <c r="B26" s="15"/>
      <c r="C26" s="15"/>
      <c r="D26" s="15"/>
      <c r="E26" s="15"/>
      <c r="F26" s="15"/>
      <c r="G26" s="15"/>
      <c r="H26" s="15"/>
      <c r="I26" s="15"/>
      <c r="J26" s="15"/>
    </row>
    <row r="27" spans="1:10" ht="15.75">
      <c r="A27" s="15"/>
      <c r="B27" s="15"/>
      <c r="C27" s="15"/>
      <c r="D27" s="15"/>
      <c r="E27" s="15"/>
      <c r="F27" s="15"/>
      <c r="G27" s="15"/>
      <c r="H27" s="15"/>
      <c r="I27" s="15"/>
      <c r="J27" s="15"/>
    </row>
    <row r="28" spans="1:10" ht="15.75">
      <c r="A28" s="15"/>
      <c r="B28" s="15"/>
      <c r="C28" s="15"/>
      <c r="D28" s="15"/>
      <c r="E28" s="15"/>
      <c r="F28" s="15"/>
      <c r="G28" s="15"/>
      <c r="H28" s="15"/>
      <c r="I28" s="15"/>
      <c r="J28" s="15"/>
    </row>
    <row r="29" spans="1:10" ht="15.75">
      <c r="A29" s="15"/>
      <c r="B29" s="15"/>
      <c r="C29" s="15"/>
      <c r="D29" s="15"/>
      <c r="E29" s="15"/>
      <c r="F29" s="15"/>
      <c r="G29" s="15"/>
      <c r="H29" s="15"/>
      <c r="I29" s="15"/>
      <c r="J29" s="15"/>
    </row>
    <row r="30" spans="1:10" ht="15.75">
      <c r="A30" s="15"/>
      <c r="B30" s="15"/>
      <c r="C30" s="15"/>
      <c r="D30" s="15"/>
      <c r="E30" s="15"/>
      <c r="F30" s="15"/>
      <c r="G30" s="15"/>
      <c r="H30" s="15"/>
      <c r="I30" s="15"/>
      <c r="J30" s="1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2025-04-24T09:09:09Z</dcterms:created>
  <dcterms:modified xsi:type="dcterms:W3CDTF">2025-04-27T19:11:23Z</dcterms:modified>
  <cp:category/>
  <cp:contentStatus/>
</cp:coreProperties>
</file>